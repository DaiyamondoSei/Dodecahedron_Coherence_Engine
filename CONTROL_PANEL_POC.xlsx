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0752dcb7d3e7305/Stalinis kompiuteris/POC/"/>
    </mc:Choice>
  </mc:AlternateContent>
  <xr:revisionPtr revIDLastSave="1816" documentId="11_217C9E8007FF1ACDB183E0BCC58F7983543A6603" xr6:coauthVersionLast="47" xr6:coauthVersionMax="47" xr10:uidLastSave="{9730CBE9-F1E2-4B77-9B3E-5D2F0315EEA2}"/>
  <bookViews>
    <workbookView xWindow="-108" yWindow="-108" windowWidth="23256" windowHeight="12456" firstSheet="3" activeTab="6" xr2:uid="{00000000-000D-0000-FFFF-FFFF00000000}"/>
  </bookViews>
  <sheets>
    <sheet name="Dashboard" sheetId="1" r:id="rId1"/>
    <sheet name="Priority Actions" sheetId="8" r:id="rId2"/>
    <sheet name="60 Elements" sheetId="2" r:id="rId3"/>
    <sheet name="Test Tracker" sheetId="3" r:id="rId4"/>
    <sheet name="Thesis Evidence" sheetId="4" r:id="rId5"/>
    <sheet name="Codebase Inventory" sheetId="5" r:id="rId6"/>
    <sheet name="Session Log" sheetId="6" r:id="rId7"/>
    <sheet name="CEN Deliverables" sheetId="7" r:id="rId8"/>
  </sheets>
  <definedNames>
    <definedName name="_xlnm._FilterDatabase" localSheetId="4" hidden="1">'Thesis Evidence'!$A$3:$J$13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D25" i="1"/>
  <c r="C25" i="1"/>
  <c r="B25" i="1"/>
  <c r="E7" i="1"/>
  <c r="E4" i="1"/>
  <c r="D7" i="1"/>
  <c r="D5" i="1"/>
  <c r="D24" i="1"/>
  <c r="E24" i="1" s="1"/>
  <c r="F21" i="1" a="1"/>
  <c r="F21" i="1" s="1"/>
  <c r="F20" i="1" a="1"/>
  <c r="F20" i="1" s="1"/>
  <c r="F19" i="1" a="1"/>
  <c r="F19" i="1" s="1"/>
  <c r="F18" i="1" a="1"/>
  <c r="F18" i="1" s="1"/>
  <c r="F17" i="1" a="1"/>
  <c r="F17" i="1" s="1"/>
  <c r="F16" i="1" a="1"/>
  <c r="F16" i="1" s="1"/>
  <c r="F15" i="1" a="1"/>
  <c r="F15" i="1" s="1"/>
  <c r="F14" i="1" a="1"/>
  <c r="F14" i="1" s="1"/>
  <c r="F13" i="1" a="1"/>
  <c r="F13" i="1" s="1"/>
  <c r="F12" i="1" a="1"/>
  <c r="F12" i="1" s="1"/>
  <c r="F11" i="1" a="1"/>
  <c r="F11" i="1" s="1"/>
  <c r="F10" i="1" a="1"/>
  <c r="F10" i="1" s="1"/>
  <c r="D21" i="1"/>
  <c r="H21" i="1" s="1"/>
  <c r="D20" i="1"/>
  <c r="H20" i="1" s="1"/>
  <c r="D19" i="1"/>
  <c r="H19" i="1" s="1"/>
  <c r="D18" i="1"/>
  <c r="H18" i="1" s="1"/>
  <c r="D17" i="1"/>
  <c r="H17" i="1" s="1"/>
  <c r="D16" i="1"/>
  <c r="H16" i="1" s="1"/>
  <c r="D15" i="1"/>
  <c r="H15" i="1" s="1"/>
  <c r="D14" i="1"/>
  <c r="H14" i="1" s="1"/>
  <c r="D13" i="1"/>
  <c r="H13" i="1" s="1"/>
  <c r="D12" i="1"/>
  <c r="H12" i="1" s="1"/>
  <c r="D11" i="1"/>
  <c r="H11" i="1" s="1"/>
  <c r="D10" i="1"/>
  <c r="J13" i="4"/>
  <c r="J12" i="4"/>
  <c r="J11" i="4"/>
  <c r="J10" i="4"/>
  <c r="J9" i="4"/>
  <c r="J8" i="4"/>
  <c r="J7" i="4"/>
  <c r="J6" i="4"/>
  <c r="J5" i="4"/>
  <c r="J4" i="4"/>
  <c r="I2" i="4"/>
  <c r="J7" i="6"/>
  <c r="J5" i="6"/>
  <c r="J4" i="6"/>
  <c r="J3" i="6"/>
  <c r="J6" i="6"/>
  <c r="J2" i="6"/>
  <c r="F62" i="2"/>
  <c r="E62" i="2"/>
  <c r="B54" i="8"/>
  <c r="F52" i="8" a="1"/>
  <c r="F52" i="8" s="1"/>
  <c r="E52" i="8" a="1"/>
  <c r="E52" i="8" s="1"/>
  <c r="D52" i="8" a="1"/>
  <c r="D52" i="8" s="1"/>
  <c r="C52" i="8" a="1"/>
  <c r="C52" i="8" s="1"/>
  <c r="B52" i="8" a="1"/>
  <c r="B52" i="8" s="1"/>
  <c r="A52" i="8" a="1"/>
  <c r="A52" i="8" s="1"/>
  <c r="F51" i="8" a="1"/>
  <c r="F51" i="8" s="1"/>
  <c r="E51" i="8" a="1"/>
  <c r="E51" i="8" s="1"/>
  <c r="D51" i="8" a="1"/>
  <c r="D51" i="8" s="1"/>
  <c r="C51" i="8" a="1"/>
  <c r="C51" i="8" s="1"/>
  <c r="B51" i="8" a="1"/>
  <c r="B51" i="8" s="1"/>
  <c r="A51" i="8" a="1"/>
  <c r="A51" i="8" s="1"/>
  <c r="F50" i="8" a="1"/>
  <c r="F50" i="8" s="1"/>
  <c r="E50" i="8" a="1"/>
  <c r="E50" i="8" s="1"/>
  <c r="D50" i="8" a="1"/>
  <c r="D50" i="8" s="1"/>
  <c r="C50" i="8" a="1"/>
  <c r="C50" i="8" s="1"/>
  <c r="B50" i="8" a="1"/>
  <c r="B50" i="8" s="1"/>
  <c r="A50" i="8" a="1"/>
  <c r="A50" i="8" s="1"/>
  <c r="F49" i="8" a="1"/>
  <c r="F49" i="8" s="1"/>
  <c r="E49" i="8" a="1"/>
  <c r="E49" i="8" s="1"/>
  <c r="D49" i="8" a="1"/>
  <c r="D49" i="8" s="1"/>
  <c r="C49" i="8" a="1"/>
  <c r="C49" i="8" s="1"/>
  <c r="B49" i="8" a="1"/>
  <c r="B49" i="8" s="1"/>
  <c r="A49" i="8" a="1"/>
  <c r="A49" i="8" s="1"/>
  <c r="F48" i="8" a="1"/>
  <c r="F48" i="8" s="1"/>
  <c r="E48" i="8" a="1"/>
  <c r="E48" i="8" s="1"/>
  <c r="D48" i="8" a="1"/>
  <c r="D48" i="8" s="1"/>
  <c r="C48" i="8" a="1"/>
  <c r="C48" i="8" s="1"/>
  <c r="B48" i="8" a="1"/>
  <c r="B48" i="8" s="1"/>
  <c r="A48" i="8" a="1"/>
  <c r="A48" i="8" s="1"/>
  <c r="F47" i="8" a="1"/>
  <c r="F47" i="8" s="1"/>
  <c r="E47" i="8" a="1"/>
  <c r="E47" i="8" s="1"/>
  <c r="D47" i="8" a="1"/>
  <c r="D47" i="8" s="1"/>
  <c r="C47" i="8" a="1"/>
  <c r="C47" i="8" s="1"/>
  <c r="B47" i="8" a="1"/>
  <c r="B47" i="8" s="1"/>
  <c r="A47" i="8" a="1"/>
  <c r="A47" i="8" s="1"/>
  <c r="F46" i="8" a="1"/>
  <c r="F46" i="8" s="1"/>
  <c r="E46" i="8" a="1"/>
  <c r="E46" i="8" s="1"/>
  <c r="D46" i="8" a="1"/>
  <c r="D46" i="8" s="1"/>
  <c r="C46" i="8" a="1"/>
  <c r="C46" i="8" s="1"/>
  <c r="B46" i="8" a="1"/>
  <c r="B46" i="8" s="1"/>
  <c r="A46" i="8" a="1"/>
  <c r="A46" i="8" s="1"/>
  <c r="F45" i="8" a="1"/>
  <c r="F45" i="8" s="1"/>
  <c r="E45" i="8" a="1"/>
  <c r="E45" i="8" s="1"/>
  <c r="D45" i="8" a="1"/>
  <c r="D45" i="8" s="1"/>
  <c r="C45" i="8" a="1"/>
  <c r="C45" i="8" s="1"/>
  <c r="B45" i="8" a="1"/>
  <c r="B45" i="8" s="1"/>
  <c r="A45" i="8" a="1"/>
  <c r="A45" i="8" s="1"/>
  <c r="F44" i="8" a="1"/>
  <c r="F44" i="8" s="1"/>
  <c r="E44" i="8" a="1"/>
  <c r="E44" i="8" s="1"/>
  <c r="D44" i="8" a="1"/>
  <c r="D44" i="8" s="1"/>
  <c r="C44" i="8" a="1"/>
  <c r="C44" i="8" s="1"/>
  <c r="B44" i="8" a="1"/>
  <c r="B44" i="8" s="1"/>
  <c r="A44" i="8" a="1"/>
  <c r="A44" i="8" s="1"/>
  <c r="F43" i="8" a="1"/>
  <c r="F43" i="8" s="1"/>
  <c r="E43" i="8" a="1"/>
  <c r="E43" i="8" s="1"/>
  <c r="D43" i="8" a="1"/>
  <c r="D43" i="8" s="1"/>
  <c r="C43" i="8" a="1"/>
  <c r="C43" i="8" s="1"/>
  <c r="B43" i="8" a="1"/>
  <c r="B43" i="8" s="1"/>
  <c r="A43" i="8" a="1"/>
  <c r="A43" i="8" s="1"/>
  <c r="F42" i="8" a="1"/>
  <c r="F42" i="8" s="1"/>
  <c r="E42" i="8" a="1"/>
  <c r="E42" i="8" s="1"/>
  <c r="D42" i="8" a="1"/>
  <c r="D42" i="8" s="1"/>
  <c r="C42" i="8" a="1"/>
  <c r="C42" i="8" s="1"/>
  <c r="B42" i="8" a="1"/>
  <c r="B42" i="8" s="1"/>
  <c r="A42" i="8" a="1"/>
  <c r="A42" i="8" s="1"/>
  <c r="F41" i="8" a="1"/>
  <c r="F41" i="8" s="1"/>
  <c r="E41" i="8" a="1"/>
  <c r="E41" i="8" s="1"/>
  <c r="D41" i="8" a="1"/>
  <c r="D41" i="8" s="1"/>
  <c r="C41" i="8" a="1"/>
  <c r="C41" i="8" s="1"/>
  <c r="B41" i="8" a="1"/>
  <c r="B41" i="8" s="1"/>
  <c r="A41" i="8" a="1"/>
  <c r="A41" i="8" s="1"/>
  <c r="F40" i="8" a="1"/>
  <c r="F40" i="8" s="1"/>
  <c r="E40" i="8" a="1"/>
  <c r="E40" i="8" s="1"/>
  <c r="D40" i="8" a="1"/>
  <c r="D40" i="8" s="1"/>
  <c r="C40" i="8" a="1"/>
  <c r="C40" i="8" s="1"/>
  <c r="B40" i="8" a="1"/>
  <c r="B40" i="8" s="1"/>
  <c r="A40" i="8" a="1"/>
  <c r="A40" i="8" s="1"/>
  <c r="F39" i="8" a="1"/>
  <c r="F39" i="8" s="1"/>
  <c r="E39" i="8" a="1"/>
  <c r="E39" i="8" s="1"/>
  <c r="D39" i="8" a="1"/>
  <c r="D39" i="8" s="1"/>
  <c r="C39" i="8" a="1"/>
  <c r="C39" i="8" s="1"/>
  <c r="B39" i="8" a="1"/>
  <c r="B39" i="8" s="1"/>
  <c r="A39" i="8" a="1"/>
  <c r="A39" i="8" s="1"/>
  <c r="F38" i="8" a="1"/>
  <c r="F38" i="8" s="1"/>
  <c r="E38" i="8" a="1"/>
  <c r="E38" i="8" s="1"/>
  <c r="D38" i="8" a="1"/>
  <c r="D38" i="8" s="1"/>
  <c r="C38" i="8" a="1"/>
  <c r="C38" i="8" s="1"/>
  <c r="B38" i="8" a="1"/>
  <c r="B38" i="8" s="1"/>
  <c r="A38" i="8" a="1"/>
  <c r="A38" i="8" s="1"/>
  <c r="F37" i="8" a="1"/>
  <c r="F37" i="8" s="1"/>
  <c r="E37" i="8" a="1"/>
  <c r="E37" i="8" s="1"/>
  <c r="D37" i="8" a="1"/>
  <c r="D37" i="8" s="1"/>
  <c r="C37" i="8" a="1"/>
  <c r="C37" i="8" s="1"/>
  <c r="B37" i="8" a="1"/>
  <c r="B37" i="8" s="1"/>
  <c r="A37" i="8" a="1"/>
  <c r="A37" i="8" s="1"/>
  <c r="F36" i="8" a="1"/>
  <c r="F36" i="8" s="1"/>
  <c r="E36" i="8" a="1"/>
  <c r="E36" i="8" s="1"/>
  <c r="D36" i="8" a="1"/>
  <c r="D36" i="8" s="1"/>
  <c r="C36" i="8" a="1"/>
  <c r="C36" i="8" s="1"/>
  <c r="B36" i="8" a="1"/>
  <c r="B36" i="8" s="1"/>
  <c r="A36" i="8" a="1"/>
  <c r="A36" i="8" s="1"/>
  <c r="F35" i="8" a="1"/>
  <c r="F35" i="8" s="1"/>
  <c r="E35" i="8" a="1"/>
  <c r="E35" i="8" s="1"/>
  <c r="D35" i="8" a="1"/>
  <c r="D35" i="8" s="1"/>
  <c r="C35" i="8" a="1"/>
  <c r="C35" i="8" s="1"/>
  <c r="B35" i="8" a="1"/>
  <c r="B35" i="8" s="1"/>
  <c r="A35" i="8" a="1"/>
  <c r="A35" i="8" s="1"/>
  <c r="F34" i="8" a="1"/>
  <c r="F34" i="8" s="1"/>
  <c r="E34" i="8" a="1"/>
  <c r="E34" i="8" s="1"/>
  <c r="D34" i="8" a="1"/>
  <c r="D34" i="8" s="1"/>
  <c r="C34" i="8" a="1"/>
  <c r="C34" i="8" s="1"/>
  <c r="B34" i="8" a="1"/>
  <c r="B34" i="8" s="1"/>
  <c r="A34" i="8" a="1"/>
  <c r="A34" i="8" s="1"/>
  <c r="F33" i="8" a="1"/>
  <c r="F33" i="8" s="1"/>
  <c r="E33" i="8" a="1"/>
  <c r="E33" i="8" s="1"/>
  <c r="D33" i="8" a="1"/>
  <c r="D33" i="8" s="1"/>
  <c r="C33" i="8" a="1"/>
  <c r="C33" i="8" s="1"/>
  <c r="B33" i="8" a="1"/>
  <c r="B33" i="8" s="1"/>
  <c r="A33" i="8" a="1"/>
  <c r="A33" i="8" s="1"/>
  <c r="F32" i="8" a="1"/>
  <c r="F32" i="8" s="1"/>
  <c r="E32" i="8" a="1"/>
  <c r="E32" i="8" s="1"/>
  <c r="D32" i="8" a="1"/>
  <c r="D32" i="8" s="1"/>
  <c r="C32" i="8" a="1"/>
  <c r="C32" i="8" s="1"/>
  <c r="B32" i="8" a="1"/>
  <c r="B32" i="8" s="1"/>
  <c r="A32" i="8" a="1"/>
  <c r="A32" i="8" s="1"/>
  <c r="F31" i="8" a="1"/>
  <c r="F31" i="8" s="1"/>
  <c r="E31" i="8" a="1"/>
  <c r="E31" i="8" s="1"/>
  <c r="D31" i="8" a="1"/>
  <c r="D31" i="8" s="1"/>
  <c r="C31" i="8" a="1"/>
  <c r="C31" i="8" s="1"/>
  <c r="B31" i="8" a="1"/>
  <c r="B31" i="8" s="1"/>
  <c r="A31" i="8" a="1"/>
  <c r="A31" i="8" s="1"/>
  <c r="C27" i="8"/>
  <c r="B27" i="8"/>
  <c r="C26" i="8"/>
  <c r="B26" i="8"/>
  <c r="G22" i="8" a="1"/>
  <c r="G22" i="8" s="1"/>
  <c r="F22" i="8" a="1"/>
  <c r="F22" i="8" s="1"/>
  <c r="E22" i="8" a="1"/>
  <c r="E22" i="8" s="1"/>
  <c r="D22" i="8" a="1"/>
  <c r="D22" i="8" s="1"/>
  <c r="C22" i="8" a="1"/>
  <c r="C22" i="8" s="1"/>
  <c r="B22" i="8" a="1"/>
  <c r="B22" i="8" s="1"/>
  <c r="A22" i="8" a="1"/>
  <c r="A22" i="8" s="1"/>
  <c r="G21" i="8" a="1"/>
  <c r="G21" i="8" s="1"/>
  <c r="F21" i="8" a="1"/>
  <c r="F21" i="8" s="1"/>
  <c r="E21" i="8" a="1"/>
  <c r="E21" i="8" s="1"/>
  <c r="D21" i="8" a="1"/>
  <c r="D21" i="8" s="1"/>
  <c r="C21" i="8" a="1"/>
  <c r="C21" i="8" s="1"/>
  <c r="B21" i="8" a="1"/>
  <c r="B21" i="8" s="1"/>
  <c r="A21" i="8" a="1"/>
  <c r="A21" i="8" s="1"/>
  <c r="G20" i="8" a="1"/>
  <c r="G20" i="8" s="1"/>
  <c r="F20" i="8" a="1"/>
  <c r="F20" i="8" s="1"/>
  <c r="E20" i="8" a="1"/>
  <c r="E20" i="8" s="1"/>
  <c r="D20" i="8" a="1"/>
  <c r="D20" i="8" s="1"/>
  <c r="C20" i="8" a="1"/>
  <c r="C20" i="8" s="1"/>
  <c r="B20" i="8" a="1"/>
  <c r="B20" i="8" s="1"/>
  <c r="A20" i="8" a="1"/>
  <c r="A20" i="8" s="1"/>
  <c r="G19" i="8" a="1"/>
  <c r="G19" i="8" s="1"/>
  <c r="F19" i="8" a="1"/>
  <c r="F19" i="8" s="1"/>
  <c r="E19" i="8" a="1"/>
  <c r="E19" i="8" s="1"/>
  <c r="D19" i="8" a="1"/>
  <c r="D19" i="8" s="1"/>
  <c r="C19" i="8" a="1"/>
  <c r="C19" i="8" s="1"/>
  <c r="B19" i="8" a="1"/>
  <c r="B19" i="8" s="1"/>
  <c r="A19" i="8" a="1"/>
  <c r="A19" i="8" s="1"/>
  <c r="G18" i="8" a="1"/>
  <c r="G18" i="8" s="1"/>
  <c r="F18" i="8" a="1"/>
  <c r="F18" i="8" s="1"/>
  <c r="E18" i="8" a="1"/>
  <c r="E18" i="8" s="1"/>
  <c r="D18" i="8" a="1"/>
  <c r="D18" i="8" s="1"/>
  <c r="C18" i="8" a="1"/>
  <c r="C18" i="8" s="1"/>
  <c r="B18" i="8" a="1"/>
  <c r="B18" i="8" s="1"/>
  <c r="A18" i="8" a="1"/>
  <c r="A18" i="8" s="1"/>
  <c r="G17" i="8" a="1"/>
  <c r="G17" i="8" s="1"/>
  <c r="F17" i="8" a="1"/>
  <c r="F17" i="8" s="1"/>
  <c r="E17" i="8" a="1"/>
  <c r="E17" i="8" s="1"/>
  <c r="D17" i="8" a="1"/>
  <c r="D17" i="8" s="1"/>
  <c r="C17" i="8" a="1"/>
  <c r="C17" i="8" s="1"/>
  <c r="B17" i="8" a="1"/>
  <c r="B17" i="8" s="1"/>
  <c r="A17" i="8" a="1"/>
  <c r="A17" i="8" s="1"/>
  <c r="G16" i="8" a="1"/>
  <c r="G16" i="8" s="1"/>
  <c r="F16" i="8" a="1"/>
  <c r="F16" i="8" s="1"/>
  <c r="E16" i="8" a="1"/>
  <c r="E16" i="8" s="1"/>
  <c r="D16" i="8" a="1"/>
  <c r="D16" i="8" s="1"/>
  <c r="C16" i="8" a="1"/>
  <c r="C16" i="8" s="1"/>
  <c r="B16" i="8" a="1"/>
  <c r="B16" i="8" s="1"/>
  <c r="A16" i="8" a="1"/>
  <c r="A16" i="8" s="1"/>
  <c r="G15" i="8" a="1"/>
  <c r="G15" i="8" s="1"/>
  <c r="F15" i="8" a="1"/>
  <c r="F15" i="8" s="1"/>
  <c r="E15" i="8" a="1"/>
  <c r="E15" i="8" s="1"/>
  <c r="D15" i="8" a="1"/>
  <c r="D15" i="8" s="1"/>
  <c r="C15" i="8" a="1"/>
  <c r="C15" i="8" s="1"/>
  <c r="B15" i="8" a="1"/>
  <c r="B15" i="8" s="1"/>
  <c r="A15" i="8" a="1"/>
  <c r="A15" i="8" s="1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B14" i="8" a="1"/>
  <c r="B14" i="8" s="1"/>
  <c r="A14" i="8" a="1"/>
  <c r="A14" i="8" s="1"/>
  <c r="G13" i="8" a="1"/>
  <c r="G13" i="8" s="1"/>
  <c r="F13" i="8" a="1"/>
  <c r="F13" i="8" s="1"/>
  <c r="E13" i="8" a="1"/>
  <c r="E13" i="8" s="1"/>
  <c r="D13" i="8" a="1"/>
  <c r="D13" i="8" s="1"/>
  <c r="C13" i="8" a="1"/>
  <c r="C13" i="8" s="1"/>
  <c r="B13" i="8" a="1"/>
  <c r="B13" i="8" s="1"/>
  <c r="A13" i="8" a="1"/>
  <c r="A13" i="8" s="1"/>
  <c r="H3" i="7"/>
  <c r="B2" i="8"/>
  <c r="F7" i="1"/>
  <c r="F6" i="1"/>
  <c r="F5" i="1"/>
  <c r="F4" i="1"/>
  <c r="B5" i="1"/>
  <c r="B4" i="1"/>
  <c r="H1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<sst xmlns="http://schemas.openxmlformats.org/spreadsheetml/2006/main" count="1177" uniqueCount="733">
  <si>
    <t>Date</t>
  </si>
  <si>
    <t>Focus</t>
  </si>
  <si>
    <t>Key Changes</t>
  </si>
  <si>
    <t>Commits</t>
  </si>
  <si>
    <t>Tests</t>
  </si>
  <si>
    <t>Spiral Verdict</t>
  </si>
  <si>
    <t>Thesis Impact</t>
  </si>
  <si>
    <t>2026-04-11</t>
  </si>
  <si>
    <t>Control Panel</t>
  </si>
  <si>
    <t>Created CONTROL_PANEL.xlsx, verified 60 elements</t>
  </si>
  <si>
    <t>—</t>
  </si>
  <si>
    <t>306/306</t>
  </si>
  <si>
    <t>Tracking artifact created</t>
  </si>
  <si>
    <t>2026-04-07</t>
  </si>
  <si>
    <t>alpha-drift fix + Spiral Loop</t>
  </si>
  <si>
    <t>Patched 5 doc files, installed spiral refinement</t>
  </si>
  <si>
    <t>e8e99d1</t>
  </si>
  <si>
    <t>CLEAN</t>
  </si>
  <si>
    <t>Doc-drift class documented</t>
  </si>
  <si>
    <t>2026-03-14</t>
  </si>
  <si>
    <t>Spectral eigenvalue fix</t>
  </si>
  <si>
    <t>Corrected Laplacian topology across 3 analyzers</t>
  </si>
  <si>
    <t>7019657</t>
  </si>
  <si>
    <t>Spectral chapter updated</t>
  </si>
  <si>
    <t>Sensitivity matrix</t>
  </si>
  <si>
    <t>Multi-mode sensitivity, KPI sensitivity analysis</t>
  </si>
  <si>
    <t>6f0ccad</t>
  </si>
  <si>
    <t>Documentation audit</t>
  </si>
  <si>
    <t>5-agent parallel audit, 8 priority actions done</t>
  </si>
  <si>
    <t>Audit tracker created</t>
  </si>
  <si>
    <t>2026-02-08</t>
  </si>
  <si>
    <t>Stress test + simulator</t>
  </si>
  <si>
    <t>Full vision coherence simulator, honest stress report</t>
  </si>
  <si>
    <t>9106dbf</t>
  </si>
  <si>
    <t>11 emergent truths discovered</t>
  </si>
  <si>
    <t>Thesis audit</t>
  </si>
  <si>
    <t>Complete thesis readiness audit</t>
  </si>
  <si>
    <t>VERDICT: PRISTINE</t>
  </si>
  <si>
    <t>Vertex topology fix</t>
  </si>
  <si>
    <t>Unified vertex topology across codebase</t>
  </si>
  <si>
    <t>22db8cd</t>
  </si>
  <si>
    <t>2026-04-15</t>
  </si>
  <si>
    <t>420 Spiral Octave Songbook - Phase 4 Commitment Artifact</t>
  </si>
  <si>
    <t>5 artifacts: xlsx, spec, command-center patch, JSON faceName patch, spiral report. Built from REFRENCE_MODELS extraction (420 cells).</t>
  </si>
  <si>
    <t>TBD</t>
  </si>
  <si>
    <t>smoke test PASS; no JS/engine tests touched</t>
  </si>
  <si>
    <t>RADIANT 9.25/10 (12/12 faces &gt;= 9)</t>
  </si>
  <si>
    <t>SQ5 evidence; paradigm reframe: measure-what-is -&gt; ask-what-is-alive</t>
  </si>
  <si>
    <t>HOW TO USE: After each session, add one row. Date + Focus + Key Changes are the minimum. Run tests and record. Spiral Verdict from /selfcritique.</t>
  </si>
  <si>
    <t>QUANNEX POC — CONTROL PANEL</t>
  </si>
  <si>
    <t>THESIS DEFENSE COUNTDOWN</t>
  </si>
  <si>
    <t>Days Remaining</t>
  </si>
  <si>
    <t>Current Week</t>
  </si>
  <si>
    <t>Hard Deadline</t>
  </si>
  <si>
    <t>June 1, 2026 (noon)</t>
  </si>
  <si>
    <t>Next Milestone</t>
  </si>
  <si>
    <t>Phase 3 validation — ~April 17</t>
  </si>
  <si>
    <t>Face #</t>
  </si>
  <si>
    <t>Name</t>
  </si>
  <si>
    <t>Dimension</t>
  </si>
  <si>
    <t>Status</t>
  </si>
  <si>
    <t>Key Metric</t>
  </si>
  <si>
    <t>Last Assessed</t>
  </si>
  <si>
    <t>Notes</t>
  </si>
  <si>
    <t>Survival</t>
  </si>
  <si>
    <t>Correctness</t>
  </si>
  <si>
    <t>PASS</t>
  </si>
  <si>
    <t>0 syntax errors</t>
  </si>
  <si>
    <t>Foundation</t>
  </si>
  <si>
    <t>Structural Integrity</t>
  </si>
  <si>
    <t>PhiHarmonics consistent</t>
  </si>
  <si>
    <t>Clarity</t>
  </si>
  <si>
    <t>Documentation</t>
  </si>
  <si>
    <t>WARN</t>
  </si>
  <si>
    <t>α-drift class patched</t>
  </si>
  <si>
    <t>Doc-drift risk ongoing</t>
  </si>
  <si>
    <t>Harmony</t>
  </si>
  <si>
    <t>DRY &amp; Hygiene</t>
  </si>
  <si>
    <t>Logger migration done</t>
  </si>
  <si>
    <t>3 spectral files = tech debt</t>
  </si>
  <si>
    <t>Signal</t>
  </si>
  <si>
    <t>Honest Output</t>
  </si>
  <si>
    <t>Test honesty verified</t>
  </si>
  <si>
    <t>Stress test was once dishonest</t>
  </si>
  <si>
    <t>Consciousness</t>
  </si>
  <si>
    <t>Intelligence Interop</t>
  </si>
  <si>
    <t>CLAUDE.md + hooks active</t>
  </si>
  <si>
    <t>Coherence</t>
  </si>
  <si>
    <t>Pattern Alignment</t>
  </si>
  <si>
    <t>5-pass engine intact</t>
  </si>
  <si>
    <t>Resilience</t>
  </si>
  <si>
    <t>Risk &amp; Security</t>
  </si>
  <si>
    <t>Circuit breaker active</t>
  </si>
  <si>
    <t>Edge cases need re-testing</t>
  </si>
  <si>
    <t>Growth</t>
  </si>
  <si>
    <t>Regenerative Quality</t>
  </si>
  <si>
    <t>Self-dev pattern installed</t>
  </si>
  <si>
    <t>13 growth ideas pending</t>
  </si>
  <si>
    <t>Integrity</t>
  </si>
  <si>
    <t>Test Coverage</t>
  </si>
  <si>
    <t>306/306 green</t>
  </si>
  <si>
    <t>Smoke test needs HTTP server</t>
  </si>
  <si>
    <t>Discovery</t>
  </si>
  <si>
    <t>Research &amp; Creativity</t>
  </si>
  <si>
    <t>11 emergent truths found</t>
  </si>
  <si>
    <t>Radiance</t>
  </si>
  <si>
    <t>Sustainable Exponentiality</t>
  </si>
  <si>
    <t>Spiral loop self-applying</t>
  </si>
  <si>
    <t>Law 1 inscribed</t>
  </si>
  <si>
    <t>Spiral Octave Songbook v1 (Phase 4 Commitment)</t>
  </si>
  <si>
    <t>Phase 4</t>
  </si>
  <si>
    <t>RADIANT</t>
  </si>
  <si>
    <t>9.25/10</t>
  </si>
  <si>
    <t>12/12 faces &gt;= 9/10</t>
  </si>
  <si>
    <t>Artifact committed, May package scheduled</t>
  </si>
  <si>
    <t>OVERALL VERDICT</t>
  </si>
  <si>
    <t>Law 1: "Substrate failures are invisible until asked about. Therefore: ask about them on a schedule, not on suspicion."</t>
  </si>
  <si>
    <t>Face Name</t>
  </si>
  <si>
    <t>Element</t>
  </si>
  <si>
    <t>Check Description</t>
  </si>
  <si>
    <t>Evidence / Notes</t>
  </si>
  <si>
    <t>Last Checked</t>
  </si>
  <si>
    <t>Earth</t>
  </si>
  <si>
    <t>Syntax validation — node --check on every changed .js file</t>
  </si>
  <si>
    <t>node --check: 7 key files OK (main, Face, TuningConfig, spectral, breath, phi-harmonics)</t>
  </si>
  <si>
    <t>Water</t>
  </si>
  <si>
    <t>No crashes — POC loads in browser without console errors</t>
  </si>
  <si>
    <t>Fire</t>
  </si>
  <si>
    <t>Script &amp; dependency order — spectral/breath analyzers before main.js</t>
  </si>
  <si>
    <t>Air</t>
  </si>
  <si>
    <t>Environment compatibility — Windows path separators, pwsh vs bash</t>
  </si>
  <si>
    <t>Windows paths handled, pwsh used</t>
  </si>
  <si>
    <t>Ether</t>
  </si>
  <si>
    <t>Import resolution — ES module imports, cache-busting ?v= strings</t>
  </si>
  <si>
    <t>Variable shadowing — locals shadowing outer scope (caused real bugs)</t>
  </si>
  <si>
    <t>PhiHarmonics constants — no hardcoded 0.618, 0.382, 1.618 etc.</t>
  </si>
  <si>
    <t>All phi values in comments only, not hardcoded in executable code</t>
  </si>
  <si>
    <t>Export contracts — window globals: Quannex, PhiHarmonics, Logger etc.</t>
  </si>
  <si>
    <t>window.Quannex, PhiHarmonics, Logger globals documented in main.js</t>
  </si>
  <si>
    <t>Type safety — face IDs numbers (1-12), energy 0-1, NaN guards</t>
  </si>
  <si>
    <t>Import hygiene — unused imports removed, no side-effect-only imports</t>
  </si>
  <si>
    <t>"Why" comments — Greek params (α-θ) documented, phi powers explained</t>
  </si>
  <si>
    <t>Doc-drift class found 2026-04-07; SSOT lookup rule established</t>
  </si>
  <si>
    <t>Architecture docs — FILE_STRUCTURE_MAP, MODULE_ARCHITECTURE current</t>
  </si>
  <si>
    <t>DOCUMENTATION_INDEX.md current, FILE_STRUCTURE_MAP exists</t>
  </si>
  <si>
    <t>Debug trails — symptom → root cause → fix documented</t>
  </si>
  <si>
    <t>Debug trail documented in LEARNINGS.md + session contexts</t>
  </si>
  <si>
    <t>Calculation audit trail — every formula traceable input→formula→output</t>
  </si>
  <si>
    <t>CALCULATION_AUDIT_TRAIL.md: 28KB, every formula traced</t>
  </si>
  <si>
    <t>Cross-workspace notes — thesis-relevant evidence flagged</t>
  </si>
  <si>
    <t>CrossWorkspaceUpdate pattern active, /thesis skill exists</t>
  </si>
  <si>
    <t>Deduplication — 3 spectral analyzer files consistent</t>
  </si>
  <si>
    <t>3 spectral analyzer files still exist (known tech debt)</t>
  </si>
  <si>
    <t>Dead code removal — no commented-out code, use archive/ dir</t>
  </si>
  <si>
    <t>No commented-out code in core files; archive/ dir exists</t>
  </si>
  <si>
    <t>Naming conventions — camelCase vars, PascalCase classes, kebab files</t>
  </si>
  <si>
    <t>Anti-pattern cleanup — Logger.* not console.log, null checks on DOM</t>
  </si>
  <si>
    <t>Zero raw console.log in core/advanced/main — all Logger.*</t>
  </si>
  <si>
    <t>File organization — JS in correct subdirectory, pages in pages/</t>
  </si>
  <si>
    <t>JS in correct subdirs, pages in pages/</t>
  </si>
  <si>
    <t>Test honesty — no try/catch swallowing failures in tests</t>
  </si>
  <si>
    <t>Stress test honesty verified Feb 2026 (was once dishonest)</t>
  </si>
  <si>
    <t>Error message accuracy — Logger.warn/error describe actual problem</t>
  </si>
  <si>
    <t>Logging consistency — all through Logger.*, correct severity levels</t>
  </si>
  <si>
    <t>Full Logger.* migration done (930f687)</t>
  </si>
  <si>
    <t>Data validation — data-validator catches corruption patterns</t>
  </si>
  <si>
    <t>data-validator.js: 82 tests green</t>
  </si>
  <si>
    <t>No silent failures — edge cases produce warnings, not wrong answers</t>
  </si>
  <si>
    <t>AI navigability — new Claude session orients in &lt;30 seconds</t>
  </si>
  <si>
    <t>CLAUDE.md + DOCUMENTATION_INDEX + hooks active</t>
  </si>
  <si>
    <t>Human readability — phi ratios explained, metaphor accessible</t>
  </si>
  <si>
    <t>Dependency maps — loader→data→engine→analysis chain discoverable</t>
  </si>
  <si>
    <t>Entry points marked — orchestrator, demo, pages, engine API documented</t>
  </si>
  <si>
    <t>4 entry points documented in CLAUDE.md</t>
  </si>
  <si>
    <t>Session context — hooks provide context, memory MCP populated</t>
  </si>
  <si>
    <t>session-start hook, pre-compact hook, memory MCP populated</t>
  </si>
  <si>
    <t>Engine patterns — follows 5-pass calculation pattern in main.js</t>
  </si>
  <si>
    <t>5-pass pipeline intact in main.js</t>
  </si>
  <si>
    <t>Constant usage — PhiHarmonics for thresholds, TuningConfig for params</t>
  </si>
  <si>
    <t>TuningConfig.js SSOT, PhiHarmonics for thresholds</t>
  </si>
  <si>
    <t>Analyzer structure — class with analyze() method, structured results</t>
  </si>
  <si>
    <t>Sacred geometry respect — faces/edges/vertices vocabulary, not generic</t>
  </si>
  <si>
    <t>Sacred geometry vocabulary used consistently</t>
  </si>
  <si>
    <t>Data format consistency — company templates follow quannex/ format</t>
  </si>
  <si>
    <t>4 company templates follow quannex/ format</t>
  </si>
  <si>
    <t>Edge cases — 0-energy faces, missing KPI data, NaN propagation</t>
  </si>
  <si>
    <t>Edge cases not re-tested since Feb 2026</t>
  </si>
  <si>
    <t>Stress testing — all 4 templates, rapid updateKPI() calls</t>
  </si>
  <si>
    <t>Security — CSV injection safe, sessionStorage validated, no path traversal</t>
  </si>
  <si>
    <t>Failure mode simulation — missing files, malformed JSON, full storage</t>
  </si>
  <si>
    <t>Risk register — enumerate all risks, severity, mitigation path</t>
  </si>
  <si>
    <t>Tech debt awareness — new debt created? Known: 3 spectral files, CSV legacy</t>
  </si>
  <si>
    <t>Known debt: 3 spectral files, CSV legacy, ~10 TODO items</t>
  </si>
  <si>
    <t>Extensibility — new templates without code changes? New faces beyond 12?</t>
  </si>
  <si>
    <t>New templates work without code changes</t>
  </si>
  <si>
    <t>Proactive improvements — clarified messages, tightened null checks?</t>
  </si>
  <si>
    <t>TODO tracking — all TODOs in report, not left as // TODO comments</t>
  </si>
  <si>
    <t>Sustainability — main.js (1917 lines) appropriate, or time to extract?</t>
  </si>
  <si>
    <t>main.js at 1917 lines — extraction consideration pending</t>
  </si>
  <si>
    <t>Suite results — Phi:127 Integration:55 Excel:42 Validator:82 Smoke:77</t>
  </si>
  <si>
    <t>Phi:127 Integration:55 Excel:42 Validator:82 = 306/306 green</t>
  </si>
  <si>
    <t>New function coverage — every new public function has a test</t>
  </si>
  <si>
    <t>Regression prevention — tests against all 4 company templates</t>
  </si>
  <si>
    <t>Integration tests run against all 4 company templates</t>
  </si>
  <si>
    <t>Test quality — math tests verify identities, not just 'returns a number'</t>
  </si>
  <si>
    <t>phi-math.test.js verifies identities (phi^2=phi+1 etc.)</t>
  </si>
  <si>
    <t>Evidence gathering — thesis-relevant test results captured</t>
  </si>
  <si>
    <t>/thesis skill captures evidence, CrossWorkspaceUpdate pattern</t>
  </si>
  <si>
    <t>Internet research — searched for existing solutions to hard problems?</t>
  </si>
  <si>
    <t>11 emergent mathematical truths documented</t>
  </si>
  <si>
    <t>Out-of-box thinking — simpler formulation? More elegant approach?</t>
  </si>
  <si>
    <t>Helicopter view — serves bigger picture? Thesis demonstration?</t>
  </si>
  <si>
    <t>POC serves thesis demonstration, defense prep ready</t>
  </si>
  <si>
    <t>Agent team usage — complex changes used research/impl/review agents?</t>
  </si>
  <si>
    <t>Cross-workspace pollination — benefits Thesis or Business Data?</t>
  </si>
  <si>
    <t>CrossWorkspaceUpdate entities created for thesis</t>
  </si>
  <si>
    <t>Compounding value — does this make NEXT Quannex work easier?</t>
  </si>
  <si>
    <t>Control panel compounds future session velocity</t>
  </si>
  <si>
    <t>Capability building — reusable utilities extracted to js/core/?</t>
  </si>
  <si>
    <t>PhiHarmonics, TuningConfig, Logger all reusable</t>
  </si>
  <si>
    <t>Pipeline development — new tests, skills, hooks, templates?</t>
  </si>
  <si>
    <t>306 tests, selfcritique skill, session hooks all automate</t>
  </si>
  <si>
    <t>Highest-leverage action — ONE thing with greatest compounding effect?</t>
  </si>
  <si>
    <t>Future acceleration — next session feels welcomed and empowered?</t>
  </si>
  <si>
    <t>CLAUDE.md + hooks + memory = warm welcome for next session</t>
  </si>
  <si>
    <t>Suite</t>
  </si>
  <si>
    <t>File Path</t>
  </si>
  <si>
    <t>Expected</t>
  </si>
  <si>
    <t>Actual</t>
  </si>
  <si>
    <t>Pass</t>
  </si>
  <si>
    <t>Fail</t>
  </si>
  <si>
    <t>Last Run</t>
  </si>
  <si>
    <t>Phi Math Constants</t>
  </si>
  <si>
    <t>tests/phi-math.test.js</t>
  </si>
  <si>
    <t>Integration (Engine)</t>
  </si>
  <si>
    <t>tests/integration.test.mjs</t>
  </si>
  <si>
    <t>MODULE_TYPELESS warning (cosmetic)</t>
  </si>
  <si>
    <t>Excel Parser Round-Trip</t>
  </si>
  <si>
    <t>tests/excel-parser.test.mjs</t>
  </si>
  <si>
    <t>Data Validator</t>
  </si>
  <si>
    <t>tests/data-validator.test.mjs</t>
  </si>
  <si>
    <t>Was 88 in some old docs — 82 is the real count</t>
  </si>
  <si>
    <t>Browser Smoke Test</t>
  </si>
  <si>
    <t>tests/smoke-test.mjs</t>
  </si>
  <si>
    <t>Needs HTTP server on localhost:8000</t>
  </si>
  <si>
    <t>TOTAL</t>
  </si>
  <si>
    <t>Smoke test not included (needs server)</t>
  </si>
  <si>
    <t>HTML Browser Tests (manual, open in browser)</t>
  </si>
  <si>
    <t>Circuit Breaker</t>
  </si>
  <si>
    <t>tests/circuit-breaker.test.html</t>
  </si>
  <si>
    <t>Needs browser</t>
  </si>
  <si>
    <t>KPI Constants Integrity</t>
  </si>
  <si>
    <t>tests/kpi-constants-integrity.test.html</t>
  </si>
  <si>
    <t>Phase 3 Integrity</t>
  </si>
  <si>
    <t>tests/phase3-integrity-tests.html</t>
  </si>
  <si>
    <t>How to run:  node tests/run-all.js    (for smoke test: first run  python -m http.server 8000)</t>
  </si>
  <si>
    <t>POC → THESIS EVIDENCE MAP</t>
  </si>
  <si>
    <t>POC Artifact</t>
  </si>
  <si>
    <t>Size</t>
  </si>
  <si>
    <t>Target Chapter</t>
  </si>
  <si>
    <t>Integration Status</t>
  </si>
  <si>
    <t>Spectral Analysis Chapter</t>
  </si>
  <si>
    <t>docs/thesis/SPECTRAL_ANALYSIS_CHAPTER.md</t>
  </si>
  <si>
    <t>36 KB</t>
  </si>
  <si>
    <t>READY</t>
  </si>
  <si>
    <t>Ch4/5 Results</t>
  </si>
  <si>
    <t>Not yet integrated</t>
  </si>
  <si>
    <t>Formatted for .docx import</t>
  </si>
  <si>
    <t>Consciousness Model</t>
  </si>
  <si>
    <t>docs/thesis/CONSCIOUSNESS_MODEL.md</t>
  </si>
  <si>
    <t>12 KB</t>
  </si>
  <si>
    <t>Ch2/3 Literature</t>
  </si>
  <si>
    <t>7 octaves + psychology basis</t>
  </si>
  <si>
    <t>Defense Preparation</t>
  </si>
  <si>
    <t>docs/thesis/DEFENSE_PREPARATION.md</t>
  </si>
  <si>
    <t>30 KB</t>
  </si>
  <si>
    <t>Defense prep (study guide)</t>
  </si>
  <si>
    <t>N/A</t>
  </si>
  <si>
    <t>Committee Q&amp;A, 499 lines</t>
  </si>
  <si>
    <t>Emergent Mathematical Truths</t>
  </si>
  <si>
    <t>docs/thesis/EMERGENT_MATHEMATICAL_TRUTHS.md</t>
  </si>
  <si>
    <t>50 KB</t>
  </si>
  <si>
    <t>Ch4 Discussion</t>
  </si>
  <si>
    <t>11 discoveries, stress test evidence</t>
  </si>
  <si>
    <t>Novel Mathematical Contributions</t>
  </si>
  <si>
    <t>docs/thesis/NOVEL_MATHEMATICAL_CONTRIBUTIONS.md</t>
  </si>
  <si>
    <t>Ch4 Appendix</t>
  </si>
  <si>
    <t>4 frameworks, ALCOA+ rigor</t>
  </si>
  <si>
    <t>Wisdom Brief</t>
  </si>
  <si>
    <t>docs/thesis/WISDOM_BRIEF.md</t>
  </si>
  <si>
    <t>17 KB</t>
  </si>
  <si>
    <t>Ch2 Literature</t>
  </si>
  <si>
    <t>Philosophical grounding</t>
  </si>
  <si>
    <t>Calculation Audit Trail</t>
  </si>
  <si>
    <t>docs/math/CALCULATION_AUDIT_TRAIL.md</t>
  </si>
  <si>
    <t>28 KB</t>
  </si>
  <si>
    <t>Appendix</t>
  </si>
  <si>
    <t>"Academic armor" — every formula traced</t>
  </si>
  <si>
    <t>Sacred Geometry Proof</t>
  </si>
  <si>
    <t>docs/math/SACRED_GEOMETRY_PROOF.md</t>
  </si>
  <si>
    <t>31 KB</t>
  </si>
  <si>
    <t>Ch2/Appendix</t>
  </si>
  <si>
    <t>Eigenvalue verification, phi proofs</t>
  </si>
  <si>
    <t>Spectral Implementation</t>
  </si>
  <si>
    <t>docs/math/SPECTRAL_IMPLEMENTATION.md</t>
  </si>
  <si>
    <t>8 KB</t>
  </si>
  <si>
    <t>Ch4 Methods</t>
  </si>
  <si>
    <t>Graph Laplacian → code mapping</t>
  </si>
  <si>
    <t>Thesis Audit Report</t>
  </si>
  <si>
    <t>THESIS_AUDIT_REPORT.md</t>
  </si>
  <si>
    <t>25 KB</t>
  </si>
  <si>
    <t>Reference only</t>
  </si>
  <si>
    <t>VERDICT: PRISTINE, zero findings</t>
  </si>
  <si>
    <t>CRITICAL TIMELINE</t>
  </si>
  <si>
    <t>Milestone</t>
  </si>
  <si>
    <t>April 14 (DONE)</t>
  </si>
  <si>
    <t>CEN Phase 2 scoring — COMPLETE (session 25, Apr 7)</t>
  </si>
  <si>
    <t>BSC comparison 5/6. Evidence package ready.</t>
  </si>
  <si>
    <t>April 15-30</t>
  </si>
  <si>
    <t>Validation session with CEN</t>
  </si>
  <si>
    <t>May 1-20</t>
  </si>
  <si>
    <t>Write Chapters 5-7 (Case Study B, Cross-Case, Conclusions)</t>
  </si>
  <si>
    <t>PRIMARY WRITING WINDOW</t>
  </si>
  <si>
    <t>May 25</t>
  </si>
  <si>
    <t>Final review pass</t>
  </si>
  <si>
    <t>June 1 (noon)</t>
  </si>
  <si>
    <t>HARD DEADLINE — upload to Onstage</t>
  </si>
  <si>
    <t>NON-NEGOTIABLE</t>
  </si>
  <si>
    <t>Spiral Octave Songbook Phase 4 Commitment</t>
  </si>
  <si>
    <t>SQ5 quantitative KPI embedding proof + paradigm reframe</t>
  </si>
  <si>
    <t>POC/deliverables/ + POC/docs/</t>
  </si>
  <si>
    <t>Committee-reproducible</t>
  </si>
  <si>
    <t>Methodology + 5 worked examples + spiral 9.25/10</t>
  </si>
  <si>
    <t>See SPIRAL_OCTAVE_SONGBOOK_SPEC.md</t>
  </si>
  <si>
    <t>ACTIVE BLOCKERS</t>
  </si>
  <si>
    <t>IFC language reframe (Ch2-5)</t>
  </si>
  <si>
    <t>Blocked on Jan Willem confirmation</t>
  </si>
  <si>
    <t>Breath Axes scoring + POC run</t>
  </si>
  <si>
    <t>Needed for Chapter 5 §5.1.3</t>
  </si>
  <si>
    <t>Module</t>
  </si>
  <si>
    <t>Directory</t>
  </si>
  <si>
    <t>Files</t>
  </si>
  <si>
    <t>Key Components</t>
  </si>
  <si>
    <t>Core Engine</t>
  </si>
  <si>
    <t>js/core/</t>
  </si>
  <si>
    <t>6</t>
  </si>
  <si>
    <t>Face.js, TuningConfig.js, KPI.js</t>
  </si>
  <si>
    <t>Healthy</t>
  </si>
  <si>
    <t>SSOT for Greek constants (α-θ)</t>
  </si>
  <si>
    <t>Main Engine</t>
  </si>
  <si>
    <t>js/main.js</t>
  </si>
  <si>
    <t>1</t>
  </si>
  <si>
    <t>1917-line calculation engine (5-pass)</t>
  </si>
  <si>
    <t>Consider extracting to js/core/</t>
  </si>
  <si>
    <t>Advanced Analysis</t>
  </si>
  <si>
    <t>js/advanced/</t>
  </si>
  <si>
    <t>8</t>
  </si>
  <si>
    <t>spectral-analyzer, edge-analyzer, vertex-analyzer</t>
  </si>
  <si>
    <t>3 spectral files = unification debt</t>
  </si>
  <si>
    <t>Constants</t>
  </si>
  <si>
    <t>js/constants/</t>
  </si>
  <si>
    <t>9</t>
  </si>
  <si>
    <t>phi-harmonics.js, sacred-inquiry.js</t>
  </si>
  <si>
    <t>SSOT for phi-derived values</t>
  </si>
  <si>
    <t>Data System</t>
  </si>
  <si>
    <t>js/data-system/</t>
  </si>
  <si>
    <t>data-validator.js, unified-data-loader.js</t>
  </si>
  <si>
    <t>Simulator</t>
  </si>
  <si>
    <t>js/simulator/</t>
  </si>
  <si>
    <t>sim-*.js modules</t>
  </si>
  <si>
    <t>Gold-documented (Feb 8)</t>
  </si>
  <si>
    <t>Edge System</t>
  </si>
  <si>
    <t>js/edge/</t>
  </si>
  <si>
    <t>3</t>
  </si>
  <si>
    <t>unified-edge.js, edge-manager.js</t>
  </si>
  <si>
    <t>Pure Membrane Model</t>
  </si>
  <si>
    <t>Shadow System</t>
  </si>
  <si>
    <t>js/shadow/</t>
  </si>
  <si>
    <t>Shadow detection + generation</t>
  </si>
  <si>
    <t>AI-integrated</t>
  </si>
  <si>
    <t>Orchestrator</t>
  </si>
  <si>
    <t>js/orchestrator/</t>
  </si>
  <si>
    <t>24</t>
  </si>
  <si>
    <t>5-step wizard flow</t>
  </si>
  <si>
    <t>Has archive/ subdir</t>
  </si>
  <si>
    <t>AI Layer</t>
  </si>
  <si>
    <t>js/ai/</t>
  </si>
  <si>
    <t>37</t>
  </si>
  <si>
    <t>Gemini integration, mapping context</t>
  </si>
  <si>
    <t>Pages</t>
  </si>
  <si>
    <t>pages/</t>
  </si>
  <si>
    <t>HTML entry points + orchestrator</t>
  </si>
  <si>
    <t>tests/</t>
  </si>
  <si>
    <t>10</t>
  </si>
  <si>
    <t>5 suites + HTML tests</t>
  </si>
  <si>
    <t>See Test Tracker sheet</t>
  </si>
  <si>
    <t>Companies</t>
  </si>
  <si>
    <t>companies/</t>
  </si>
  <si>
    <t>4 dirs</t>
  </si>
  <si>
    <t>quannex, nova-tech, apex, zenith</t>
  </si>
  <si>
    <t>Each: json + csv + mapping</t>
  </si>
  <si>
    <t>docs/</t>
  </si>
  <si>
    <t>57</t>
  </si>
  <si>
    <t>thesis/, math/, edge/, archive/</t>
  </si>
  <si>
    <t>13 growth ideas from Feb 16 audit</t>
  </si>
  <si>
    <t>Math Docs</t>
  </si>
  <si>
    <t>math/</t>
  </si>
  <si>
    <t>PENTAGRAM_ANALYSIS, OCTAVE_FRAMEWORK</t>
  </si>
  <si>
    <t>Standalone math references</t>
  </si>
  <si>
    <t>Songbook Generator</t>
  </si>
  <si>
    <t>scripts/</t>
  </si>
  <si>
    <t>_build_songbook_phase4_commitment.py</t>
  </si>
  <si>
    <t>openpyxl, 7-sheet xlsx builder</t>
  </si>
  <si>
    <t>REFRENCE_MODELS Extractor</t>
  </si>
  <si>
    <t>_extract_refrence_models.py</t>
  </si>
  <si>
    <t>420 cells -&gt; JSON</t>
  </si>
  <si>
    <t>Command Center Patch</t>
  </si>
  <si>
    <t>_update_command_center_phase4.py</t>
  </si>
  <si>
    <t>This script</t>
  </si>
  <si>
    <t>KPI Database Patcher</t>
  </si>
  <si>
    <t>_patch_kpi_database_facenames.py</t>
  </si>
  <si>
    <t>faceName harmonization</t>
  </si>
  <si>
    <t>Songbook Spec</t>
  </si>
  <si>
    <t>SPIRAL_OCTAVE_SONGBOOK_SPEC.md</t>
  </si>
  <si>
    <t>Canonical methodology spec v1.0</t>
  </si>
  <si>
    <t>TOTALS: 195 JS files | 9 pages | 4 company templates | 57 docs | 6 math docs | 306 automated tests</t>
  </si>
  <si>
    <t>CEN PARTNERSHIP -- DELIVERABLES TRACKER</t>
  </si>
  <si>
    <t>Source: Partnership_Overview_and_FAQ.md (signed scope)  |  Path: Final Thesis/.../Coherence Partnership Quannex x CEN</t>
  </si>
  <si>
    <t>PROMISED DELIVERABLES (from Partnership Overview &amp; FAQ, signed Feb 2026)</t>
  </si>
  <si>
    <t>#</t>
  </si>
  <si>
    <t>Promised Deliverable</t>
  </si>
  <si>
    <t>Description</t>
  </si>
  <si>
    <t>Source Material</t>
  </si>
  <si>
    <t>Target Phase</t>
  </si>
  <si>
    <t>Packaged?</t>
  </si>
  <si>
    <t>Conventional strategic analysis</t>
  </si>
  <si>
    <t>PESTEL, Porter's 5 Forces, McKinsey 7S, SWOT, BSC mapping</t>
  </si>
  <si>
    <t>DONE</t>
  </si>
  <si>
    <t>CEN_Conventional_Analysis_Working_Draft.md (77KB) + PESTEL notes + 7S analysis</t>
  </si>
  <si>
    <t>Phase 1-2</t>
  </si>
  <si>
    <t>NO</t>
  </si>
  <si>
    <t>Working draft exists in _Not yet facing/ folder. Post-interview enriched (session 18). Needs CEN-facing format.</t>
  </si>
  <si>
    <t>Novel coherence assessment (Spiral Dashboard)</t>
  </si>
  <si>
    <t>Full coherence portrait using Spiral Dashboard methodology</t>
  </si>
  <si>
    <t>Phase 2 Evidence Package (14 docs) — Vector Diagnostics, Breath, Divergence, BSC</t>
  </si>
  <si>
    <t>Phase 2-3</t>
  </si>
  <si>
    <t>Core deliverable. Evidence complete, needs branded report.</t>
  </si>
  <si>
    <t>3D visualization of CEN's organizational DNA</t>
  </si>
  <si>
    <t>Interactive dodecahedron reflecting CEN's patterns</t>
  </si>
  <si>
    <t>REQUIRES CEN TEMPLATE</t>
  </si>
  <si>
    <t>POC codebase + CEN raw scores (normalized arrays ready in RawScores_Frozen.md)</t>
  </si>
  <si>
    <t>Phase 3</t>
  </si>
  <si>
    <t>Need to create companies/cen/ template from Phase 2 scores. Then POC renders it live.</t>
  </si>
  <si>
    <t>Shadow analysis</t>
  </si>
  <si>
    <t>Hidden tensions, blind spots, dormant strengths</t>
  </si>
  <si>
    <t>PARTIAL</t>
  </si>
  <si>
    <t>CEN_Phase2_C3_DivergenceNarratives.md covers divergence. Full shadow analysis needs POC run.</t>
  </si>
  <si>
    <t>Divergence narratives done. Full shadow detection requires CEN template in POC engine.</t>
  </si>
  <si>
    <t>Breath analysis</t>
  </si>
  <si>
    <t>6 polarity axes balance assessment</t>
  </si>
  <si>
    <t>CEN_Phase2_C2_BreathAxes.md (21KB) + raw axis scores frozen</t>
  </si>
  <si>
    <t>Complete with 4-vector data. Needs formatting.</t>
  </si>
  <si>
    <t>Debrief session</t>
  </si>
  <si>
    <t>Discussing findings, implications, actionable next steps</t>
  </si>
  <si>
    <t>UPCOMING</t>
  </si>
  <si>
    <t>Phase 3 validation meeting materials (to be prepared)</t>
  </si>
  <si>
    <t>~April 17. Presentation + CEN-facing summary needed.</t>
  </si>
  <si>
    <t>Proposed KPIs with methodology notes</t>
  </si>
  <si>
    <t>Tailored KPI suggestions for CEN's context</t>
  </si>
  <si>
    <t>IN PROGRESS</t>
  </si>
  <si>
    <t>Will derive from coherence portrait + face mapping + breath analysis</t>
  </si>
  <si>
    <t>Phase 3-4</t>
  </si>
  <si>
    <t>Promised deliverable — not yet created. Should emerge from the coherence assessment.
2026-04-17: Phase 4 commitment artifact delivered (methodology + 5 worked examples). Full Songbook target May 2026.</t>
  </si>
  <si>
    <t>Thesis acknowledgment</t>
  </si>
  <si>
    <t>Named acknowledgment in published thesis</t>
  </si>
  <si>
    <t>NOT STARTED</t>
  </si>
  <si>
    <t>Will be written in thesis Chapter 1 or Acknowledgments section</t>
  </si>
  <si>
    <t>Write during final thesis assembly (May).</t>
  </si>
  <si>
    <t>PHASE OVERVIEW</t>
  </si>
  <si>
    <t>Phase</t>
  </si>
  <si>
    <t>Activity</t>
  </si>
  <si>
    <t>Date Window</t>
  </si>
  <si>
    <t>Work Done?</t>
  </si>
  <si>
    <t>Delivery Folder</t>
  </si>
  <si>
    <t>Phase 0</t>
  </si>
  <si>
    <t>Kickoff &amp; orientation</t>
  </si>
  <si>
    <t>Late Feb</t>
  </si>
  <si>
    <t>YES</t>
  </si>
  <si>
    <t>N/A (meeting only)</t>
  </si>
  <si>
    <t>Feb 13 meeting. Signed NDA + Partnership. 3D demo shown.</t>
  </si>
  <si>
    <t>Phase 1</t>
  </si>
  <si>
    <t>Conventional analysis + interview</t>
  </si>
  <si>
    <t>Mar 9-31</t>
  </si>
  <si>
    <t>Deliverables from Quannex/Phase 1</t>
  </si>
  <si>
    <t>Interview Mar 20, synthesis 57KB. FOLDER EMPTY.</t>
  </si>
  <si>
    <t>Phase 2</t>
  </si>
  <si>
    <t>Scoring + BSC comparison + evidence</t>
  </si>
  <si>
    <t>Apr 1-14</t>
  </si>
  <si>
    <t>Deliverables from Quannex/Phase 2</t>
  </si>
  <si>
    <t>Both questionnaires Apr 7. 14-doc evidence package. BSC 5/6. FOLDER EMPTY.</t>
  </si>
  <si>
    <t>Results presentation + validation + debrief</t>
  </si>
  <si>
    <t>Apr 15-30</t>
  </si>
  <si>
    <t>Deliverables from Quannex/Phase 3</t>
  </si>
  <si>
    <t>~April 17. Need: presentation, CEN summary, 3D demo (needs CEN template).</t>
  </si>
  <si>
    <t>Final report + KPIs + acknowledgment</t>
  </si>
  <si>
    <t>May</t>
  </si>
  <si>
    <t>Deliverables from Quannex/Phase 4</t>
  </si>
  <si>
    <t>Depends on Phase 3 validation + thesis chapters.</t>
  </si>
  <si>
    <t>PACKAGING ACTIONS — What needs to happen before Phase 3 (~April 17)</t>
  </si>
  <si>
    <t>Priority</t>
  </si>
  <si>
    <t>Action</t>
  </si>
  <si>
    <t>Source</t>
  </si>
  <si>
    <t>Output Format</t>
  </si>
  <si>
    <t>Destination</t>
  </si>
  <si>
    <t>Effort</t>
  </si>
  <si>
    <t>CRITICAL</t>
  </si>
  <si>
    <t>Create CEN company template for POC</t>
  </si>
  <si>
    <t>RawScores_Frozen.md (normalized arrays ready)</t>
  </si>
  <si>
    <t>companies/cen/ (company.json + kpis.csv + mapping-context.json)</t>
  </si>
  <si>
    <t>POC/companies/cen/</t>
  </si>
  <si>
    <t>NOT DONE</t>
  </si>
  <si>
    <t>~2 hours</t>
  </si>
  <si>
    <t>Unlocks: 3D visualization (#3), shadow analysis (#4), live demo. D_norm + E_norm available. Use average or researcher-calibrated vector.</t>
  </si>
  <si>
    <t>Create Phase 3 validation presentation</t>
  </si>
  <si>
    <t>Phase 2 evidence package (C1-C4 docs)</t>
  </si>
  <si>
    <t>PPTX (Quannex branded)</t>
  </si>
  <si>
    <t>Deliverables/Phase 3/</t>
  </si>
  <si>
    <t>~3 hours</t>
  </si>
  <si>
    <t>The centerpiece of the ~April 17 meeting. Coherence portrait + key findings.</t>
  </si>
  <si>
    <t>Create CEN-facing coherence summary</t>
  </si>
  <si>
    <t>C1 Vector Diagnostics + C2 Breath + C3 Divergence</t>
  </si>
  <si>
    <t>PDF (Quannex branded, 2-4 pages)</t>
  </si>
  <si>
    <t>Executive summary leave-behind document for D and E.</t>
  </si>
  <si>
    <t>HIGH</t>
  </si>
  <si>
    <t>Package Phase 1 deliverables</t>
  </si>
  <si>
    <t>Interview synthesis (57KB) + face mapping (33KB)</t>
  </si>
  <si>
    <t>PDF (Quannex branded)</t>
  </si>
  <si>
    <t>Deliverables/Phase 1/</t>
  </si>
  <si>
    <t>~1 hour</t>
  </si>
  <si>
    <t>Overdue (was due late March). Format existing MDs to branded PDFs.</t>
  </si>
  <si>
    <t>Package Phase 2 deliverables</t>
  </si>
  <si>
    <t>Evidence package C1-C4 + BSC comparison + breath analysis</t>
  </si>
  <si>
    <t>Deliverables/Phase 2/</t>
  </si>
  <si>
    <t>Overdue (was due early April). Format existing MDs to branded PDFs.</t>
  </si>
  <si>
    <t>Package conventional analysis</t>
  </si>
  <si>
    <t>CEN_Conventional_Analysis_Working_Draft.md (77KB)</t>
  </si>
  <si>
    <t>Deliverables/Phase 1/ or Phase 2/</t>
  </si>
  <si>
    <t>Promised deliverable #1. PESTEL + 7S + SWOT + BSC. Post-interview enriched.</t>
  </si>
  <si>
    <t>MEDIUM</t>
  </si>
  <si>
    <t>Prepare KPI proposals</t>
  </si>
  <si>
    <t>Derive from coherence portrait + face mapping</t>
  </si>
  <si>
    <t>PDF or section in final report</t>
  </si>
  <si>
    <t>Deliverables/Phase 3/ or Phase 4/</t>
  </si>
  <si>
    <t>Promised deliverable #7. Can be preliminary for Phase 3, finalized Phase 4.</t>
  </si>
  <si>
    <t>LOW</t>
  </si>
  <si>
    <t>Run CEN data through POC engine</t>
  </si>
  <si>
    <t>CEN company template (after creation)</t>
  </si>
  <si>
    <t>Screenshots + engine output for presentation</t>
  </si>
  <si>
    <t>Phase 3 presentation</t>
  </si>
  <si>
    <t>BLOCKED</t>
  </si>
  <si>
    <t>~30 min</t>
  </si>
  <si>
    <t>Blocked on CEN template creation. Once created, engine runs automatically.</t>
  </si>
  <si>
    <t>CEN RAW SCORES (frozen Apr 8 — from RawScores_Frozen.md)</t>
  </si>
  <si>
    <t>Face</t>
  </si>
  <si>
    <t>Domain</t>
  </si>
  <si>
    <t>D (Dominique)</t>
  </si>
  <si>
    <t>E (Esther)</t>
  </si>
  <si>
    <t>V_res_post</t>
  </si>
  <si>
    <t>|D-E|</t>
  </si>
  <si>
    <t>Divergence</t>
  </si>
  <si>
    <t>F1</t>
  </si>
  <si>
    <t>Financial Capital</t>
  </si>
  <si>
    <t>Biggest co-founder gap after F8</t>
  </si>
  <si>
    <t>F2</t>
  </si>
  <si>
    <t>Intellectual Capital</t>
  </si>
  <si>
    <t>F3</t>
  </si>
  <si>
    <t>Human Capital</t>
  </si>
  <si>
    <t>F4</t>
  </si>
  <si>
    <t>Structural Capital</t>
  </si>
  <si>
    <t>2-vs-1 pattern: E=V_res=2, D=7</t>
  </si>
  <si>
    <t>F5</t>
  </si>
  <si>
    <t>Market Resonance</t>
  </si>
  <si>
    <t>Both low</t>
  </si>
  <si>
    <t>F6</t>
  </si>
  <si>
    <t>Community</t>
  </si>
  <si>
    <t>F7</t>
  </si>
  <si>
    <t>Brand &amp; Reputation</t>
  </si>
  <si>
    <t>2-vs-1 pattern: E=V_res=3, D=7</t>
  </si>
  <si>
    <t>F8</t>
  </si>
  <si>
    <t>Core Operations</t>
  </si>
  <si>
    <t>Largest gap. 2-vs-1 pattern</t>
  </si>
  <si>
    <t>F9</t>
  </si>
  <si>
    <t>Regenerative Flow</t>
  </si>
  <si>
    <t>Researcher sees this highest</t>
  </si>
  <si>
    <t>F10</t>
  </si>
  <si>
    <t>Foundational Values</t>
  </si>
  <si>
    <t>Consensus strength</t>
  </si>
  <si>
    <t>F11</t>
  </si>
  <si>
    <t>Funding Pipeline</t>
  </si>
  <si>
    <t>F12</t>
  </si>
  <si>
    <t>Risk &amp; Resilience</t>
  </si>
  <si>
    <t>Both co-founders see weakness</t>
  </si>
  <si>
    <t>Overall Coherence</t>
  </si>
  <si>
    <t>Macro gap matches micro face-level gap</t>
  </si>
  <si>
    <t>POC-READY NORMALIZED ARRAYS (from RawScores_Frozen.md — paste into companies/cen/kpis.csv)</t>
  </si>
  <si>
    <t>D_norm = [0.6, 0.8, 0.7, 0.7, 0.3, 0.3, 0.7, 0.7, 0.6, 1.0, 0.6, 0.3]</t>
  </si>
  <si>
    <t>E_norm = [0.1, 0.7, 0.3, 0.2, 0.1, 0.4, 0.3, 0.1, 0.5, 0.9, 0.4, 0.1]</t>
  </si>
  <si>
    <t>V_res_post_norm = [0.2, 0.5, 0.4, 0.2, 0.2, 0.4, 0.3, 0.2, 0.8, 0.8, 0.2, 0.3]</t>
  </si>
  <si>
    <t>CEN INPUT MATERIALS RECEIVED (reference inventory)</t>
  </si>
  <si>
    <t>Category</t>
  </si>
  <si>
    <t>Document</t>
  </si>
  <si>
    <t>Location</t>
  </si>
  <si>
    <t>Relevance</t>
  </si>
  <si>
    <t>Used In</t>
  </si>
  <si>
    <t>Legal</t>
  </si>
  <si>
    <t>Signed NDA</t>
  </si>
  <si>
    <t>461 KB</t>
  </si>
  <si>
    <t>Meeting 1st/</t>
  </si>
  <si>
    <t>All phases</t>
  </si>
  <si>
    <t>Feb 15, 2026</t>
  </si>
  <si>
    <t>Signed Partnership Confirmation</t>
  </si>
  <si>
    <t>409 KB</t>
  </si>
  <si>
    <t>Strategy</t>
  </si>
  <si>
    <t>CEN Business Plan V2.0</t>
  </si>
  <si>
    <t>~19 MB</t>
  </si>
  <si>
    <t>CEN Inputs/Strategy/</t>
  </si>
  <si>
    <t>Phase 1 synthesis</t>
  </si>
  <si>
    <t>CEN Strategy V0.4</t>
  </si>
  <si>
    <t>425 KB</t>
  </si>
  <si>
    <t>Purpose Vision Mission Values V0.1</t>
  </si>
  <si>
    <t>CEN Inputs/Vision Mission/</t>
  </si>
  <si>
    <t>Face mapping</t>
  </si>
  <si>
    <t>Pillar 1-3</t>
  </si>
  <si>
    <t>CEN organizational documents (28 files)</t>
  </si>
  <si>
    <t>~44 MB</t>
  </si>
  <si>
    <t>CEN Inputs/Documents &amp; Policies/</t>
  </si>
  <si>
    <t>Conventional analysis</t>
  </si>
  <si>
    <t>Education, AI, LLM, Business Plans</t>
  </si>
  <si>
    <t>Scoring</t>
  </si>
  <si>
    <t>Dominique questionnaire (completed)</t>
  </si>
  <si>
    <t>27 KB</t>
  </si>
  <si>
    <t>CEN Inputs/Scoring/</t>
  </si>
  <si>
    <t>Phase 2 evidence</t>
  </si>
  <si>
    <t>Returned Apr 7</t>
  </si>
  <si>
    <t>Esther questionnaire (completed)</t>
  </si>
  <si>
    <t>Returned Apr 7. 3-4h investment.</t>
  </si>
  <si>
    <t>Recording</t>
  </si>
  <si>
    <t>Phase 1 Interview (video)</t>
  </si>
  <si>
    <t>4.08 GB</t>
  </si>
  <si>
    <t>CEN_Phase1/</t>
  </si>
  <si>
    <t>Mar 20, 2026</t>
  </si>
  <si>
    <t>Phase 2 Meeting (video)</t>
  </si>
  <si>
    <t>430 MB</t>
  </si>
  <si>
    <t>CEN_Phase2/</t>
  </si>
  <si>
    <t>Apr 3, 2026</t>
  </si>
  <si>
    <t>Kick-Off meeting (video)</t>
  </si>
  <si>
    <t>333 MB</t>
  </si>
  <si>
    <t>Meeting 2nd/</t>
  </si>
  <si>
    <t>Context</t>
  </si>
  <si>
    <t>Mar 13, 2026</t>
  </si>
  <si>
    <t>KEY GAPS: (1) Delivery folders Phase 1-2 are EMPTY despite work being done. (2) CEN company template does not exist — blocks 3D viz, shadow analysis, live demo. (3) Proposed KPIs (#7) not started. (4) Conventional analysis exists but not CEN-facing.</t>
  </si>
  <si>
    <t>Element Health</t>
  </si>
  <si>
    <t>60 total checks</t>
  </si>
  <si>
    <t>↑ live counts</t>
  </si>
  <si>
    <t>from 60 Elements</t>
  </si>
  <si>
    <t>Health</t>
  </si>
  <si>
    <t>QUANNEX POC — PRIORITY ACTIONS</t>
  </si>
  <si>
    <t>Auto-generated view: WARNs · Unassessed elements · CEN blockers · Thesis blockers</t>
  </si>
  <si>
    <t>🚨  SECTION 1: CEN CRITICAL ACTIONS (April 17 meeting — TOMORROW)</t>
  </si>
  <si>
    <t>Source / Notes</t>
  </si>
  <si>
    <t>RawScores_Frozen.md — normalized arrays ready. Unlocks 3D viz + shadow analysis</t>
  </si>
  <si>
    <t>~2 hrs</t>
  </si>
  <si>
    <t>Create Phase 3 validation presentation (PPTX)</t>
  </si>
  <si>
    <t>Phase 2 evidence package (C1-C4 docs) — coherence portrait + key findings</t>
  </si>
  <si>
    <t>~3 hrs</t>
  </si>
  <si>
    <t>Create CEN-facing coherence summary (PDF, 2-4 pages)</t>
  </si>
  <si>
    <t>C1 Vector Diagnostics + C2 Breath + C3 Divergence — executive leave-behind</t>
  </si>
  <si>
    <t>Package Phase 1 deliverables (overdue since March)</t>
  </si>
  <si>
    <t>Interview synthesis (57KB) + face mapping (33KB) — Deliverables/Phase 1/ EMPTY</t>
  </si>
  <si>
    <t>~1 hr</t>
  </si>
  <si>
    <t>Package Phase 2 deliverables (overdue since April)</t>
  </si>
  <si>
    <t>Evidence package C1-C4 + BSC + breath analysis — Deliverables/Phase 2/ EMPTY</t>
  </si>
  <si>
    <t>Detail</t>
  </si>
  <si>
    <t>Blocker</t>
  </si>
  <si>
    <t>Blocked On</t>
  </si>
  <si>
    <t>Chapter(s)</t>
  </si>
  <si>
    <t>Ch 2-5</t>
  </si>
  <si>
    <t>Ch 5</t>
  </si>
  <si>
    <t>Unblocked once CEN template created</t>
  </si>
  <si>
    <t>PHASE PROGRESS</t>
  </si>
  <si>
    <t>Ph0: Kickoff</t>
  </si>
  <si>
    <t>Ph1: Conv. Analysis</t>
  </si>
  <si>
    <t>Ph2: Scoring</t>
  </si>
  <si>
    <t>Ph3: Validation</t>
  </si>
  <si>
    <t>Ph4: Final Report</t>
  </si>
  <si>
    <t>★ Apr 17 meeting</t>
  </si>
  <si>
    <t>Deimantas Notes</t>
  </si>
  <si>
    <t>If I Understand correctly, spectral analysis chapter is fall out of scope for my IFC bachelor thesis. It's probably, master's or PHD material. I want a bachelor, master, PHD spliting logic here in this whole sheet I think</t>
  </si>
  <si>
    <t>⚠️  SECTION 2: POC WARN FACES — live from 60 Elements</t>
  </si>
  <si>
    <t>Source row #</t>
  </si>
  <si>
    <t>🔬  SECTION 3: THESIS BLOCKERS</t>
  </si>
  <si>
    <t>Resolve By</t>
  </si>
  <si>
    <t>Before May 1 writing window</t>
  </si>
  <si>
    <t>🔬  SECTION 4: UNASSESSED ELEMENTS — live from 60 Elements</t>
  </si>
  <si>
    <t>LIVE SUMMARY</t>
  </si>
  <si>
    <t>Count</t>
  </si>
  <si>
    <t>TOTALS</t>
  </si>
  <si>
    <t>60 elements across 12 faces × 5 elements</t>
  </si>
  <si>
    <t>SESSION CADENCE</t>
  </si>
  <si>
    <t>Total sessions</t>
  </si>
  <si>
    <t>Last session</t>
  </si>
  <si>
    <t>Days since last</t>
  </si>
  <si>
    <t>Avg gap (days)</t>
  </si>
  <si>
    <t>Days to defense</t>
  </si>
  <si>
    <t>Sessions needed (est.)</t>
  </si>
  <si>
    <t>Session #</t>
  </si>
  <si>
    <t>Cumulative Sessions</t>
  </si>
  <si>
    <t>Scope Level</t>
  </si>
  <si>
    <t>PhD</t>
  </si>
  <si>
    <t>Bachelor</t>
  </si>
  <si>
    <t>Master</t>
  </si>
  <si>
    <t>SCOPE SUMMARY</t>
  </si>
  <si>
    <t>In-scope for IFC?</t>
  </si>
  <si>
    <t>CEN STATUS</t>
  </si>
  <si>
    <t>Days to meeting</t>
  </si>
  <si>
    <t>Blockers</t>
  </si>
  <si>
    <t>until CEN</t>
  </si>
  <si>
    <t>packaging actions</t>
  </si>
  <si>
    <t>ELEMENTS</t>
  </si>
  <si>
    <t>DEIMANTAS NOTES</t>
  </si>
  <si>
    <t>IFC BACHELOR?</t>
  </si>
  <si>
    <t>IFC BACHELOR SCOPE</t>
  </si>
  <si>
    <t>← focus here for IFC bachelor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</si>
</sst>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&quot;days&quot;"/>
    <numFmt numFmtId="165" formatCode="0\ &quot;of 15&quot;"/>
    <numFmt numFmtId="166" formatCode="yyyy\-mm\-dd"/>
    <numFmt numFmtId="167" formatCode="0.0"/>
  </numFmts>
  <fonts count="70" x14ac:knownFonts="1">
    <font>
      <sz val="11"/>
      <color theme="1"/>
      <name val="Calibri"/>
      <family val="2"/>
      <scheme val="minor"/>
    </font>
    <font>
      <b/>
      <sz val="16"/>
      <color rgb="FF00838F"/>
      <name val="Segoe UI"/>
    </font>
    <font>
      <b/>
      <sz val="12"/>
      <color rgb="FF263238"/>
      <name val="Segoe UI"/>
    </font>
    <font>
      <b/>
      <sz val="10"/>
      <color rgb="FF263238"/>
      <name val="Segoe UI"/>
    </font>
    <font>
      <sz val="10"/>
      <color rgb="FF263238"/>
      <name val="Segoe UI"/>
    </font>
    <font>
      <b/>
      <sz val="14"/>
      <color rgb="FF00838F"/>
      <name val="Segoe UI"/>
    </font>
    <font>
      <b/>
      <sz val="11"/>
      <color rgb="FFFFFFFF"/>
      <name val="Segoe UI"/>
    </font>
    <font>
      <i/>
      <sz val="9"/>
      <color rgb="FF9E9E9E"/>
      <name val="Segoe UI"/>
    </font>
    <font>
      <b/>
      <sz val="10"/>
      <color rgb="FF00838F"/>
      <name val="Segoe UI"/>
    </font>
    <font>
      <b/>
      <sz val="10"/>
      <color rgb="FFFFFFFF"/>
      <name val="Segoe UI"/>
    </font>
    <font>
      <b/>
      <sz val="10"/>
      <color rgb="FFD32F2F"/>
      <name val="Segoe UI"/>
    </font>
    <font>
      <b/>
      <sz val="12"/>
      <color rgb="FFD32F2F"/>
      <name val="Segoe UI"/>
    </font>
    <font>
      <b/>
      <sz val="14"/>
      <color rgb="FF00838F"/>
      <name val="Segoe UI"/>
    </font>
    <font>
      <sz val="10"/>
      <color rgb="FF263238"/>
      <name val="Segoe UI"/>
    </font>
    <font>
      <b/>
      <sz val="16"/>
      <color rgb="FF00838F"/>
      <name val="Segoe UI"/>
    </font>
    <font>
      <i/>
      <sz val="9"/>
      <color rgb="FF9E9E9E"/>
      <name val="Segoe UI"/>
    </font>
    <font>
      <b/>
      <sz val="11"/>
      <color rgb="FF00838F"/>
      <name val="Segoe UI"/>
    </font>
    <font>
      <b/>
      <sz val="11"/>
      <color rgb="FFFFFFFF"/>
      <name val="Segoe UI"/>
    </font>
    <font>
      <b/>
      <sz val="10"/>
      <color rgb="FF263238"/>
      <name val="Segoe UI"/>
    </font>
    <font>
      <b/>
      <sz val="10"/>
      <color rgb="FFD32F2F"/>
      <name val="Segoe UI"/>
    </font>
    <font>
      <b/>
      <sz val="10"/>
      <color rgb="FFFF6F00"/>
      <name val="Segoe UI"/>
    </font>
    <font>
      <b/>
      <sz val="10"/>
      <color rgb="FFFFFFFF"/>
      <name val="Segoe UI"/>
    </font>
    <font>
      <b/>
      <sz val="12"/>
      <color rgb="FF388E3C"/>
      <name val="Segoe UI"/>
    </font>
    <font>
      <b/>
      <sz val="12"/>
      <color rgb="FFF57C00"/>
      <name val="Segoe UI"/>
    </font>
    <font>
      <b/>
      <sz val="12"/>
      <color rgb="FF757575"/>
      <name val="Segoe UI"/>
    </font>
    <font>
      <b/>
      <sz val="12"/>
      <color rgb="FF00838F"/>
      <name val="Segoe UI"/>
    </font>
    <font>
      <b/>
      <sz val="9"/>
      <color rgb="FFFFFFFF"/>
      <name val="Segoe UI"/>
    </font>
    <font>
      <sz val="9"/>
      <color rgb="FF757575"/>
      <name val="Segoe UI"/>
    </font>
    <font>
      <i/>
      <sz val="9"/>
      <color rgb="FF757575"/>
      <name val="Segoe UI"/>
    </font>
    <font>
      <sz val="13"/>
      <color theme="1"/>
      <name val="Calibri"/>
      <family val="2"/>
      <scheme val="minor"/>
    </font>
    <font>
      <b/>
      <sz val="12"/>
      <color rgb="FFFFFFFF"/>
      <name val="Segoe UI"/>
    </font>
    <font>
      <b/>
      <sz val="10"/>
      <color rgb="FF880E4F"/>
      <name val="Segoe UI"/>
    </font>
    <font>
      <sz val="10"/>
      <color theme="1"/>
      <name val="Segoe UI"/>
    </font>
    <font>
      <b/>
      <sz val="10"/>
      <color rgb="FFC62828"/>
      <name val="Segoe UI"/>
    </font>
    <font>
      <b/>
      <sz val="10"/>
      <color rgb="FFE65100"/>
      <name val="Segoe UI"/>
    </font>
    <font>
      <b/>
      <sz val="10"/>
      <color rgb="FF6A1B9A"/>
      <name val="Segoe UI"/>
    </font>
    <font>
      <b/>
      <sz val="9"/>
      <color rgb="FF880E4F"/>
      <name val="Segoe UI"/>
    </font>
    <font>
      <b/>
      <sz val="9"/>
      <color rgb="FF757575"/>
      <name val="Segoe UI"/>
    </font>
    <font>
      <b/>
      <sz val="10"/>
      <color rgb="FF263238"/>
      <name val="Segoe UI"/>
      <family val="2"/>
      <charset val="186"/>
    </font>
    <font>
      <sz val="10"/>
      <color rgb="FF2E7D32"/>
      <name val="Segoe UI"/>
      <family val="2"/>
      <charset val="186"/>
    </font>
    <font>
      <sz val="10"/>
      <color rgb="FFE65100"/>
      <name val="Segoe UI"/>
      <family val="2"/>
      <charset val="186"/>
    </font>
    <font>
      <b/>
      <sz val="11"/>
      <color rgb="FFFFFFFF"/>
      <name val="Segoe UI"/>
      <family val="2"/>
      <charset val="186"/>
    </font>
    <font>
      <sz val="10"/>
      <color rgb="FF263238"/>
      <name val="Segoe UI"/>
      <family val="2"/>
      <charset val="186"/>
    </font>
    <font>
      <b/>
      <sz val="10"/>
      <color rgb="FFC62828"/>
      <name val="Segoe UI"/>
      <family val="2"/>
      <charset val="186"/>
    </font>
    <font>
      <sz val="10"/>
      <color rgb="FFC62828"/>
      <name val="Segoe UI"/>
      <family val="2"/>
      <charset val="186"/>
    </font>
    <font>
      <b/>
      <sz val="10"/>
      <color rgb="FFFFFFFF"/>
      <name val="Segoe UI"/>
      <family val="2"/>
      <charset val="186"/>
    </font>
    <font>
      <b/>
      <sz val="12"/>
      <color rgb="FFFFFFFF"/>
      <name val="Segoe UI"/>
      <family val="2"/>
      <charset val="186"/>
    </font>
    <font>
      <sz val="10"/>
      <color theme="1"/>
      <name val="Segoe UI"/>
      <family val="2"/>
      <charset val="186"/>
    </font>
    <font>
      <sz val="9"/>
      <color rgb="FF757575"/>
      <name val="Segoe UI"/>
      <family val="2"/>
      <charset val="186"/>
    </font>
    <font>
      <sz val="9"/>
      <color theme="1"/>
      <name val="Segoe UI"/>
      <family val="2"/>
      <charset val="186"/>
    </font>
    <font>
      <b/>
      <sz val="9"/>
      <color rgb="FFE65100"/>
      <name val="Segoe UI"/>
      <family val="2"/>
      <charset val="186"/>
    </font>
    <font>
      <sz val="8"/>
      <color rgb="FFBDBDBD"/>
      <name val="Segoe UI"/>
      <family val="2"/>
      <charset val="186"/>
    </font>
    <font>
      <sz val="9"/>
      <color rgb="FF9E9E9E"/>
      <name val="Segoe UI"/>
      <family val="2"/>
      <charset val="186"/>
    </font>
    <font>
      <sz val="11"/>
      <color rgb="FFFFFFFF"/>
      <name val="Segoe UI"/>
      <family val="2"/>
      <charset val="186"/>
    </font>
    <font>
      <b/>
      <sz val="9"/>
      <color rgb="FFFFFFFF"/>
      <name val="Segoe UI"/>
      <family val="2"/>
      <charset val="186"/>
    </font>
    <font>
      <i/>
      <sz val="9"/>
      <color rgb="FFFFFFFF"/>
      <name val="Segoe UI"/>
      <family val="2"/>
      <charset val="186"/>
    </font>
    <font>
      <b/>
      <sz val="12"/>
      <color rgb="FF00838F"/>
      <name val="Segoe UI"/>
      <family val="2"/>
      <charset val="186"/>
    </font>
    <font>
      <b/>
      <sz val="13"/>
      <color rgb="FFE65100"/>
      <name val="Segoe UI"/>
      <family val="2"/>
      <charset val="186"/>
    </font>
    <font>
      <b/>
      <sz val="12"/>
      <color rgb="FF6A1B9A"/>
      <name val="Segoe UI"/>
      <family val="2"/>
      <charset val="186"/>
    </font>
    <font>
      <i/>
      <sz val="10"/>
      <color rgb="FF9E9E9E"/>
      <name val="Segoe UI"/>
      <family val="2"/>
      <charset val="186"/>
    </font>
    <font>
      <b/>
      <sz val="9"/>
      <color rgb="FFFFFFFF"/>
      <name val="Calibri"/>
      <family val="2"/>
      <scheme val="minor"/>
    </font>
    <font>
      <b/>
      <sz val="10"/>
      <color rgb="FF4A148C"/>
      <name val="Segoe UI"/>
      <family val="2"/>
      <charset val="186"/>
    </font>
    <font>
      <b/>
      <sz val="10"/>
      <color rgb="FF1B5E20"/>
      <name val="Segoe UI"/>
      <family val="2"/>
      <charset val="186"/>
    </font>
    <font>
      <b/>
      <sz val="10"/>
      <color rgb="FF0D47A1"/>
      <name val="Segoe UI"/>
      <family val="2"/>
      <charset val="186"/>
    </font>
    <font>
      <b/>
      <sz val="9"/>
      <color rgb="FF4A148C"/>
      <name val="Segoe UI"/>
      <family val="2"/>
      <charset val="186"/>
    </font>
    <font>
      <b/>
      <sz val="9"/>
      <color rgb="FF6A1B9A"/>
      <name val="Segoe UI"/>
      <family val="2"/>
      <charset val="186"/>
    </font>
    <font>
      <b/>
      <sz val="14"/>
      <color rgb="FF6A1B9A"/>
      <name val="Segoe UI"/>
      <family val="2"/>
      <charset val="186"/>
    </font>
    <font>
      <b/>
      <sz val="9"/>
      <color rgb="FFC62828"/>
      <name val="Segoe UI"/>
      <family val="2"/>
      <charset val="186"/>
    </font>
    <font>
      <b/>
      <sz val="14"/>
      <color rgb="FFC62828"/>
      <name val="Segoe UI"/>
      <family val="2"/>
      <charset val="186"/>
    </font>
    <font>
      <sz val="10"/>
      <color rgb="FFF57C00"/>
      <name val="Segoe UI"/>
      <family val="2"/>
      <charset val="186"/>
    </font>
  </fonts>
  <fills count="43">
    <fill>
      <patternFill patternType="none"/>
    </fill>
    <fill>
      <patternFill patternType="gray125"/>
    </fill>
    <fill>
      <patternFill patternType="solid">
        <fgColor rgb="FF00838F"/>
        <bgColor rgb="FF00838F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AFAFA"/>
        <bgColor rgb="FFFAFAFA"/>
      </patternFill>
    </fill>
    <fill>
      <patternFill patternType="solid">
        <fgColor rgb="FF00BCD4"/>
        <bgColor rgb="FF00BCD4"/>
      </patternFill>
    </fill>
    <fill>
      <patternFill patternType="solid">
        <fgColor rgb="FFE8F5E9"/>
        <bgColor rgb="FFE8F5E9"/>
      </patternFill>
    </fill>
    <fill>
      <patternFill patternType="solid">
        <fgColor rgb="FFF5F5F5"/>
        <bgColor rgb="FFF5F5F5"/>
      </patternFill>
    </fill>
    <fill>
      <patternFill patternType="solid">
        <fgColor rgb="FFFFF8E1"/>
        <bgColor rgb="FFFFF8E1"/>
      </patternFill>
    </fill>
    <fill>
      <patternFill patternType="solid">
        <fgColor rgb="FF00838F"/>
        <bgColor rgb="FF00838F"/>
      </patternFill>
    </fill>
    <fill>
      <patternFill patternType="solid">
        <fgColor rgb="FFFFEBEE"/>
        <bgColor rgb="FFFFEBEE"/>
      </patternFill>
    </fill>
    <fill>
      <patternFill patternType="solid">
        <fgColor rgb="FF00BCD4"/>
        <bgColor rgb="FF00BCD4"/>
      </patternFill>
    </fill>
    <fill>
      <patternFill patternType="solid">
        <fgColor rgb="FFE8F5E9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80E4F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0D47A1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546E7A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F8F5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E8EAF6"/>
        <bgColor indexed="64"/>
      </patternFill>
    </fill>
    <fill>
      <patternFill patternType="solid">
        <fgColor rgb="FFF9FBE7"/>
        <bgColor indexed="64"/>
      </patternFill>
    </fill>
    <fill>
      <patternFill patternType="solid">
        <fgColor rgb="FF4A148C"/>
        <bgColor indexed="64"/>
      </patternFill>
    </fill>
    <fill>
      <patternFill patternType="solid">
        <fgColor rgb="FF1B5E20"/>
        <bgColor indexed="64"/>
      </patternFill>
    </fill>
  </fills>
  <borders count="10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thin">
        <color rgb="FFBDBDBD"/>
      </left>
      <right style="thin">
        <color rgb="FFBDBDBD"/>
      </right>
      <top style="thin">
        <color rgb="FF90A4AE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/>
      <top/>
      <bottom/>
      <diagonal/>
    </border>
  </borders>
  <cellStyleXfs count="1">
    <xf numFmtId="0" fontId="0" fillId="0" borderId="0"/>
  </cellStyleXfs>
  <cellXfs count="221">
    <xf numFmtId="0" fontId="0" fillId="0" borderId="0" xfId="0"/>
    <xf numFmtId="0" fontId="3" fillId="0" borderId="0" xfId="0" applyFont="1"/>
    <xf numFmtId="0" fontId="5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6" borderId="0" xfId="0" applyFont="1" applyFill="1"/>
    <xf numFmtId="0" fontId="10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7" fillId="0" borderId="0" xfId="0" applyFont="1"/>
    <xf numFmtId="164" fontId="12" fillId="0" borderId="0" xfId="0" applyNumberFormat="1" applyFont="1"/>
    <xf numFmtId="165" fontId="13" fillId="0" borderId="0" xfId="0" applyNumberFormat="1" applyFont="1"/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0" xfId="0" applyFont="1"/>
    <xf numFmtId="0" fontId="17" fillId="10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vertical="top" wrapText="1"/>
    </xf>
    <xf numFmtId="0" fontId="13" fillId="0" borderId="2" xfId="0" applyFont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9" fillId="11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vertical="top" wrapText="1"/>
    </xf>
    <xf numFmtId="0" fontId="20" fillId="9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21" fillId="12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vertical="top" wrapText="1"/>
    </xf>
    <xf numFmtId="0" fontId="19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18" fillId="9" borderId="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center" vertical="center"/>
    </xf>
    <xf numFmtId="0" fontId="7" fillId="0" borderId="0" xfId="0" applyFont="1"/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9" fillId="6" borderId="0" xfId="0" applyFont="1" applyFill="1"/>
    <xf numFmtId="0" fontId="1" fillId="0" borderId="0" xfId="0" applyFont="1" applyAlignment="1">
      <alignment horizontal="center"/>
    </xf>
    <xf numFmtId="0" fontId="11" fillId="0" borderId="0" xfId="0" applyFont="1"/>
    <xf numFmtId="0" fontId="8" fillId="0" borderId="0" xfId="0" applyFont="1"/>
    <xf numFmtId="0" fontId="15" fillId="0" borderId="2" xfId="0" applyFont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22" fillId="13" borderId="0" xfId="0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0" fontId="24" fillId="15" borderId="0" xfId="0" applyFont="1" applyFill="1" applyAlignment="1">
      <alignment horizontal="center"/>
    </xf>
    <xf numFmtId="0" fontId="25" fillId="16" borderId="0" xfId="0" applyFont="1" applyFill="1" applyAlignment="1">
      <alignment horizontal="center"/>
    </xf>
    <xf numFmtId="0" fontId="26" fillId="1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17" borderId="5" xfId="0" applyFont="1" applyFill="1" applyBorder="1" applyAlignment="1">
      <alignment horizontal="center" vertical="center" wrapText="1"/>
    </xf>
    <xf numFmtId="0" fontId="29" fillId="13" borderId="0" xfId="0" applyFont="1" applyFill="1" applyAlignment="1">
      <alignment horizontal="center"/>
    </xf>
    <xf numFmtId="0" fontId="29" fillId="14" borderId="0" xfId="0" applyFont="1" applyFill="1" applyAlignment="1">
      <alignment horizontal="center"/>
    </xf>
    <xf numFmtId="0" fontId="29" fillId="13" borderId="0" xfId="0" applyFont="1" applyFill="1" applyBorder="1" applyAlignment="1">
      <alignment horizontal="center"/>
    </xf>
    <xf numFmtId="0" fontId="29" fillId="14" borderId="0" xfId="0" applyFont="1" applyFill="1" applyBorder="1" applyAlignment="1">
      <alignment horizontal="center"/>
    </xf>
    <xf numFmtId="0" fontId="1" fillId="19" borderId="0" xfId="0" applyFont="1" applyFill="1"/>
    <xf numFmtId="0" fontId="30" fillId="20" borderId="0" xfId="0" applyFont="1" applyFill="1"/>
    <xf numFmtId="0" fontId="0" fillId="20" borderId="0" xfId="0" applyFill="1"/>
    <xf numFmtId="0" fontId="9" fillId="21" borderId="0" xfId="0" applyFont="1" applyFill="1"/>
    <xf numFmtId="0" fontId="31" fillId="22" borderId="0" xfId="0" applyFont="1" applyFill="1"/>
    <xf numFmtId="0" fontId="32" fillId="0" borderId="0" xfId="0" applyFont="1" applyAlignment="1">
      <alignment horizontal="center"/>
    </xf>
    <xf numFmtId="0" fontId="33" fillId="23" borderId="0" xfId="0" applyFont="1" applyFill="1"/>
    <xf numFmtId="0" fontId="34" fillId="24" borderId="0" xfId="0" applyFont="1" applyFill="1"/>
    <xf numFmtId="0" fontId="0" fillId="25" borderId="0" xfId="0" applyFill="1"/>
    <xf numFmtId="0" fontId="0" fillId="27" borderId="0" xfId="0" applyFill="1"/>
    <xf numFmtId="0" fontId="0" fillId="29" borderId="0" xfId="0" applyFill="1"/>
    <xf numFmtId="0" fontId="0" fillId="17" borderId="0" xfId="0" applyFill="1"/>
    <xf numFmtId="0" fontId="35" fillId="18" borderId="0" xfId="0" applyFont="1" applyFill="1"/>
    <xf numFmtId="0" fontId="26" fillId="31" borderId="0" xfId="0" applyFont="1" applyFill="1" applyAlignment="1">
      <alignment horizontal="center"/>
    </xf>
    <xf numFmtId="0" fontId="36" fillId="22" borderId="0" xfId="0" applyFon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31" fillId="22" borderId="0" xfId="0" applyFont="1" applyFill="1" applyAlignment="1">
      <alignment horizontal="center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0" fillId="20" borderId="0" xfId="0" applyFill="1" applyAlignment="1">
      <alignment wrapText="1"/>
    </xf>
    <xf numFmtId="0" fontId="9" fillId="21" borderId="0" xfId="0" applyFont="1" applyFill="1" applyAlignment="1">
      <alignment wrapText="1"/>
    </xf>
    <xf numFmtId="0" fontId="32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38" fillId="0" borderId="1" xfId="0" applyFont="1" applyBorder="1" applyAlignment="1">
      <alignment horizontal="right" vertical="center"/>
    </xf>
    <xf numFmtId="0" fontId="41" fillId="2" borderId="1" xfId="0" applyFont="1" applyFill="1" applyBorder="1" applyAlignment="1">
      <alignment horizontal="center" vertical="center" wrapText="1"/>
    </xf>
    <xf numFmtId="0" fontId="42" fillId="0" borderId="5" xfId="0" applyFont="1" applyFill="1" applyBorder="1" applyAlignment="1">
      <alignment vertical="top" wrapText="1"/>
    </xf>
    <xf numFmtId="0" fontId="46" fillId="25" borderId="0" xfId="0" applyFont="1" applyFill="1"/>
    <xf numFmtId="0" fontId="45" fillId="26" borderId="0" xfId="0" applyFont="1" applyFill="1"/>
    <xf numFmtId="0" fontId="45" fillId="26" borderId="0" xfId="0" applyFont="1" applyFill="1" applyAlignment="1">
      <alignment wrapText="1"/>
    </xf>
    <xf numFmtId="0" fontId="47" fillId="0" borderId="0" xfId="0" applyFont="1" applyAlignment="1">
      <alignment horizontal="center"/>
    </xf>
    <xf numFmtId="0" fontId="45" fillId="26" borderId="0" xfId="0" applyFont="1" applyFill="1" applyAlignment="1">
      <alignment horizontal="center"/>
    </xf>
    <xf numFmtId="0" fontId="43" fillId="23" borderId="0" xfId="0" applyFont="1" applyFill="1"/>
    <xf numFmtId="0" fontId="49" fillId="33" borderId="0" xfId="0" applyFont="1" applyFill="1" applyAlignment="1">
      <alignment wrapText="1"/>
    </xf>
    <xf numFmtId="0" fontId="49" fillId="19" borderId="0" xfId="0" applyFont="1" applyFill="1" applyAlignment="1">
      <alignment wrapText="1"/>
    </xf>
    <xf numFmtId="166" fontId="49" fillId="33" borderId="0" xfId="0" applyNumberFormat="1" applyFont="1" applyFill="1" applyAlignment="1">
      <alignment wrapText="1"/>
    </xf>
    <xf numFmtId="166" fontId="49" fillId="19" borderId="0" xfId="0" applyNumberFormat="1" applyFont="1" applyFill="1" applyAlignment="1">
      <alignment wrapText="1"/>
    </xf>
    <xf numFmtId="0" fontId="50" fillId="33" borderId="0" xfId="0" applyFont="1" applyFill="1" applyAlignment="1">
      <alignment wrapText="1"/>
    </xf>
    <xf numFmtId="0" fontId="50" fillId="19" borderId="0" xfId="0" applyFont="1" applyFill="1" applyAlignment="1">
      <alignment wrapText="1"/>
    </xf>
    <xf numFmtId="0" fontId="51" fillId="33" borderId="0" xfId="0" applyFont="1" applyFill="1" applyAlignment="1">
      <alignment horizontal="right" wrapText="1"/>
    </xf>
    <xf numFmtId="0" fontId="51" fillId="19" borderId="0" xfId="0" applyFont="1" applyFill="1" applyAlignment="1">
      <alignment horizontal="right" wrapText="1"/>
    </xf>
    <xf numFmtId="0" fontId="46" fillId="27" borderId="0" xfId="0" applyFont="1" applyFill="1"/>
    <xf numFmtId="0" fontId="45" fillId="28" borderId="0" xfId="0" applyFont="1" applyFill="1"/>
    <xf numFmtId="0" fontId="44" fillId="0" borderId="0" xfId="0" applyFont="1"/>
    <xf numFmtId="0" fontId="47" fillId="0" borderId="0" xfId="0" applyFont="1"/>
    <xf numFmtId="0" fontId="48" fillId="0" borderId="0" xfId="0" applyFont="1"/>
    <xf numFmtId="0" fontId="40" fillId="0" borderId="0" xfId="0" applyFont="1"/>
    <xf numFmtId="0" fontId="46" fillId="29" borderId="0" xfId="0" applyFont="1" applyFill="1"/>
    <xf numFmtId="0" fontId="45" fillId="30" borderId="0" xfId="0" applyFont="1" applyFill="1"/>
    <xf numFmtId="0" fontId="0" fillId="30" borderId="0" xfId="0" applyFill="1"/>
    <xf numFmtId="0" fontId="49" fillId="15" borderId="0" xfId="0" applyFont="1" applyFill="1" applyAlignment="1">
      <alignment wrapText="1"/>
    </xf>
    <xf numFmtId="0" fontId="49" fillId="34" borderId="0" xfId="0" applyFont="1" applyFill="1" applyAlignment="1">
      <alignment wrapText="1"/>
    </xf>
    <xf numFmtId="0" fontId="52" fillId="15" borderId="0" xfId="0" applyFont="1" applyFill="1" applyAlignment="1">
      <alignment horizontal="center" wrapText="1"/>
    </xf>
    <xf numFmtId="0" fontId="52" fillId="34" borderId="0" xfId="0" applyFont="1" applyFill="1" applyAlignment="1">
      <alignment horizontal="center" wrapText="1"/>
    </xf>
    <xf numFmtId="0" fontId="51" fillId="15" borderId="0" xfId="0" applyFont="1" applyFill="1" applyAlignment="1">
      <alignment horizontal="right" wrapText="1"/>
    </xf>
    <xf numFmtId="0" fontId="51" fillId="34" borderId="0" xfId="0" applyFont="1" applyFill="1" applyAlignment="1">
      <alignment horizontal="right" wrapText="1"/>
    </xf>
    <xf numFmtId="0" fontId="41" fillId="17" borderId="0" xfId="0" applyFont="1" applyFill="1"/>
    <xf numFmtId="0" fontId="54" fillId="17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0" fillId="35" borderId="0" xfId="0" applyFill="1"/>
    <xf numFmtId="0" fontId="45" fillId="17" borderId="0" xfId="0" applyFont="1" applyFill="1"/>
    <xf numFmtId="0" fontId="55" fillId="17" borderId="5" xfId="0" applyFont="1" applyFill="1" applyBorder="1" applyAlignment="1">
      <alignment vertical="top" wrapText="1"/>
    </xf>
    <xf numFmtId="0" fontId="4" fillId="32" borderId="1" xfId="0" applyFont="1" applyFill="1" applyBorder="1" applyAlignment="1">
      <alignment horizontal="center" vertical="center"/>
    </xf>
    <xf numFmtId="0" fontId="4" fillId="3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top" wrapText="1"/>
    </xf>
    <xf numFmtId="0" fontId="4" fillId="7" borderId="6" xfId="0" applyFont="1" applyFill="1" applyBorder="1" applyAlignment="1">
      <alignment vertical="top" wrapText="1"/>
    </xf>
    <xf numFmtId="0" fontId="6" fillId="2" borderId="7" xfId="0" applyFont="1" applyFill="1" applyBorder="1" applyAlignment="1">
      <alignment horizontal="center" vertical="center" wrapText="1"/>
    </xf>
    <xf numFmtId="0" fontId="4" fillId="32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top" wrapText="1"/>
    </xf>
    <xf numFmtId="0" fontId="4" fillId="8" borderId="8" xfId="0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/>
    </xf>
    <xf numFmtId="0" fontId="4" fillId="18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vertical="top" wrapText="1"/>
    </xf>
    <xf numFmtId="0" fontId="4" fillId="8" borderId="6" xfId="0" applyFont="1" applyFill="1" applyBorder="1" applyAlignment="1">
      <alignment vertical="top" wrapText="1"/>
    </xf>
    <xf numFmtId="0" fontId="4" fillId="32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top" wrapText="1"/>
    </xf>
    <xf numFmtId="0" fontId="4" fillId="8" borderId="7" xfId="0" applyFont="1" applyFill="1" applyBorder="1" applyAlignment="1">
      <alignment vertical="top" wrapText="1"/>
    </xf>
    <xf numFmtId="0" fontId="4" fillId="18" borderId="8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vertical="top" wrapText="1"/>
    </xf>
    <xf numFmtId="0" fontId="4" fillId="7" borderId="8" xfId="0" applyFont="1" applyFill="1" applyBorder="1" applyAlignment="1">
      <alignment vertical="top" wrapText="1"/>
    </xf>
    <xf numFmtId="0" fontId="4" fillId="13" borderId="1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vertical="top" wrapText="1"/>
    </xf>
    <xf numFmtId="0" fontId="4" fillId="18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top" wrapText="1"/>
    </xf>
    <xf numFmtId="0" fontId="4" fillId="13" borderId="8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vertical="top" wrapText="1"/>
    </xf>
    <xf numFmtId="0" fontId="4" fillId="14" borderId="8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2" borderId="6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22" borderId="8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22" borderId="7" xfId="0" applyFont="1" applyFill="1" applyBorder="1" applyAlignment="1">
      <alignment horizontal="center" vertical="center"/>
    </xf>
    <xf numFmtId="0" fontId="4" fillId="16" borderId="8" xfId="0" applyFont="1" applyFill="1" applyBorder="1" applyAlignment="1">
      <alignment horizontal="center" vertical="center"/>
    </xf>
    <xf numFmtId="0" fontId="4" fillId="36" borderId="1" xfId="0" applyFont="1" applyFill="1" applyBorder="1" applyAlignment="1">
      <alignment horizontal="center" vertical="center"/>
    </xf>
    <xf numFmtId="0" fontId="4" fillId="36" borderId="6" xfId="0" applyFont="1" applyFill="1" applyBorder="1" applyAlignment="1">
      <alignment horizontal="center" vertical="center"/>
    </xf>
    <xf numFmtId="0" fontId="4" fillId="16" borderId="7" xfId="0" applyFont="1" applyFill="1" applyBorder="1" applyAlignment="1">
      <alignment horizontal="center" vertical="center"/>
    </xf>
    <xf numFmtId="0" fontId="4" fillId="36" borderId="8" xfId="0" applyFont="1" applyFill="1" applyBorder="1" applyAlignment="1">
      <alignment horizontal="center" vertical="center"/>
    </xf>
    <xf numFmtId="0" fontId="4" fillId="37" borderId="1" xfId="0" applyFont="1" applyFill="1" applyBorder="1" applyAlignment="1">
      <alignment horizontal="center" vertical="center"/>
    </xf>
    <xf numFmtId="0" fontId="4" fillId="37" borderId="6" xfId="0" applyFont="1" applyFill="1" applyBorder="1" applyAlignment="1">
      <alignment horizontal="center" vertical="center"/>
    </xf>
    <xf numFmtId="0" fontId="4" fillId="36" borderId="7" xfId="0" applyFont="1" applyFill="1" applyBorder="1" applyAlignment="1">
      <alignment horizontal="center" vertical="center"/>
    </xf>
    <xf numFmtId="0" fontId="4" fillId="37" borderId="8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6" xfId="0" applyFont="1" applyFill="1" applyBorder="1" applyAlignment="1">
      <alignment horizontal="center" vertical="center"/>
    </xf>
    <xf numFmtId="0" fontId="4" fillId="37" borderId="7" xfId="0" applyFont="1" applyFill="1" applyBorder="1" applyAlignment="1">
      <alignment horizontal="center" vertical="center"/>
    </xf>
    <xf numFmtId="0" fontId="4" fillId="38" borderId="8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39" borderId="6" xfId="0" applyFont="1" applyFill="1" applyBorder="1" applyAlignment="1">
      <alignment horizontal="center" vertical="center"/>
    </xf>
    <xf numFmtId="0" fontId="4" fillId="38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vertical="top" wrapText="1"/>
    </xf>
    <xf numFmtId="0" fontId="4" fillId="39" borderId="8" xfId="0" applyFont="1" applyFill="1" applyBorder="1" applyAlignment="1">
      <alignment horizontal="center" vertical="center"/>
    </xf>
    <xf numFmtId="0" fontId="4" fillId="40" borderId="1" xfId="0" applyFont="1" applyFill="1" applyBorder="1" applyAlignment="1">
      <alignment horizontal="center" vertical="center"/>
    </xf>
    <xf numFmtId="0" fontId="4" fillId="40" borderId="6" xfId="0" applyFont="1" applyFill="1" applyBorder="1" applyAlignment="1">
      <alignment horizontal="center" vertical="center"/>
    </xf>
    <xf numFmtId="0" fontId="4" fillId="39" borderId="7" xfId="0" applyFont="1" applyFill="1" applyBorder="1" applyAlignment="1">
      <alignment horizontal="center" vertical="center"/>
    </xf>
    <xf numFmtId="0" fontId="4" fillId="40" borderId="8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4" fillId="24" borderId="6" xfId="0" applyFont="1" applyFill="1" applyBorder="1" applyAlignment="1">
      <alignment horizontal="center" vertical="center"/>
    </xf>
    <xf numFmtId="0" fontId="4" fillId="40" borderId="7" xfId="0" applyFont="1" applyFill="1" applyBorder="1" applyAlignment="1">
      <alignment horizontal="center" vertical="center"/>
    </xf>
    <xf numFmtId="0" fontId="4" fillId="24" borderId="8" xfId="0" applyFont="1" applyFill="1" applyBorder="1" applyAlignment="1">
      <alignment horizontal="center" vertical="center"/>
    </xf>
    <xf numFmtId="0" fontId="45" fillId="17" borderId="9" xfId="0" applyFont="1" applyFill="1" applyBorder="1" applyAlignment="1">
      <alignment horizontal="center" vertical="center" wrapText="1"/>
    </xf>
    <xf numFmtId="0" fontId="38" fillId="0" borderId="9" xfId="0" applyFont="1" applyFill="1" applyBorder="1" applyAlignment="1">
      <alignment vertical="top" wrapText="1"/>
    </xf>
    <xf numFmtId="0" fontId="56" fillId="0" borderId="0" xfId="0" applyFont="1"/>
    <xf numFmtId="0" fontId="42" fillId="0" borderId="0" xfId="0" applyFont="1"/>
    <xf numFmtId="164" fontId="57" fillId="0" borderId="0" xfId="0" applyNumberFormat="1" applyFont="1"/>
    <xf numFmtId="164" fontId="58" fillId="0" borderId="0" xfId="0" applyNumberFormat="1" applyFont="1"/>
    <xf numFmtId="0" fontId="59" fillId="0" borderId="0" xfId="0" applyFont="1"/>
    <xf numFmtId="166" fontId="13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6" fontId="0" fillId="0" borderId="0" xfId="0" applyNumberFormat="1"/>
    <xf numFmtId="167" fontId="42" fillId="0" borderId="0" xfId="0" applyNumberFormat="1" applyFont="1"/>
    <xf numFmtId="0" fontId="60" fillId="17" borderId="0" xfId="0" applyFont="1" applyFill="1"/>
    <xf numFmtId="0" fontId="45" fillId="41" borderId="5" xfId="0" applyFont="1" applyFill="1" applyBorder="1" applyAlignment="1">
      <alignment horizontal="center" vertical="center" wrapText="1"/>
    </xf>
    <xf numFmtId="0" fontId="61" fillId="38" borderId="5" xfId="0" applyFont="1" applyFill="1" applyBorder="1" applyAlignment="1">
      <alignment horizontal="center" vertical="top" wrapText="1"/>
    </xf>
    <xf numFmtId="0" fontId="62" fillId="13" borderId="9" xfId="0" applyFont="1" applyFill="1" applyBorder="1" applyAlignment="1">
      <alignment horizontal="center" vertical="top" wrapText="1"/>
    </xf>
    <xf numFmtId="0" fontId="63" fillId="32" borderId="9" xfId="0" applyFont="1" applyFill="1" applyBorder="1" applyAlignment="1">
      <alignment horizontal="center" vertical="top" wrapText="1"/>
    </xf>
    <xf numFmtId="0" fontId="61" fillId="38" borderId="9" xfId="0" applyFont="1" applyFill="1" applyBorder="1" applyAlignment="1">
      <alignment horizontal="center" vertical="top" wrapText="1"/>
    </xf>
    <xf numFmtId="0" fontId="64" fillId="0" borderId="0" xfId="0" applyFont="1" applyAlignment="1">
      <alignment horizontal="center"/>
    </xf>
    <xf numFmtId="0" fontId="45" fillId="42" borderId="5" xfId="0" applyFont="1" applyFill="1" applyBorder="1" applyAlignment="1">
      <alignment horizontal="center" vertical="center" wrapText="1"/>
    </xf>
    <xf numFmtId="0" fontId="47" fillId="0" borderId="0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164" fontId="66" fillId="18" borderId="0" xfId="0" applyNumberFormat="1" applyFont="1" applyFill="1" applyAlignment="1">
      <alignment horizontal="center"/>
    </xf>
    <xf numFmtId="0" fontId="67" fillId="23" borderId="0" xfId="0" applyFont="1" applyFill="1" applyAlignment="1">
      <alignment horizontal="center"/>
    </xf>
    <xf numFmtId="0" fontId="68" fillId="23" borderId="0" xfId="0" applyFont="1" applyFill="1" applyAlignment="1">
      <alignment horizontal="center"/>
    </xf>
    <xf numFmtId="0" fontId="41" fillId="17" borderId="0" xfId="0" applyFont="1" applyFill="1" applyAlignment="1">
      <alignment horizontal="center"/>
    </xf>
    <xf numFmtId="0" fontId="53" fillId="17" borderId="0" xfId="0" applyFont="1" applyFill="1" applyAlignment="1">
      <alignment horizontal="center"/>
    </xf>
    <xf numFmtId="0" fontId="39" fillId="13" borderId="0" xfId="0" applyFont="1" applyFill="1" applyAlignment="1">
      <alignment horizontal="center"/>
    </xf>
    <xf numFmtId="0" fontId="69" fillId="14" borderId="0" xfId="0" applyFont="1" applyFill="1" applyAlignment="1">
      <alignment horizontal="center"/>
    </xf>
    <xf numFmtId="0" fontId="44" fillId="23" borderId="0" xfId="0" applyFont="1" applyFill="1" applyAlignment="1">
      <alignment horizontal="center"/>
    </xf>
  </cellXfs>
  <cellStyles count="1">
    <cellStyle name="Normal" xfId="0" builtinId="0"/>
  </cellStyles>
  <dxfs count="114">
    <dxf>
      <font>
        <b/>
        <i val="0"/>
        <color rgb="FF2E7D32"/>
      </font>
      <fill>
        <patternFill patternType="solid">
          <fgColor indexed="64"/>
          <bgColor rgb="FFE8F5E9"/>
        </patternFill>
      </fill>
    </dxf>
    <dxf>
      <font>
        <b/>
        <i val="0"/>
        <color rgb="FFF57C00"/>
      </font>
      <fill>
        <patternFill patternType="solid">
          <fgColor indexed="64"/>
          <bgColor rgb="FFFFF8E1"/>
        </patternFill>
      </fill>
    </dxf>
    <dxf>
      <font>
        <b/>
        <i val="0"/>
        <color rgb="FFE65100"/>
      </font>
      <fill>
        <patternFill patternType="solid">
          <fgColor indexed="64"/>
          <bgColor rgb="FFFFF3E0"/>
        </patternFill>
      </fill>
    </dxf>
    <dxf>
      <font>
        <b/>
        <i val="0"/>
        <color rgb="FFC62828"/>
      </font>
      <fill>
        <patternFill patternType="solid">
          <fgColor indexed="64"/>
          <bgColor rgb="FFFFEBEE"/>
        </patternFill>
      </fill>
    </dxf>
    <dxf>
      <font>
        <b/>
        <i val="0"/>
        <color rgb="FF4A148C"/>
      </font>
      <fill>
        <patternFill patternType="solid">
          <fgColor indexed="64"/>
          <bgColor rgb="FFEDE7F6"/>
        </patternFill>
      </fill>
    </dxf>
    <dxf>
      <font>
        <b/>
        <i val="0"/>
        <color rgb="FF0D47A1"/>
      </font>
      <fill>
        <patternFill patternType="solid">
          <fgColor indexed="64"/>
          <bgColor rgb="FFE3F2FD"/>
        </patternFill>
      </fill>
    </dxf>
    <dxf>
      <font>
        <b/>
        <i val="0"/>
        <color rgb="FF1B5E20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880E4F"/>
      </font>
      <fill>
        <patternFill patternType="solid">
          <fgColor indexed="64"/>
          <bgColor rgb="FFFCE4EC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1565C0"/>
      </font>
      <fill>
        <patternFill patternType="solid">
          <fgColor indexed="64"/>
          <bgColor rgb="FFE3F2FD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E65100"/>
      </font>
      <fill>
        <patternFill patternType="solid">
          <fgColor indexed="64"/>
          <bgColor rgb="FFFFF8E1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Session 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Cumulative Sessions</c:v>
          </c:tx>
          <c:spPr>
            <a:ln w="28575" cap="rnd">
              <a:solidFill>
                <a:srgbClr val="00838F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'Session Log'!$L$2:$L$10</c:f>
              <c:numCache>
                <c:formatCode>yyyy\-mm\-dd</c:formatCode>
                <c:ptCount val="9"/>
                <c:pt idx="0">
                  <c:v>46053</c:v>
                </c:pt>
                <c:pt idx="1">
                  <c:v>46054</c:v>
                </c:pt>
                <c:pt idx="2">
                  <c:v>46061</c:v>
                </c:pt>
                <c:pt idx="3">
                  <c:v>46069</c:v>
                </c:pt>
                <c:pt idx="4">
                  <c:v>46095</c:v>
                </c:pt>
                <c:pt idx="5">
                  <c:v>46095</c:v>
                </c:pt>
                <c:pt idx="6">
                  <c:v>46119</c:v>
                </c:pt>
                <c:pt idx="7">
                  <c:v>46123</c:v>
                </c:pt>
                <c:pt idx="8">
                  <c:v>46127</c:v>
                </c:pt>
              </c:numCache>
            </c:numRef>
          </c:cat>
          <c:val>
            <c:numRef>
              <c:f>'Session Log'!$N$2:$N$10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9-4EF8-A9AE-A4F5F0502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9290304"/>
        <c:axId val="1469290784"/>
      </c:lineChart>
      <c:dateAx>
        <c:axId val="1469290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290784"/>
        <c:crosses val="autoZero"/>
        <c:auto val="1"/>
        <c:lblOffset val="100"/>
        <c:baseTimeUnit val="days"/>
      </c:dateAx>
      <c:valAx>
        <c:axId val="146929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29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Session Velocity — Cumulative Sessions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Sessions</c:v>
          </c:tx>
          <c:spPr>
            <a:ln w="28575" cap="rnd">
              <a:solidFill>
                <a:srgbClr val="00838F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'Session Log'!$L$2:$L$10</c:f>
              <c:numCache>
                <c:formatCode>yyyy\-mm\-dd</c:formatCode>
                <c:ptCount val="9"/>
                <c:pt idx="0">
                  <c:v>46053</c:v>
                </c:pt>
                <c:pt idx="1">
                  <c:v>46054</c:v>
                </c:pt>
                <c:pt idx="2">
                  <c:v>46061</c:v>
                </c:pt>
                <c:pt idx="3">
                  <c:v>46069</c:v>
                </c:pt>
                <c:pt idx="4">
                  <c:v>46095</c:v>
                </c:pt>
                <c:pt idx="5">
                  <c:v>46095</c:v>
                </c:pt>
                <c:pt idx="6">
                  <c:v>46119</c:v>
                </c:pt>
                <c:pt idx="7">
                  <c:v>46123</c:v>
                </c:pt>
                <c:pt idx="8">
                  <c:v>46127</c:v>
                </c:pt>
              </c:numCache>
            </c:numRef>
          </c:cat>
          <c:val>
            <c:numRef>
              <c:f>'Session Log'!$N$2:$N$10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A4-455A-959F-C18C5EE1A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1060224"/>
        <c:axId val="731060704"/>
      </c:lineChart>
      <c:dateAx>
        <c:axId val="731060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60704"/>
        <c:crosses val="autoZero"/>
        <c:auto val="1"/>
        <c:lblOffset val="100"/>
        <c:baseTimeUnit val="days"/>
      </c:dateAx>
      <c:valAx>
        <c:axId val="73106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60224"/>
        <c:crosses val="autoZero"/>
        <c:crossBetween val="between"/>
      </c:valAx>
      <c:spPr>
        <a:solidFill>
          <a:srgbClr val="FAFAFA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309824</xdr:colOff>
      <xdr:row>10</xdr:row>
      <xdr:rowOff>142352</xdr:rowOff>
    </xdr:from>
    <xdr:to>
      <xdr:col>21</xdr:col>
      <xdr:colOff>45218</xdr:colOff>
      <xdr:row>24</xdr:row>
      <xdr:rowOff>13259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9F334C-925D-CD7E-18AF-3A8A5FAF6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427055</xdr:colOff>
      <xdr:row>13</xdr:row>
      <xdr:rowOff>75362</xdr:rowOff>
    </xdr:from>
    <xdr:to>
      <xdr:col>13</xdr:col>
      <xdr:colOff>949569</xdr:colOff>
      <xdr:row>26</xdr:row>
      <xdr:rowOff>155609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10B18D-7BA8-FFBF-DE54-C3DA07CA5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15D526-AC1F-4F98-8364-EA60B2060C7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e7096e4-f07a-43cd-ae77-259d7d47269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CD4"/>
  </sheetPr>
  <dimension ref="A1:H26"/>
  <sheetViews>
    <sheetView zoomScale="90" workbookViewId="0">
      <pane ySplit="9" topLeftCell="A10" activePane="bottomLeft" state="frozen"/>
      <selection pane="bottomLeft" activeCell="A26" sqref="A26:G26"/>
    </sheetView>
  </sheetViews>
  <sheetFormatPr defaultRowHeight="14.4" x14ac:dyDescent="0.3"/>
  <cols>
    <col min="1" max="1" width="45.21875" bestFit="1" customWidth="1"/>
    <col min="2" max="2" width="27.5546875" bestFit="1" customWidth="1"/>
    <col min="3" max="3" width="23.44140625" bestFit="1" customWidth="1"/>
    <col min="4" max="4" width="34.109375" bestFit="1" customWidth="1"/>
    <col min="5" max="5" width="34.77734375" bestFit="1" customWidth="1"/>
    <col min="6" max="6" width="18.5546875" bestFit="1" customWidth="1"/>
    <col min="7" max="7" width="39.6640625" bestFit="1" customWidth="1"/>
    <col min="8" max="8" width="10.21875" customWidth="1"/>
  </cols>
  <sheetData>
    <row r="1" spans="1:8" ht="24.6" customHeight="1" x14ac:dyDescent="0.3">
      <c r="A1" s="44" t="s">
        <v>49</v>
      </c>
      <c r="B1" s="42"/>
      <c r="C1" s="42"/>
      <c r="D1" s="42"/>
      <c r="E1" s="42"/>
      <c r="F1" s="42"/>
      <c r="G1" s="42"/>
    </row>
    <row r="3" spans="1:8" ht="19.2" customHeight="1" x14ac:dyDescent="0.45">
      <c r="A3" s="43" t="s">
        <v>50</v>
      </c>
      <c r="B3" s="42"/>
      <c r="D3" s="126" t="s">
        <v>723</v>
      </c>
      <c r="E3" s="127"/>
      <c r="F3" s="125" t="s">
        <v>705</v>
      </c>
      <c r="G3" s="125" t="s">
        <v>728</v>
      </c>
      <c r="H3" s="127"/>
    </row>
    <row r="4" spans="1:8" ht="20.399999999999999" customHeight="1" x14ac:dyDescent="0.45">
      <c r="A4" s="1" t="s">
        <v>51</v>
      </c>
      <c r="B4" s="16">
        <f ca="1">DATE(2026,6,1)-TODAY()</f>
        <v>46</v>
      </c>
      <c r="D4" s="212" t="s">
        <v>724</v>
      </c>
      <c r="E4" s="212" t="str">
        <f ca="1">"Apr 17 "&amp;IF(DATE(2026,4,17)-TODAY()=0,"TODAY",IF(DATE(2026,4,17)-TODAY()=1,"TOMORROW",IF(DATE(2026,4,17)-TODAY()&lt;0,"PAST","")))</f>
        <v>Apr 17 TOMORROW</v>
      </c>
      <c r="F4" s="56">
        <f>COUNTIF('60 Elements'!E2:E61,"PASS")</f>
        <v>33</v>
      </c>
      <c r="G4" s="60" t="s">
        <v>661</v>
      </c>
    </row>
    <row r="5" spans="1:8" ht="15" customHeight="1" x14ac:dyDescent="0.45">
      <c r="A5" s="1" t="s">
        <v>52</v>
      </c>
      <c r="B5" s="17">
        <f ca="1">15-INT((DATE(2026,6,1)-TODAY())/7)</f>
        <v>9</v>
      </c>
      <c r="D5" s="213">
        <f ca="1">DATE(2026,4,17)-TODAY()</f>
        <v>1</v>
      </c>
      <c r="E5" s="212" t="s">
        <v>726</v>
      </c>
      <c r="F5" s="57">
        <f>COUNTIF('60 Elements'!E2:E61,"WARN")</f>
        <v>5</v>
      </c>
      <c r="G5" s="61" t="s">
        <v>662</v>
      </c>
    </row>
    <row r="6" spans="1:8" ht="15" customHeight="1" x14ac:dyDescent="0.45">
      <c r="A6" s="1" t="s">
        <v>53</v>
      </c>
      <c r="B6" s="3" t="s">
        <v>54</v>
      </c>
      <c r="D6" s="214" t="s">
        <v>725</v>
      </c>
      <c r="E6" s="214" t="s">
        <v>727</v>
      </c>
      <c r="F6" s="58">
        <f>COUNTIF('60 Elements'!E2:E61,"—")</f>
        <v>22</v>
      </c>
      <c r="G6" s="62" t="s">
        <v>663</v>
      </c>
    </row>
    <row r="7" spans="1:8" ht="15" customHeight="1" x14ac:dyDescent="0.45">
      <c r="A7" s="1" t="s">
        <v>55</v>
      </c>
      <c r="B7" s="21" t="s">
        <v>56</v>
      </c>
      <c r="D7" s="215">
        <f>COUNTIF('CEN Deliverables'!F25:F32,"NOT DONE")+COUNTIF('CEN Deliverables'!F25:F32,"NOT STARTED")+COUNTIF('CEN Deliverables'!F25:F32,"BLOCKED")</f>
        <v>8</v>
      </c>
      <c r="E7" s="214" t="str">
        <f>"of "&amp;COUNTA('CEN Deliverables'!F25:F32)&amp;" total"</f>
        <v>of 8 total</v>
      </c>
      <c r="F7" s="59" t="str">
        <f>TEXT((60-COUNTIF('60 Elements'!E2:E61,"—"))/60,"0%")</f>
        <v>63%</v>
      </c>
      <c r="G7" s="63" t="s">
        <v>664</v>
      </c>
    </row>
    <row r="9" spans="1:8" ht="16.8" customHeight="1" x14ac:dyDescent="0.3">
      <c r="A9" s="4" t="s">
        <v>57</v>
      </c>
      <c r="B9" s="4" t="s">
        <v>58</v>
      </c>
      <c r="C9" s="4" t="s">
        <v>59</v>
      </c>
      <c r="D9" s="4" t="s">
        <v>60</v>
      </c>
      <c r="E9" s="4" t="s">
        <v>61</v>
      </c>
      <c r="F9" s="4" t="s">
        <v>62</v>
      </c>
      <c r="G9" s="4" t="s">
        <v>63</v>
      </c>
      <c r="H9" s="64" t="s">
        <v>665</v>
      </c>
    </row>
    <row r="10" spans="1:8" ht="15" customHeight="1" x14ac:dyDescent="0.35">
      <c r="A10" s="92">
        <v>1</v>
      </c>
      <c r="B10" s="6" t="s">
        <v>64</v>
      </c>
      <c r="C10" s="6" t="s">
        <v>65</v>
      </c>
      <c r="D10" s="7" t="str">
        <f>IF(COUNTIFS('60 Elements'!$A$2:$A$61,$A10,'60 Elements'!$E$2:$E$61,"WARN")&gt;0,"WARN",IF(COUNTIFS('60 Elements'!$A$2:$A$61,$A10,'60 Elements'!$E$2:$E$61,"PASS")&gt;0,"PASS","—"))</f>
        <v>PASS</v>
      </c>
      <c r="E10" s="6" t="s">
        <v>67</v>
      </c>
      <c r="F10" s="6" t="str" cm="1">
        <f t="array" ref="F10">IFERROR(IF(SUMPRODUCT(('60 Elements'!$A$2:$A$61=$A10)*('60 Elements'!$G$2:$G$61&lt;&gt;""))=0,"—",TEXT(MAX(IF(('60 Elements'!$A$2:$A$61=$A10)*('60 Elements'!$G$2:$G$61&lt;&gt;""),DATEVALUE('60 Elements'!$G$2:$G$61))),"yyyy-mm-dd")),"—")</f>
        <v>2026-04-11</v>
      </c>
      <c r="G10" s="6"/>
      <c r="H10" s="65" t="str">
        <f>IF(D10="PASS","✅",IF(D10="WARN","⚠️","❌"))</f>
        <v>✅</v>
      </c>
    </row>
    <row r="11" spans="1:8" ht="15" customHeight="1" x14ac:dyDescent="0.35">
      <c r="A11" s="92">
        <v>2</v>
      </c>
      <c r="B11" s="6" t="s">
        <v>68</v>
      </c>
      <c r="C11" s="6" t="s">
        <v>69</v>
      </c>
      <c r="D11" s="7" t="str">
        <f>IF(COUNTIFS('60 Elements'!$A$2:$A$61,$A11,'60 Elements'!$E$2:$E$61,"WARN")&gt;0,"WARN",IF(COUNTIFS('60 Elements'!$A$2:$A$61,$A11,'60 Elements'!$E$2:$E$61,"PASS")&gt;0,"PASS","—"))</f>
        <v>PASS</v>
      </c>
      <c r="E11" s="6" t="s">
        <v>70</v>
      </c>
      <c r="F11" s="6" t="str" cm="1">
        <f t="array" ref="F11">IFERROR(IF(SUMPRODUCT(('60 Elements'!$A$2:$A$61=$A11)*('60 Elements'!$G$2:$G$61&lt;&gt;""))=0,"—",TEXT(MAX(IF(('60 Elements'!$A$2:$A$61=$A11)*('60 Elements'!$G$2:$G$61&lt;&gt;""),DATEVALUE('60 Elements'!$G$2:$G$61))),"yyyy-mm-dd")),"—")</f>
        <v>2026-04-11</v>
      </c>
      <c r="G11" s="6"/>
      <c r="H11" s="65" t="str">
        <f>IF(D11="PASS","✅",IF(D11="WARN","⚠️","❌"))</f>
        <v>✅</v>
      </c>
    </row>
    <row r="12" spans="1:8" ht="15" customHeight="1" x14ac:dyDescent="0.35">
      <c r="A12" s="92">
        <v>3</v>
      </c>
      <c r="B12" s="6" t="s">
        <v>71</v>
      </c>
      <c r="C12" s="6" t="s">
        <v>72</v>
      </c>
      <c r="D12" s="7" t="str">
        <f>IF(COUNTIFS('60 Elements'!$A$2:$A$61,$A12,'60 Elements'!$E$2:$E$61,"WARN")&gt;0,"WARN",IF(COUNTIFS('60 Elements'!$A$2:$A$61,$A12,'60 Elements'!$E$2:$E$61,"PASS")&gt;0,"PASS","—"))</f>
        <v>WARN</v>
      </c>
      <c r="E12" s="6" t="s">
        <v>74</v>
      </c>
      <c r="F12" s="6" t="str" cm="1">
        <f t="array" ref="F12">IFERROR(IF(SUMPRODUCT(('60 Elements'!$A$2:$A$61=$A12)*('60 Elements'!$G$2:$G$61&lt;&gt;""))=0,"—",TEXT(MAX(IF(('60 Elements'!$A$2:$A$61=$A12)*('60 Elements'!$G$2:$G$61&lt;&gt;""),DATEVALUE('60 Elements'!$G$2:$G$61))),"yyyy-mm-dd")),"—")</f>
        <v>2026-04-11</v>
      </c>
      <c r="G12" s="6" t="s">
        <v>75</v>
      </c>
      <c r="H12" s="66" t="str">
        <f>IF(D12="PASS","✅",IF(D12="WARN","⚠️","❌"))</f>
        <v>⚠️</v>
      </c>
    </row>
    <row r="13" spans="1:8" ht="15" customHeight="1" x14ac:dyDescent="0.35">
      <c r="A13" s="92">
        <v>4</v>
      </c>
      <c r="B13" s="6" t="s">
        <v>76</v>
      </c>
      <c r="C13" s="6" t="s">
        <v>77</v>
      </c>
      <c r="D13" s="7" t="str">
        <f>IF(COUNTIFS('60 Elements'!$A$2:$A$61,$A13,'60 Elements'!$E$2:$E$61,"WARN")&gt;0,"WARN",IF(COUNTIFS('60 Elements'!$A$2:$A$61,$A13,'60 Elements'!$E$2:$E$61,"PASS")&gt;0,"PASS","—"))</f>
        <v>WARN</v>
      </c>
      <c r="E13" s="6" t="s">
        <v>78</v>
      </c>
      <c r="F13" s="6" t="str" cm="1">
        <f t="array" ref="F13">IFERROR(IF(SUMPRODUCT(('60 Elements'!$A$2:$A$61=$A13)*('60 Elements'!$G$2:$G$61&lt;&gt;""))=0,"—",TEXT(MAX(IF(('60 Elements'!$A$2:$A$61=$A13)*('60 Elements'!$G$2:$G$61&lt;&gt;""),DATEVALUE('60 Elements'!$G$2:$G$61))),"yyyy-mm-dd")),"—")</f>
        <v>2026-04-11</v>
      </c>
      <c r="G13" s="6" t="s">
        <v>79</v>
      </c>
      <c r="H13" s="65" t="str">
        <f>IF(D13="PASS","✅",IF(D13="WARN","⚠️","❌"))</f>
        <v>⚠️</v>
      </c>
    </row>
    <row r="14" spans="1:8" ht="15" customHeight="1" x14ac:dyDescent="0.35">
      <c r="A14" s="92">
        <v>5</v>
      </c>
      <c r="B14" s="6" t="s">
        <v>80</v>
      </c>
      <c r="C14" s="6" t="s">
        <v>81</v>
      </c>
      <c r="D14" s="7" t="str">
        <f>IF(COUNTIFS('60 Elements'!$A$2:$A$61,$A14,'60 Elements'!$E$2:$E$61,"WARN")&gt;0,"WARN",IF(COUNTIFS('60 Elements'!$A$2:$A$61,$A14,'60 Elements'!$E$2:$E$61,"PASS")&gt;0,"PASS","—"))</f>
        <v>PASS</v>
      </c>
      <c r="E14" s="6" t="s">
        <v>82</v>
      </c>
      <c r="F14" s="6" t="str" cm="1">
        <f t="array" ref="F14">IFERROR(IF(SUMPRODUCT(('60 Elements'!$A$2:$A$61=$A14)*('60 Elements'!$G$2:$G$61&lt;&gt;""))=0,"—",TEXT(MAX(IF(('60 Elements'!$A$2:$A$61=$A14)*('60 Elements'!$G$2:$G$61&lt;&gt;""),DATEVALUE('60 Elements'!$G$2:$G$61))),"yyyy-mm-dd")),"—")</f>
        <v>2026-04-11</v>
      </c>
      <c r="G14" s="6" t="s">
        <v>83</v>
      </c>
      <c r="H14" s="67" t="str">
        <f>IF(D14="PASS","✅",IF(D14="WARN","⚠️","❌"))</f>
        <v>✅</v>
      </c>
    </row>
    <row r="15" spans="1:8" ht="15" customHeight="1" x14ac:dyDescent="0.35">
      <c r="A15" s="92">
        <v>6</v>
      </c>
      <c r="B15" s="6" t="s">
        <v>84</v>
      </c>
      <c r="C15" s="6" t="s">
        <v>85</v>
      </c>
      <c r="D15" s="7" t="str">
        <f>IF(COUNTIFS('60 Elements'!$A$2:$A$61,$A15,'60 Elements'!$E$2:$E$61,"WARN")&gt;0,"WARN",IF(COUNTIFS('60 Elements'!$A$2:$A$61,$A15,'60 Elements'!$E$2:$E$61,"PASS")&gt;0,"PASS","—"))</f>
        <v>PASS</v>
      </c>
      <c r="E15" s="6" t="s">
        <v>86</v>
      </c>
      <c r="F15" s="6" t="str" cm="1">
        <f t="array" ref="F15">IFERROR(IF(SUMPRODUCT(('60 Elements'!$A$2:$A$61=$A15)*('60 Elements'!$G$2:$G$61&lt;&gt;""))=0,"—",TEXT(MAX(IF(('60 Elements'!$A$2:$A$61=$A15)*('60 Elements'!$G$2:$G$61&lt;&gt;""),DATEVALUE('60 Elements'!$G$2:$G$61))),"yyyy-mm-dd")),"—")</f>
        <v>2026-04-07</v>
      </c>
      <c r="G15" s="6"/>
      <c r="H15" s="67" t="str">
        <f>IF(D15="PASS","✅",IF(D15="WARN","⚠️","❌"))</f>
        <v>✅</v>
      </c>
    </row>
    <row r="16" spans="1:8" ht="15" customHeight="1" x14ac:dyDescent="0.35">
      <c r="A16" s="92">
        <v>7</v>
      </c>
      <c r="B16" s="6" t="s">
        <v>87</v>
      </c>
      <c r="C16" s="6" t="s">
        <v>88</v>
      </c>
      <c r="D16" s="7" t="str">
        <f>IF(COUNTIFS('60 Elements'!$A$2:$A$61,$A16,'60 Elements'!$E$2:$E$61,"WARN")&gt;0,"WARN",IF(COUNTIFS('60 Elements'!$A$2:$A$61,$A16,'60 Elements'!$E$2:$E$61,"PASS")&gt;0,"PASS","—"))</f>
        <v>PASS</v>
      </c>
      <c r="E16" s="6" t="s">
        <v>89</v>
      </c>
      <c r="F16" s="6" t="str" cm="1">
        <f t="array" ref="F16">IFERROR(IF(SUMPRODUCT(('60 Elements'!$A$2:$A$61=$A16)*('60 Elements'!$G$2:$G$61&lt;&gt;""))=0,"—",TEXT(MAX(IF(('60 Elements'!$A$2:$A$61=$A16)*('60 Elements'!$G$2:$G$61&lt;&gt;""),DATEVALUE('60 Elements'!$G$2:$G$61))),"yyyy-mm-dd")),"—")</f>
        <v>2026-04-11</v>
      </c>
      <c r="G16" s="6"/>
      <c r="H16" s="67" t="str">
        <f>IF(D16="PASS","✅",IF(D16="WARN","⚠️","❌"))</f>
        <v>✅</v>
      </c>
    </row>
    <row r="17" spans="1:8" ht="15" customHeight="1" x14ac:dyDescent="0.35">
      <c r="A17" s="92">
        <v>8</v>
      </c>
      <c r="B17" s="6" t="s">
        <v>90</v>
      </c>
      <c r="C17" s="6" t="s">
        <v>91</v>
      </c>
      <c r="D17" s="7" t="str">
        <f>IF(COUNTIFS('60 Elements'!$A$2:$A$61,$A17,'60 Elements'!$E$2:$E$61,"WARN")&gt;0,"WARN",IF(COUNTIFS('60 Elements'!$A$2:$A$61,$A17,'60 Elements'!$E$2:$E$61,"PASS")&gt;0,"PASS","—"))</f>
        <v>WARN</v>
      </c>
      <c r="E17" s="6" t="s">
        <v>92</v>
      </c>
      <c r="F17" s="6" t="str" cm="1">
        <f t="array" ref="F17">IFERROR(IF(SUMPRODUCT(('60 Elements'!$A$2:$A$61=$A17)*('60 Elements'!$G$2:$G$61&lt;&gt;""))=0,"—",TEXT(MAX(IF(('60 Elements'!$A$2:$A$61=$A17)*('60 Elements'!$G$2:$G$61&lt;&gt;""),DATEVALUE('60 Elements'!$G$2:$G$61))),"yyyy-mm-dd")),"—")</f>
        <v>2026-02-08</v>
      </c>
      <c r="G17" s="6" t="s">
        <v>93</v>
      </c>
      <c r="H17" s="68" t="str">
        <f>IF(D17="PASS","✅",IF(D17="WARN","⚠️","❌"))</f>
        <v>⚠️</v>
      </c>
    </row>
    <row r="18" spans="1:8" ht="15" customHeight="1" x14ac:dyDescent="0.35">
      <c r="A18" s="92">
        <v>9</v>
      </c>
      <c r="B18" s="6" t="s">
        <v>94</v>
      </c>
      <c r="C18" s="6" t="s">
        <v>95</v>
      </c>
      <c r="D18" s="7" t="str">
        <f>IF(COUNTIFS('60 Elements'!$A$2:$A$61,$A18,'60 Elements'!$E$2:$E$61,"WARN")&gt;0,"WARN",IF(COUNTIFS('60 Elements'!$A$2:$A$61,$A18,'60 Elements'!$E$2:$E$61,"PASS")&gt;0,"PASS","—"))</f>
        <v>WARN</v>
      </c>
      <c r="E18" s="6" t="s">
        <v>96</v>
      </c>
      <c r="F18" s="6" t="str" cm="1">
        <f t="array" ref="F18">IFERROR(IF(SUMPRODUCT(('60 Elements'!$A$2:$A$61=$A18)*('60 Elements'!$G$2:$G$61&lt;&gt;""))=0,"—",TEXT(MAX(IF(('60 Elements'!$A$2:$A$61=$A18)*('60 Elements'!$G$2:$G$61&lt;&gt;""),DATEVALUE('60 Elements'!$G$2:$G$61))),"yyyy-mm-dd")),"—")</f>
        <v>2026-04-07</v>
      </c>
      <c r="G18" s="6" t="s">
        <v>97</v>
      </c>
      <c r="H18" s="67" t="str">
        <f>IF(D18="PASS","✅",IF(D18="WARN","⚠️","❌"))</f>
        <v>⚠️</v>
      </c>
    </row>
    <row r="19" spans="1:8" ht="15" customHeight="1" x14ac:dyDescent="0.35">
      <c r="A19" s="92">
        <v>10</v>
      </c>
      <c r="B19" s="6" t="s">
        <v>98</v>
      </c>
      <c r="C19" s="6" t="s">
        <v>99</v>
      </c>
      <c r="D19" s="7" t="str">
        <f>IF(COUNTIFS('60 Elements'!$A$2:$A$61,$A19,'60 Elements'!$E$2:$E$61,"WARN")&gt;0,"WARN",IF(COUNTIFS('60 Elements'!$A$2:$A$61,$A19,'60 Elements'!$E$2:$E$61,"PASS")&gt;0,"PASS","—"))</f>
        <v>PASS</v>
      </c>
      <c r="E19" s="6" t="s">
        <v>100</v>
      </c>
      <c r="F19" s="6" t="str" cm="1">
        <f t="array" ref="F19">IFERROR(IF(SUMPRODUCT(('60 Elements'!$A$2:$A$61=$A19)*('60 Elements'!$G$2:$G$61&lt;&gt;""))=0,"—",TEXT(MAX(IF(('60 Elements'!$A$2:$A$61=$A19)*('60 Elements'!$G$2:$G$61&lt;&gt;""),DATEVALUE('60 Elements'!$G$2:$G$61))),"yyyy-mm-dd")),"—")</f>
        <v>2026-04-11</v>
      </c>
      <c r="G19" s="6" t="s">
        <v>101</v>
      </c>
      <c r="H19" s="67" t="str">
        <f>IF(D19="PASS","✅",IF(D19="WARN","⚠️","❌"))</f>
        <v>✅</v>
      </c>
    </row>
    <row r="20" spans="1:8" ht="15" customHeight="1" x14ac:dyDescent="0.35">
      <c r="A20" s="92">
        <v>11</v>
      </c>
      <c r="B20" s="6" t="s">
        <v>102</v>
      </c>
      <c r="C20" s="6" t="s">
        <v>103</v>
      </c>
      <c r="D20" s="7" t="str">
        <f>IF(COUNTIFS('60 Elements'!$A$2:$A$61,$A20,'60 Elements'!$E$2:$E$61,"WARN")&gt;0,"WARN",IF(COUNTIFS('60 Elements'!$A$2:$A$61,$A20,'60 Elements'!$E$2:$E$61,"PASS")&gt;0,"PASS","—"))</f>
        <v>PASS</v>
      </c>
      <c r="E20" s="6" t="s">
        <v>104</v>
      </c>
      <c r="F20" s="6" t="str" cm="1">
        <f t="array" ref="F20">IFERROR(IF(SUMPRODUCT(('60 Elements'!$A$2:$A$61=$A20)*('60 Elements'!$G$2:$G$61&lt;&gt;""))=0,"—",TEXT(MAX(IF(('60 Elements'!$A$2:$A$61=$A20)*('60 Elements'!$G$2:$G$61&lt;&gt;""),DATEVALUE('60 Elements'!$G$2:$G$61))),"yyyy-mm-dd")),"—")</f>
        <v>2026-04-11</v>
      </c>
      <c r="G20" s="6"/>
      <c r="H20" s="67" t="str">
        <f>IF(D20="PASS","✅",IF(D20="WARN","⚠️","❌"))</f>
        <v>✅</v>
      </c>
    </row>
    <row r="21" spans="1:8" ht="15" customHeight="1" x14ac:dyDescent="0.35">
      <c r="A21" s="92">
        <v>12</v>
      </c>
      <c r="B21" s="6" t="s">
        <v>105</v>
      </c>
      <c r="C21" s="6" t="s">
        <v>106</v>
      </c>
      <c r="D21" s="7" t="str">
        <f>IF(COUNTIFS('60 Elements'!$A$2:$A$61,$A21,'60 Elements'!$E$2:$E$61,"WARN")&gt;0,"WARN",IF(COUNTIFS('60 Elements'!$A$2:$A$61,$A21,'60 Elements'!$E$2:$E$61,"PASS")&gt;0,"PASS","—"))</f>
        <v>PASS</v>
      </c>
      <c r="E21" s="6" t="s">
        <v>107</v>
      </c>
      <c r="F21" s="6" t="str" cm="1">
        <f t="array" ref="F21">IFERROR(IF(SUMPRODUCT(('60 Elements'!$A$2:$A$61=$A21)*('60 Elements'!$G$2:$G$61&lt;&gt;""))=0,"—",TEXT(MAX(IF(('60 Elements'!$A$2:$A$61=$A21)*('60 Elements'!$G$2:$G$61&lt;&gt;""),DATEVALUE('60 Elements'!$G$2:$G$61))),"yyyy-mm-dd")),"—")</f>
        <v>2026-04-11</v>
      </c>
      <c r="G21" s="6" t="s">
        <v>108</v>
      </c>
      <c r="H21" s="67" t="str">
        <f>IF(D21="PASS","✅",IF(D21="WARN","⚠️","❌"))</f>
        <v>✅</v>
      </c>
    </row>
    <row r="23" spans="1:8" ht="20.399999999999999" customHeight="1" x14ac:dyDescent="0.3">
      <c r="A23" t="s">
        <v>109</v>
      </c>
      <c r="B23" t="s">
        <v>110</v>
      </c>
      <c r="C23" t="s">
        <v>41</v>
      </c>
      <c r="D23" t="s">
        <v>111</v>
      </c>
      <c r="E23" t="s">
        <v>112</v>
      </c>
      <c r="F23" t="s">
        <v>113</v>
      </c>
      <c r="G23" t="s">
        <v>114</v>
      </c>
    </row>
    <row r="24" spans="1:8" ht="20.399999999999999" x14ac:dyDescent="0.45">
      <c r="A24" s="43" t="s">
        <v>115</v>
      </c>
      <c r="B24" s="42"/>
      <c r="C24" s="42"/>
      <c r="D24" s="2" t="str">
        <f ca="1">IF(AND(COUNTIF('CEN Deliverables'!F25:F32,"NOT DONE")+COUNTIF('CEN Deliverables'!F25:F32,"NOT STARTED")+COUNTIF('CEN Deliverables'!F25:F32,"BLOCKED")&gt;0,(DATE(2026,4,17)-TODAY())&lt;=3),"🔴 CEN MEETING AT RISK",IF(OR(COUNTIF(D10:D21,"WARN")&gt;=3,COUNTIF('60 Elements'!E2:E61,"—")/60&gt;0.4),"🟠 ATTENTION NEEDED",IF(OR(COUNTIF(D10:D21,"WARN")&gt;=1,COUNTIF('60 Elements'!E2:E61,"—")/60&gt;0.2),"🟡 MONITORING","🟢 CLEAN")))</f>
        <v>🔴 CEN MEETING AT RISK</v>
      </c>
      <c r="E24" s="195" t="str">
        <f ca="1">IF(LEFT(D24,1)="🔴",""&amp;COUNTIF('CEN Deliverables'!F25:F32,"NOT DONE")+COUNTIF('CEN Deliverables'!F25:F32,"NOT STARTED")+COUNTIF('CEN Deliverables'!F25:F32,"BLOCKED")&amp;" CEN actions not done, "&amp;(DATE(2026,4,17)-TODAY())&amp;"d to meeting",IF(LEFT(D24,1)="🟠",COUNTIF(D10:D21,"WARN")&amp;" WARN faces, "&amp;TEXT(COUNTIF('60 Elements'!E2:E61,"—")/60,"0%")&amp;" unassessed",IF(LEFT(D24,1)="🟡",COUNTIF(D10:D21,"WARN")&amp;" WARN faces, "&amp;TEXT(COUNTIF('60 Elements'!E2:E61,"—")/60,"0%")&amp;" unassessed","All faces PASS, CEN on track")))</f>
        <v>8 CEN actions not done, 1d to meeting</v>
      </c>
    </row>
    <row r="25" spans="1:8" ht="15" x14ac:dyDescent="0.35">
      <c r="A25" s="195" t="s">
        <v>731</v>
      </c>
      <c r="B25" s="218" t="str">
        <f>COUNTIF('Thesis Evidence'!I4:I13,"Bachelor")&amp;" in scope"</f>
        <v>5 in scope</v>
      </c>
      <c r="C25" s="219" t="str">
        <f>COUNTIF('Thesis Evidence'!I4:I13,"Master")&amp;" stretch (MSc)"</f>
        <v>3 stretch (MSc)</v>
      </c>
      <c r="D25" s="220" t="str">
        <f>COUNTIF('Thesis Evidence'!I4:I13,"PhD")&amp;" out of scope (PhD)"</f>
        <v>2 out of scope (PhD)</v>
      </c>
      <c r="E25" s="113" t="s">
        <v>732</v>
      </c>
    </row>
    <row r="26" spans="1:8" x14ac:dyDescent="0.3">
      <c r="A26" s="41" t="s">
        <v>116</v>
      </c>
      <c r="B26" s="42"/>
      <c r="C26" s="42"/>
      <c r="D26" s="42"/>
      <c r="E26" s="42"/>
      <c r="F26" s="42"/>
      <c r="G26" s="42"/>
    </row>
  </sheetData>
  <mergeCells count="4">
    <mergeCell ref="A26:G26"/>
    <mergeCell ref="A3:B3"/>
    <mergeCell ref="A24:C24"/>
    <mergeCell ref="A1:G1"/>
  </mergeCells>
  <conditionalFormatting sqref="D10:D21">
    <cfRule type="containsText" dxfId="113" priority="1" operator="containsText" text="PASS">
      <formula>NOT(ISERROR(SEARCH("PASS",D10)))</formula>
    </cfRule>
  </conditionalFormatting>
  <conditionalFormatting sqref="D10:D21">
    <cfRule type="containsText" dxfId="112" priority="2" operator="containsText" text="WARN">
      <formula>NOT(ISERROR(SEARCH("WARN",D10)))</formula>
    </cfRule>
  </conditionalFormatting>
  <conditionalFormatting sqref="D24">
    <cfRule type="expression" dxfId="3" priority="3">
      <formula>LEFT($D$24,1)="🔴"</formula>
    </cfRule>
  </conditionalFormatting>
  <conditionalFormatting sqref="D24">
    <cfRule type="expression" dxfId="2" priority="4">
      <formula>LEFT($D$24,1)="🟠"</formula>
    </cfRule>
  </conditionalFormatting>
  <conditionalFormatting sqref="D24">
    <cfRule type="expression" dxfId="1" priority="5">
      <formula>LEFT($D$24,1)="🟡"</formula>
    </cfRule>
  </conditionalFormatting>
  <conditionalFormatting sqref="D24">
    <cfRule type="expression" dxfId="0" priority="6">
      <formula>LEFT($D$24,1)="🟢"</formula>
    </cfRule>
  </conditionalFormatting>
  <dataValidations count="1">
    <dataValidation type="list" allowBlank="1" errorTitle="Invalid Status" error="Please select PASS, WARN, FAIL, N/A, or —" sqref="D10:D21" xr:uid="{52709C30-B2CF-4963-A0B8-0A5D56FB40DE}">
      <formula1>"PASS,WARN,FAIL,N/A,—"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0DB49-1D31-4254-B43D-34627BE41FF5}">
  <dimension ref="A1:G54"/>
  <sheetViews>
    <sheetView workbookViewId="0">
      <selection activeCell="G15" sqref="G15"/>
    </sheetView>
  </sheetViews>
  <sheetFormatPr defaultRowHeight="14.4" x14ac:dyDescent="0.3"/>
  <cols>
    <col min="1" max="1" width="16.6640625" customWidth="1"/>
    <col min="2" max="2" width="44.44140625" customWidth="1"/>
    <col min="3" max="3" width="51.88671875" customWidth="1"/>
    <col min="4" max="4" width="38.6640625" bestFit="1" customWidth="1"/>
    <col min="5" max="5" width="22.21875" customWidth="1"/>
    <col min="6" max="6" width="12" customWidth="1"/>
    <col min="7" max="7" width="11.109375" customWidth="1"/>
  </cols>
  <sheetData>
    <row r="1" spans="1:7" ht="28.05" customHeight="1" x14ac:dyDescent="0.55000000000000004">
      <c r="A1" s="69" t="s">
        <v>666</v>
      </c>
      <c r="B1" s="86"/>
      <c r="C1" s="86"/>
    </row>
    <row r="2" spans="1:7" x14ac:dyDescent="0.3">
      <c r="A2" s="15" t="s">
        <v>667</v>
      </c>
      <c r="B2" s="87" t="str">
        <f ca="1">"Last refreshed: "&amp;TEXT(TODAY(),"MMM D, YYYY")</f>
        <v>Last refreshed: Apr 16, 2026</v>
      </c>
      <c r="C2" s="86"/>
    </row>
    <row r="3" spans="1:7" x14ac:dyDescent="0.3">
      <c r="B3" s="86"/>
      <c r="C3" s="86"/>
    </row>
    <row r="4" spans="1:7" ht="24" customHeight="1" x14ac:dyDescent="0.45">
      <c r="A4" s="70" t="s">
        <v>668</v>
      </c>
      <c r="B4" s="88"/>
      <c r="C4" s="88"/>
      <c r="D4" s="71"/>
      <c r="E4" s="71"/>
    </row>
    <row r="5" spans="1:7" ht="15" x14ac:dyDescent="0.35">
      <c r="A5" s="72" t="s">
        <v>509</v>
      </c>
      <c r="B5" s="89" t="s">
        <v>510</v>
      </c>
      <c r="C5" s="89" t="s">
        <v>669</v>
      </c>
      <c r="D5" s="72" t="s">
        <v>514</v>
      </c>
      <c r="E5" s="72" t="s">
        <v>60</v>
      </c>
    </row>
    <row r="6" spans="1:7" ht="27" x14ac:dyDescent="0.35">
      <c r="A6" s="73" t="s">
        <v>515</v>
      </c>
      <c r="B6" s="90" t="s">
        <v>516</v>
      </c>
      <c r="C6" s="91" t="s">
        <v>670</v>
      </c>
      <c r="D6" s="74" t="s">
        <v>671</v>
      </c>
      <c r="E6" s="75" t="s">
        <v>520</v>
      </c>
    </row>
    <row r="7" spans="1:7" ht="27" x14ac:dyDescent="0.35">
      <c r="A7" s="73" t="s">
        <v>515</v>
      </c>
      <c r="B7" s="90" t="s">
        <v>672</v>
      </c>
      <c r="C7" s="91" t="s">
        <v>673</v>
      </c>
      <c r="D7" s="74" t="s">
        <v>674</v>
      </c>
      <c r="E7" s="75" t="s">
        <v>520</v>
      </c>
    </row>
    <row r="8" spans="1:7" ht="30" x14ac:dyDescent="0.35">
      <c r="A8" s="73" t="s">
        <v>515</v>
      </c>
      <c r="B8" s="90" t="s">
        <v>675</v>
      </c>
      <c r="C8" s="91" t="s">
        <v>676</v>
      </c>
      <c r="D8" s="74" t="s">
        <v>671</v>
      </c>
      <c r="E8" s="75" t="s">
        <v>520</v>
      </c>
    </row>
    <row r="9" spans="1:7" ht="30" x14ac:dyDescent="0.35">
      <c r="A9" s="76" t="s">
        <v>533</v>
      </c>
      <c r="B9" s="90" t="s">
        <v>677</v>
      </c>
      <c r="C9" s="91" t="s">
        <v>678</v>
      </c>
      <c r="D9" s="74" t="s">
        <v>679</v>
      </c>
      <c r="E9" s="75" t="s">
        <v>520</v>
      </c>
    </row>
    <row r="10" spans="1:7" ht="27" x14ac:dyDescent="0.35">
      <c r="A10" s="76" t="s">
        <v>533</v>
      </c>
      <c r="B10" s="90" t="s">
        <v>680</v>
      </c>
      <c r="C10" s="91" t="s">
        <v>681</v>
      </c>
      <c r="D10" s="74" t="s">
        <v>671</v>
      </c>
      <c r="E10" s="75" t="s">
        <v>520</v>
      </c>
    </row>
    <row r="11" spans="1:7" ht="19.2" x14ac:dyDescent="0.45">
      <c r="A11" s="95" t="s">
        <v>698</v>
      </c>
      <c r="B11" s="77"/>
      <c r="C11" s="77"/>
      <c r="D11" s="77"/>
      <c r="E11" s="77"/>
      <c r="F11" s="77"/>
      <c r="G11" s="77"/>
    </row>
    <row r="12" spans="1:7" ht="24" customHeight="1" x14ac:dyDescent="0.35">
      <c r="A12" s="96" t="s">
        <v>563</v>
      </c>
      <c r="B12" s="97" t="s">
        <v>118</v>
      </c>
      <c r="C12" s="97" t="s">
        <v>119</v>
      </c>
      <c r="D12" s="99" t="s">
        <v>120</v>
      </c>
      <c r="E12" s="96" t="s">
        <v>121</v>
      </c>
      <c r="F12" s="96" t="s">
        <v>60</v>
      </c>
      <c r="G12" s="96" t="s">
        <v>699</v>
      </c>
    </row>
    <row r="13" spans="1:7" ht="26.4" x14ac:dyDescent="0.3">
      <c r="A13" s="101" t="str" cm="1">
        <f t="array" ref="A13">IFERROR(INDEX('60 Elements'!B:B,SMALL(IF('60 Elements'!E$2:E$61="WARN",ROW('60 Elements'!E$2:E$61)),1)),"")</f>
        <v>Clarity</v>
      </c>
      <c r="B13" s="101" t="str" cm="1">
        <f t="array" ref="B13">IFERROR(INDEX('60 Elements'!C:C,SMALL(IF('60 Elements'!E$2:E$61="WARN",ROW('60 Elements'!E$2:E$61)),1)),"")</f>
        <v>Earth</v>
      </c>
      <c r="C13" s="101" t="str" cm="1">
        <f t="array" ref="C13">IFERROR(INDEX('60 Elements'!D:D,SMALL(IF('60 Elements'!E$2:E$61="WARN",ROW('60 Elements'!E$2:E$61)),1)),"")</f>
        <v>"Why" comments — Greek params (α-θ) documented, phi powers explained</v>
      </c>
      <c r="D13" s="101" t="str" cm="1">
        <f t="array" ref="D13">IFERROR(INDEX('60 Elements'!F:F,SMALL(IF('60 Elements'!E$2:E$61="WARN",ROW('60 Elements'!E$2:E$61)),1)),"")</f>
        <v>Doc-drift class found 2026-04-07; SSOT lookup rule established</v>
      </c>
      <c r="E13" s="103" t="str" cm="1">
        <f t="array" ref="E13">IFERROR(INDEX('60 Elements'!G:G,SMALL(IF('60 Elements'!E$2:E$61="WARN",ROW('60 Elements'!E$2:E$61)),1)),"")</f>
        <v>2026-04-07</v>
      </c>
      <c r="F13" s="105" t="str" cm="1">
        <f t="array" ref="F13">IFERROR(INDEX('60 Elements'!E:E,SMALL(IF('60 Elements'!E$2:E$61="WARN",ROW('60 Elements'!E$2:E$61)),1)),"")</f>
        <v>WARN</v>
      </c>
      <c r="G13" s="107" cm="1">
        <f t="array" ref="G13">IFERROR(SMALL(IF('60 Elements'!E$2:E$61="WARN",ROW('60 Elements'!E$2:E$61)-ROW('60 Elements'!E$2)+2),1),"")</f>
        <v>12</v>
      </c>
    </row>
    <row r="14" spans="1:7" ht="26.4" x14ac:dyDescent="0.3">
      <c r="A14" s="102" t="str" cm="1">
        <f t="array" ref="A14">IFERROR(INDEX('60 Elements'!B:B,SMALL(IF('60 Elements'!E$2:E$61="WARN",ROW('60 Elements'!E$2:E$61)),2)),"")</f>
        <v>Harmony</v>
      </c>
      <c r="B14" s="102" t="str" cm="1">
        <f t="array" ref="B14">IFERROR(INDEX('60 Elements'!C:C,SMALL(IF('60 Elements'!E$2:E$61="WARN",ROW('60 Elements'!E$2:E$61)),2)),"")</f>
        <v>Earth</v>
      </c>
      <c r="C14" s="102" t="str" cm="1">
        <f t="array" ref="C14">IFERROR(INDEX('60 Elements'!D:D,SMALL(IF('60 Elements'!E$2:E$61="WARN",ROW('60 Elements'!E$2:E$61)),2)),"")</f>
        <v>Deduplication — 3 spectral analyzer files consistent</v>
      </c>
      <c r="D14" s="102" t="str" cm="1">
        <f t="array" ref="D14">IFERROR(INDEX('60 Elements'!F:F,SMALL(IF('60 Elements'!E$2:E$61="WARN",ROW('60 Elements'!E$2:E$61)),2)),"")</f>
        <v>3 spectral analyzer files still exist (known tech debt)</v>
      </c>
      <c r="E14" s="104" t="str" cm="1">
        <f t="array" ref="E14">IFERROR(INDEX('60 Elements'!G:G,SMALL(IF('60 Elements'!E$2:E$61="WARN",ROW('60 Elements'!E$2:E$61)),2)),"")</f>
        <v>2026-03-14</v>
      </c>
      <c r="F14" s="106" t="str" cm="1">
        <f t="array" ref="F14">IFERROR(INDEX('60 Elements'!E:E,SMALL(IF('60 Elements'!E$2:E$61="WARN",ROW('60 Elements'!E$2:E$61)),2)),"")</f>
        <v>WARN</v>
      </c>
      <c r="G14" s="108" cm="1">
        <f t="array" ref="G14">IFERROR(SMALL(IF('60 Elements'!E$2:E$61="WARN",ROW('60 Elements'!E$2:E$61)-ROW('60 Elements'!E$2)+2),2),"")</f>
        <v>17</v>
      </c>
    </row>
    <row r="15" spans="1:7" x14ac:dyDescent="0.3">
      <c r="A15" s="101" t="str" cm="1">
        <f t="array" ref="A15">IFERROR(INDEX('60 Elements'!B:B,SMALL(IF('60 Elements'!E$2:E$61="WARN",ROW('60 Elements'!E$2:E$61)),3)),"")</f>
        <v>Resilience</v>
      </c>
      <c r="B15" s="101" t="str" cm="1">
        <f t="array" ref="B15">IFERROR(INDEX('60 Elements'!C:C,SMALL(IF('60 Elements'!E$2:E$61="WARN",ROW('60 Elements'!E$2:E$61)),3)),"")</f>
        <v>Earth</v>
      </c>
      <c r="C15" s="101" t="str" cm="1">
        <f t="array" ref="C15">IFERROR(INDEX('60 Elements'!D:D,SMALL(IF('60 Elements'!E$2:E$61="WARN",ROW('60 Elements'!E$2:E$61)),3)),"")</f>
        <v>Edge cases — 0-energy faces, missing KPI data, NaN propagation</v>
      </c>
      <c r="D15" s="101" t="str" cm="1">
        <f t="array" ref="D15">IFERROR(INDEX('60 Elements'!F:F,SMALL(IF('60 Elements'!E$2:E$61="WARN",ROW('60 Elements'!E$2:E$61)),3)),"")</f>
        <v>Edge cases not re-tested since Feb 2026</v>
      </c>
      <c r="E15" s="103" t="str" cm="1">
        <f t="array" ref="E15">IFERROR(INDEX('60 Elements'!G:G,SMALL(IF('60 Elements'!E$2:E$61="WARN",ROW('60 Elements'!E$2:E$61)),3)),"")</f>
        <v>2026-02-08</v>
      </c>
      <c r="F15" s="105" t="str" cm="1">
        <f t="array" ref="F15">IFERROR(INDEX('60 Elements'!E:E,SMALL(IF('60 Elements'!E$2:E$61="WARN",ROW('60 Elements'!E$2:E$61)),3)),"")</f>
        <v>WARN</v>
      </c>
      <c r="G15" s="107" cm="1">
        <f t="array" ref="G15">IFERROR(SMALL(IF('60 Elements'!E$2:E$61="WARN",ROW('60 Elements'!E$2:E$61)-ROW('60 Elements'!E$2)+2),3),"")</f>
        <v>37</v>
      </c>
    </row>
    <row r="16" spans="1:7" ht="26.4" x14ac:dyDescent="0.3">
      <c r="A16" s="102" t="str" cm="1">
        <f t="array" ref="A16">IFERROR(INDEX('60 Elements'!B:B,SMALL(IF('60 Elements'!E$2:E$61="WARN",ROW('60 Elements'!E$2:E$61)),4)),"")</f>
        <v>Growth</v>
      </c>
      <c r="B16" s="102" t="str" cm="1">
        <f t="array" ref="B16">IFERROR(INDEX('60 Elements'!C:C,SMALL(IF('60 Elements'!E$2:E$61="WARN",ROW('60 Elements'!E$2:E$61)),4)),"")</f>
        <v>Earth</v>
      </c>
      <c r="C16" s="102" t="str" cm="1">
        <f t="array" ref="C16">IFERROR(INDEX('60 Elements'!D:D,SMALL(IF('60 Elements'!E$2:E$61="WARN",ROW('60 Elements'!E$2:E$61)),4)),"")</f>
        <v>Tech debt awareness — new debt created? Known: 3 spectral files, CSV legacy</v>
      </c>
      <c r="D16" s="102" t="str" cm="1">
        <f t="array" ref="D16">IFERROR(INDEX('60 Elements'!F:F,SMALL(IF('60 Elements'!E$2:E$61="WARN",ROW('60 Elements'!E$2:E$61)),4)),"")</f>
        <v>Known debt: 3 spectral files, CSV legacy, ~10 TODO items</v>
      </c>
      <c r="E16" s="104" t="str" cm="1">
        <f t="array" ref="E16">IFERROR(INDEX('60 Elements'!G:G,SMALL(IF('60 Elements'!E$2:E$61="WARN",ROW('60 Elements'!E$2:E$61)),4)),"")</f>
        <v>2026-04-07</v>
      </c>
      <c r="F16" s="106" t="str" cm="1">
        <f t="array" ref="F16">IFERROR(INDEX('60 Elements'!E:E,SMALL(IF('60 Elements'!E$2:E$61="WARN",ROW('60 Elements'!E$2:E$61)),4)),"")</f>
        <v>WARN</v>
      </c>
      <c r="G16" s="108" cm="1">
        <f t="array" ref="G16">IFERROR(SMALL(IF('60 Elements'!E$2:E$61="WARN",ROW('60 Elements'!E$2:E$61)-ROW('60 Elements'!E$2)+2),4),"")</f>
        <v>42</v>
      </c>
    </row>
    <row r="17" spans="1:7" ht="24" customHeight="1" x14ac:dyDescent="0.3">
      <c r="A17" s="101" t="str" cm="1">
        <f t="array" ref="A17">IFERROR(INDEX('60 Elements'!B:B,SMALL(IF('60 Elements'!E$2:E$61="WARN",ROW('60 Elements'!E$2:E$61)),5)),"")</f>
        <v>Growth</v>
      </c>
      <c r="B17" s="101" t="str" cm="1">
        <f t="array" ref="B17">IFERROR(INDEX('60 Elements'!C:C,SMALL(IF('60 Elements'!E$2:E$61="WARN",ROW('60 Elements'!E$2:E$61)),5)),"")</f>
        <v>Ether</v>
      </c>
      <c r="C17" s="101" t="str" cm="1">
        <f t="array" ref="C17">IFERROR(INDEX('60 Elements'!D:D,SMALL(IF('60 Elements'!E$2:E$61="WARN",ROW('60 Elements'!E$2:E$61)),5)),"")</f>
        <v>Sustainability — main.js (1917 lines) appropriate, or time to extract?</v>
      </c>
      <c r="D17" s="101" t="str" cm="1">
        <f t="array" ref="D17">IFERROR(INDEX('60 Elements'!F:F,SMALL(IF('60 Elements'!E$2:E$61="WARN",ROW('60 Elements'!E$2:E$61)),5)),"")</f>
        <v>main.js at 1917 lines — extraction consideration pending</v>
      </c>
      <c r="E17" s="103" t="str" cm="1">
        <f t="array" ref="E17">IFERROR(INDEX('60 Elements'!G:G,SMALL(IF('60 Elements'!E$2:E$61="WARN",ROW('60 Elements'!E$2:E$61)),5)),"")</f>
        <v>2026-04-07</v>
      </c>
      <c r="F17" s="105" t="str" cm="1">
        <f t="array" ref="F17">IFERROR(INDEX('60 Elements'!E:E,SMALL(IF('60 Elements'!E$2:E$61="WARN",ROW('60 Elements'!E$2:E$61)),5)),"")</f>
        <v>WARN</v>
      </c>
      <c r="G17" s="107" cm="1">
        <f t="array" ref="G17">IFERROR(SMALL(IF('60 Elements'!E$2:E$61="WARN",ROW('60 Elements'!E$2:E$61)-ROW('60 Elements'!E$2)+2),5),"")</f>
        <v>46</v>
      </c>
    </row>
    <row r="18" spans="1:7" x14ac:dyDescent="0.3">
      <c r="A18" s="102" t="str" cm="1">
        <f t="array" ref="A18">IFERROR(INDEX('60 Elements'!B:B,SMALL(IF('60 Elements'!E$2:E$61="WARN",ROW('60 Elements'!E$2:E$61)),6)),"")</f>
        <v/>
      </c>
      <c r="B18" s="102" t="str" cm="1">
        <f t="array" ref="B18">IFERROR(INDEX('60 Elements'!C:C,SMALL(IF('60 Elements'!E$2:E$61="WARN",ROW('60 Elements'!E$2:E$61)),6)),"")</f>
        <v/>
      </c>
      <c r="C18" s="102" t="str" cm="1">
        <f t="array" ref="C18">IFERROR(INDEX('60 Elements'!D:D,SMALL(IF('60 Elements'!E$2:E$61="WARN",ROW('60 Elements'!E$2:E$61)),6)),"")</f>
        <v/>
      </c>
      <c r="D18" s="102" t="str" cm="1">
        <f t="array" ref="D18">IFERROR(INDEX('60 Elements'!F:F,SMALL(IF('60 Elements'!E$2:E$61="WARN",ROW('60 Elements'!E$2:E$61)),6)),"")</f>
        <v/>
      </c>
      <c r="E18" s="104" t="str" cm="1">
        <f t="array" ref="E18">IFERROR(INDEX('60 Elements'!G:G,SMALL(IF('60 Elements'!E$2:E$61="WARN",ROW('60 Elements'!E$2:E$61)),6)),"")</f>
        <v/>
      </c>
      <c r="F18" s="106" t="str" cm="1">
        <f t="array" ref="F18">IFERROR(INDEX('60 Elements'!E:E,SMALL(IF('60 Elements'!E$2:E$61="WARN",ROW('60 Elements'!E$2:E$61)),6)),"")</f>
        <v/>
      </c>
      <c r="G18" s="108" t="str" cm="1">
        <f t="array" ref="G18">IFERROR(SMALL(IF('60 Elements'!E$2:E$61="WARN",ROW('60 Elements'!E$2:E$61)-ROW('60 Elements'!E$2)+2),6),"")</f>
        <v/>
      </c>
    </row>
    <row r="19" spans="1:7" x14ac:dyDescent="0.3">
      <c r="A19" s="101" t="str" cm="1">
        <f t="array" ref="A19">IFERROR(INDEX('60 Elements'!B:B,SMALL(IF('60 Elements'!E$2:E$61="WARN",ROW('60 Elements'!E$2:E$61)),7)),"")</f>
        <v/>
      </c>
      <c r="B19" s="101" t="str" cm="1">
        <f t="array" ref="B19">IFERROR(INDEX('60 Elements'!C:C,SMALL(IF('60 Elements'!E$2:E$61="WARN",ROW('60 Elements'!E$2:E$61)),7)),"")</f>
        <v/>
      </c>
      <c r="C19" s="101" t="str" cm="1">
        <f t="array" ref="C19">IFERROR(INDEX('60 Elements'!D:D,SMALL(IF('60 Elements'!E$2:E$61="WARN",ROW('60 Elements'!E$2:E$61)),7)),"")</f>
        <v/>
      </c>
      <c r="D19" s="101" t="str" cm="1">
        <f t="array" ref="D19">IFERROR(INDEX('60 Elements'!F:F,SMALL(IF('60 Elements'!E$2:E$61="WARN",ROW('60 Elements'!E$2:E$61)),7)),"")</f>
        <v/>
      </c>
      <c r="E19" s="103" t="str" cm="1">
        <f t="array" ref="E19">IFERROR(INDEX('60 Elements'!G:G,SMALL(IF('60 Elements'!E$2:E$61="WARN",ROW('60 Elements'!E$2:E$61)),7)),"")</f>
        <v/>
      </c>
      <c r="F19" s="105" t="str" cm="1">
        <f t="array" ref="F19">IFERROR(INDEX('60 Elements'!E:E,SMALL(IF('60 Elements'!E$2:E$61="WARN",ROW('60 Elements'!E$2:E$61)),7)),"")</f>
        <v/>
      </c>
      <c r="G19" s="107" t="str" cm="1">
        <f t="array" ref="G19">IFERROR(SMALL(IF('60 Elements'!E$2:E$61="WARN",ROW('60 Elements'!E$2:E$61)-ROW('60 Elements'!E$2)+2),7),"")</f>
        <v/>
      </c>
    </row>
    <row r="20" spans="1:7" x14ac:dyDescent="0.3">
      <c r="A20" s="102" t="str" cm="1">
        <f t="array" ref="A20">IFERROR(INDEX('60 Elements'!B:B,SMALL(IF('60 Elements'!E$2:E$61="WARN",ROW('60 Elements'!E$2:E$61)),8)),"")</f>
        <v/>
      </c>
      <c r="B20" s="102" t="str" cm="1">
        <f t="array" ref="B20">IFERROR(INDEX('60 Elements'!C:C,SMALL(IF('60 Elements'!E$2:E$61="WARN",ROW('60 Elements'!E$2:E$61)),8)),"")</f>
        <v/>
      </c>
      <c r="C20" s="102" t="str" cm="1">
        <f t="array" ref="C20">IFERROR(INDEX('60 Elements'!D:D,SMALL(IF('60 Elements'!E$2:E$61="WARN",ROW('60 Elements'!E$2:E$61)),8)),"")</f>
        <v/>
      </c>
      <c r="D20" s="102" t="str" cm="1">
        <f t="array" ref="D20">IFERROR(INDEX('60 Elements'!F:F,SMALL(IF('60 Elements'!E$2:E$61="WARN",ROW('60 Elements'!E$2:E$61)),8)),"")</f>
        <v/>
      </c>
      <c r="E20" s="104" t="str" cm="1">
        <f t="array" ref="E20">IFERROR(INDEX('60 Elements'!G:G,SMALL(IF('60 Elements'!E$2:E$61="WARN",ROW('60 Elements'!E$2:E$61)),8)),"")</f>
        <v/>
      </c>
      <c r="F20" s="106" t="str" cm="1">
        <f t="array" ref="F20">IFERROR(INDEX('60 Elements'!E:E,SMALL(IF('60 Elements'!E$2:E$61="WARN",ROW('60 Elements'!E$2:E$61)),8)),"")</f>
        <v/>
      </c>
      <c r="G20" s="108" t="str" cm="1">
        <f t="array" ref="G20">IFERROR(SMALL(IF('60 Elements'!E$2:E$61="WARN",ROW('60 Elements'!E$2:E$61)-ROW('60 Elements'!E$2)+2),8),"")</f>
        <v/>
      </c>
    </row>
    <row r="21" spans="1:7" x14ac:dyDescent="0.3">
      <c r="A21" s="101" t="str" cm="1">
        <f t="array" ref="A21">IFERROR(INDEX('60 Elements'!B:B,SMALL(IF('60 Elements'!E$2:E$61="WARN",ROW('60 Elements'!E$2:E$61)),9)),"")</f>
        <v/>
      </c>
      <c r="B21" s="101" t="str" cm="1">
        <f t="array" ref="B21">IFERROR(INDEX('60 Elements'!C:C,SMALL(IF('60 Elements'!E$2:E$61="WARN",ROW('60 Elements'!E$2:E$61)),9)),"")</f>
        <v/>
      </c>
      <c r="C21" s="101" t="str" cm="1">
        <f t="array" ref="C21">IFERROR(INDEX('60 Elements'!D:D,SMALL(IF('60 Elements'!E$2:E$61="WARN",ROW('60 Elements'!E$2:E$61)),9)),"")</f>
        <v/>
      </c>
      <c r="D21" s="101" t="str" cm="1">
        <f t="array" ref="D21">IFERROR(INDEX('60 Elements'!F:F,SMALL(IF('60 Elements'!E$2:E$61="WARN",ROW('60 Elements'!E$2:E$61)),9)),"")</f>
        <v/>
      </c>
      <c r="E21" s="103" t="str" cm="1">
        <f t="array" ref="E21">IFERROR(INDEX('60 Elements'!G:G,SMALL(IF('60 Elements'!E$2:E$61="WARN",ROW('60 Elements'!E$2:E$61)),9)),"")</f>
        <v/>
      </c>
      <c r="F21" s="105" t="str" cm="1">
        <f t="array" ref="F21">IFERROR(INDEX('60 Elements'!E:E,SMALL(IF('60 Elements'!E$2:E$61="WARN",ROW('60 Elements'!E$2:E$61)),9)),"")</f>
        <v/>
      </c>
      <c r="G21" s="107" t="str" cm="1">
        <f t="array" ref="G21">IFERROR(SMALL(IF('60 Elements'!E$2:E$61="WARN",ROW('60 Elements'!E$2:E$61)-ROW('60 Elements'!E$2)+2),9),"")</f>
        <v/>
      </c>
    </row>
    <row r="22" spans="1:7" ht="24" customHeight="1" x14ac:dyDescent="0.3">
      <c r="A22" s="102" t="str" cm="1">
        <f t="array" ref="A22">IFERROR(INDEX('60 Elements'!B:B,SMALL(IF('60 Elements'!E$2:E$61="WARN",ROW('60 Elements'!E$2:E$61)),10)),"")</f>
        <v/>
      </c>
      <c r="B22" s="102" t="str" cm="1">
        <f t="array" ref="B22">IFERROR(INDEX('60 Elements'!C:C,SMALL(IF('60 Elements'!E$2:E$61="WARN",ROW('60 Elements'!E$2:E$61)),10)),"")</f>
        <v/>
      </c>
      <c r="C22" s="102" t="str" cm="1">
        <f t="array" ref="C22">IFERROR(INDEX('60 Elements'!D:D,SMALL(IF('60 Elements'!E$2:E$61="WARN",ROW('60 Elements'!E$2:E$61)),10)),"")</f>
        <v/>
      </c>
      <c r="D22" s="102" t="str" cm="1">
        <f t="array" ref="D22">IFERROR(INDEX('60 Elements'!F:F,SMALL(IF('60 Elements'!E$2:E$61="WARN",ROW('60 Elements'!E$2:E$61)),10)),"")</f>
        <v/>
      </c>
      <c r="E22" s="104" t="str" cm="1">
        <f t="array" ref="E22">IFERROR(INDEX('60 Elements'!G:G,SMALL(IF('60 Elements'!E$2:E$61="WARN",ROW('60 Elements'!E$2:E$61)),10)),"")</f>
        <v/>
      </c>
      <c r="F22" s="106" t="str" cm="1">
        <f t="array" ref="F22">IFERROR(INDEX('60 Elements'!E:E,SMALL(IF('60 Elements'!E$2:E$61="WARN",ROW('60 Elements'!E$2:E$61)),10)),"")</f>
        <v/>
      </c>
      <c r="G22" s="108" t="str" cm="1">
        <f t="array" ref="G22">IFERROR(SMALL(IF('60 Elements'!E$2:E$61="WARN",ROW('60 Elements'!E$2:E$61)-ROW('60 Elements'!E$2)+2),10),"")</f>
        <v/>
      </c>
    </row>
    <row r="24" spans="1:7" ht="19.2" x14ac:dyDescent="0.45">
      <c r="A24" s="109" t="s">
        <v>700</v>
      </c>
      <c r="B24" s="78"/>
      <c r="C24" s="78"/>
      <c r="D24" s="78"/>
      <c r="E24" s="78"/>
      <c r="F24" s="78"/>
      <c r="G24" s="78"/>
    </row>
    <row r="25" spans="1:7" ht="15" x14ac:dyDescent="0.35">
      <c r="A25" s="110" t="s">
        <v>683</v>
      </c>
      <c r="B25" s="110" t="s">
        <v>682</v>
      </c>
      <c r="C25" s="110" t="s">
        <v>684</v>
      </c>
      <c r="D25" s="110" t="s">
        <v>685</v>
      </c>
      <c r="E25" s="110" t="s">
        <v>701</v>
      </c>
    </row>
    <row r="26" spans="1:7" ht="15" x14ac:dyDescent="0.35">
      <c r="A26" s="100" t="s">
        <v>559</v>
      </c>
      <c r="B26" s="112" t="str">
        <f>'Thesis Evidence'!A26</f>
        <v>IFC language reframe (Ch2-5)</v>
      </c>
      <c r="C26" s="113" t="str">
        <f>'Thesis Evidence'!B26</f>
        <v>Blocked on Jan Willem confirmation</v>
      </c>
      <c r="D26" s="98" t="s">
        <v>686</v>
      </c>
      <c r="E26" s="111" t="s">
        <v>702</v>
      </c>
    </row>
    <row r="27" spans="1:7" ht="15" x14ac:dyDescent="0.35">
      <c r="A27" s="100" t="s">
        <v>559</v>
      </c>
      <c r="B27" s="112" t="str">
        <f>'Thesis Evidence'!A27</f>
        <v>Breath Axes scoring + POC run</v>
      </c>
      <c r="C27" s="113" t="str">
        <f>'Thesis Evidence'!B27</f>
        <v>Needed for Chapter 5 §5.1.3</v>
      </c>
      <c r="D27" s="98" t="s">
        <v>687</v>
      </c>
      <c r="E27" s="114" t="s">
        <v>688</v>
      </c>
    </row>
    <row r="29" spans="1:7" ht="19.2" x14ac:dyDescent="0.45">
      <c r="A29" s="115" t="s">
        <v>703</v>
      </c>
      <c r="B29" s="79"/>
      <c r="C29" s="79"/>
      <c r="D29" s="79"/>
      <c r="E29" s="79"/>
      <c r="F29" s="79"/>
      <c r="G29" s="79"/>
    </row>
    <row r="30" spans="1:7" ht="15" x14ac:dyDescent="0.35">
      <c r="A30" s="116" t="s">
        <v>563</v>
      </c>
      <c r="B30" s="116" t="s">
        <v>118</v>
      </c>
      <c r="C30" s="116" t="s">
        <v>119</v>
      </c>
      <c r="D30" s="116" t="s">
        <v>120</v>
      </c>
      <c r="E30" s="116" t="s">
        <v>60</v>
      </c>
      <c r="F30" s="116" t="s">
        <v>699</v>
      </c>
      <c r="G30" s="117"/>
    </row>
    <row r="31" spans="1:7" x14ac:dyDescent="0.3">
      <c r="A31" s="118" t="str" cm="1">
        <f t="array" ref="A31">IFERROR(INDEX('60 Elements'!B:B,SMALL(IF('60 Elements'!E$2:E$61="—",ROW('60 Elements'!E$2:E$61)),1)),"")</f>
        <v>Survival</v>
      </c>
      <c r="B31" s="118" t="str" cm="1">
        <f t="array" ref="B31">IFERROR(INDEX('60 Elements'!C:C,SMALL(IF('60 Elements'!E$2:E$61="—",ROW('60 Elements'!E$2:E$61)),1)),"")</f>
        <v>Water</v>
      </c>
      <c r="C31" s="118" t="str" cm="1">
        <f t="array" ref="C31">IFERROR(INDEX('60 Elements'!D:D,SMALL(IF('60 Elements'!E$2:E$61="—",ROW('60 Elements'!E$2:E$61)),1)),"")</f>
        <v>No crashes — POC loads in browser without console errors</v>
      </c>
      <c r="D31" s="118" cm="1">
        <f t="array" ref="D31">IFERROR(INDEX('60 Elements'!F:F,SMALL(IF('60 Elements'!E$2:E$61="—",ROW('60 Elements'!E$2:E$61)),1)),"")</f>
        <v>0</v>
      </c>
      <c r="E31" s="120" t="str" cm="1">
        <f t="array" ref="E31">IFERROR(INDEX('60 Elements'!E:E,SMALL(IF('60 Elements'!E$2:E$61="—",ROW('60 Elements'!E$2:E$61)),1)),"")</f>
        <v>—</v>
      </c>
      <c r="F31" s="122" cm="1">
        <f t="array" ref="F31">IFERROR(SMALL(IF('60 Elements'!E$2:E$61="—",ROW('60 Elements'!E$2:E$61)-ROW('60 Elements'!E$2)+2),1),"")</f>
        <v>3</v>
      </c>
      <c r="G31" s="118"/>
    </row>
    <row r="32" spans="1:7" ht="26.4" x14ac:dyDescent="0.3">
      <c r="A32" s="119" t="str" cm="1">
        <f t="array" ref="A32">IFERROR(INDEX('60 Elements'!B:B,SMALL(IF('60 Elements'!E$2:E$61="—",ROW('60 Elements'!E$2:E$61)),2)),"")</f>
        <v>Survival</v>
      </c>
      <c r="B32" s="119" t="str" cm="1">
        <f t="array" ref="B32">IFERROR(INDEX('60 Elements'!C:C,SMALL(IF('60 Elements'!E$2:E$61="—",ROW('60 Elements'!E$2:E$61)),2)),"")</f>
        <v>Fire</v>
      </c>
      <c r="C32" s="119" t="str" cm="1">
        <f t="array" ref="C32">IFERROR(INDEX('60 Elements'!D:D,SMALL(IF('60 Elements'!E$2:E$61="—",ROW('60 Elements'!E$2:E$61)),2)),"")</f>
        <v>Script &amp; dependency order — spectral/breath analyzers before main.js</v>
      </c>
      <c r="D32" s="119" cm="1">
        <f t="array" ref="D32">IFERROR(INDEX('60 Elements'!F:F,SMALL(IF('60 Elements'!E$2:E$61="—",ROW('60 Elements'!E$2:E$61)),2)),"")</f>
        <v>0</v>
      </c>
      <c r="E32" s="121" t="str" cm="1">
        <f t="array" ref="E32">IFERROR(INDEX('60 Elements'!E:E,SMALL(IF('60 Elements'!E$2:E$61="—",ROW('60 Elements'!E$2:E$61)),2)),"")</f>
        <v>—</v>
      </c>
      <c r="F32" s="123" cm="1">
        <f t="array" ref="F32">IFERROR(SMALL(IF('60 Elements'!E$2:E$61="—",ROW('60 Elements'!E$2:E$61)-ROW('60 Elements'!E$2)+2),2),"")</f>
        <v>4</v>
      </c>
      <c r="G32" s="119"/>
    </row>
    <row r="33" spans="1:7" x14ac:dyDescent="0.3">
      <c r="A33" s="118" t="str" cm="1">
        <f t="array" ref="A33">IFERROR(INDEX('60 Elements'!B:B,SMALL(IF('60 Elements'!E$2:E$61="—",ROW('60 Elements'!E$2:E$61)),3)),"")</f>
        <v>Survival</v>
      </c>
      <c r="B33" s="118" t="str" cm="1">
        <f t="array" ref="B33">IFERROR(INDEX('60 Elements'!C:C,SMALL(IF('60 Elements'!E$2:E$61="—",ROW('60 Elements'!E$2:E$61)),3)),"")</f>
        <v>Ether</v>
      </c>
      <c r="C33" s="118" t="str" cm="1">
        <f t="array" ref="C33">IFERROR(INDEX('60 Elements'!D:D,SMALL(IF('60 Elements'!E$2:E$61="—",ROW('60 Elements'!E$2:E$61)),3)),"")</f>
        <v>Import resolution — ES module imports, cache-busting ?v= strings</v>
      </c>
      <c r="D33" s="118" cm="1">
        <f t="array" ref="D33">IFERROR(INDEX('60 Elements'!F:F,SMALL(IF('60 Elements'!E$2:E$61="—",ROW('60 Elements'!E$2:E$61)),3)),"")</f>
        <v>0</v>
      </c>
      <c r="E33" s="120" t="str" cm="1">
        <f t="array" ref="E33">IFERROR(INDEX('60 Elements'!E:E,SMALL(IF('60 Elements'!E$2:E$61="—",ROW('60 Elements'!E$2:E$61)),3)),"")</f>
        <v>—</v>
      </c>
      <c r="F33" s="122" cm="1">
        <f t="array" ref="F33">IFERROR(SMALL(IF('60 Elements'!E$2:E$61="—",ROW('60 Elements'!E$2:E$61)-ROW('60 Elements'!E$2)+2),3),"")</f>
        <v>6</v>
      </c>
      <c r="G33" s="118"/>
    </row>
    <row r="34" spans="1:7" ht="26.4" x14ac:dyDescent="0.3">
      <c r="A34" s="119" t="str" cm="1">
        <f t="array" ref="A34">IFERROR(INDEX('60 Elements'!B:B,SMALL(IF('60 Elements'!E$2:E$61="—",ROW('60 Elements'!E$2:E$61)),4)),"")</f>
        <v>Foundation</v>
      </c>
      <c r="B34" s="119" t="str" cm="1">
        <f t="array" ref="B34">IFERROR(INDEX('60 Elements'!C:C,SMALL(IF('60 Elements'!E$2:E$61="—",ROW('60 Elements'!E$2:E$61)),4)),"")</f>
        <v>Earth</v>
      </c>
      <c r="C34" s="119" t="str" cm="1">
        <f t="array" ref="C34">IFERROR(INDEX('60 Elements'!D:D,SMALL(IF('60 Elements'!E$2:E$61="—",ROW('60 Elements'!E$2:E$61)),4)),"")</f>
        <v>Variable shadowing — locals shadowing outer scope (caused real bugs)</v>
      </c>
      <c r="D34" s="119" cm="1">
        <f t="array" ref="D34">IFERROR(INDEX('60 Elements'!F:F,SMALL(IF('60 Elements'!E$2:E$61="—",ROW('60 Elements'!E$2:E$61)),4)),"")</f>
        <v>0</v>
      </c>
      <c r="E34" s="121" t="str" cm="1">
        <f t="array" ref="E34">IFERROR(INDEX('60 Elements'!E:E,SMALL(IF('60 Elements'!E$2:E$61="—",ROW('60 Elements'!E$2:E$61)),4)),"")</f>
        <v>—</v>
      </c>
      <c r="F34" s="123" cm="1">
        <f t="array" ref="F34">IFERROR(SMALL(IF('60 Elements'!E$2:E$61="—",ROW('60 Elements'!E$2:E$61)-ROW('60 Elements'!E$2)+2),4),"")</f>
        <v>7</v>
      </c>
      <c r="G34" s="119"/>
    </row>
    <row r="35" spans="1:7" x14ac:dyDescent="0.3">
      <c r="A35" s="118" t="str" cm="1">
        <f t="array" ref="A35">IFERROR(INDEX('60 Elements'!B:B,SMALL(IF('60 Elements'!E$2:E$61="—",ROW('60 Elements'!E$2:E$61)),5)),"")</f>
        <v>Foundation</v>
      </c>
      <c r="B35" s="118" t="str" cm="1">
        <f t="array" ref="B35">IFERROR(INDEX('60 Elements'!C:C,SMALL(IF('60 Elements'!E$2:E$61="—",ROW('60 Elements'!E$2:E$61)),5)),"")</f>
        <v>Air</v>
      </c>
      <c r="C35" s="118" t="str" cm="1">
        <f t="array" ref="C35">IFERROR(INDEX('60 Elements'!D:D,SMALL(IF('60 Elements'!E$2:E$61="—",ROW('60 Elements'!E$2:E$61)),5)),"")</f>
        <v>Type safety — face IDs numbers (1-12), energy 0-1, NaN guards</v>
      </c>
      <c r="D35" s="118" cm="1">
        <f t="array" ref="D35">IFERROR(INDEX('60 Elements'!F:F,SMALL(IF('60 Elements'!E$2:E$61="—",ROW('60 Elements'!E$2:E$61)),5)),"")</f>
        <v>0</v>
      </c>
      <c r="E35" s="120" t="str" cm="1">
        <f t="array" ref="E35">IFERROR(INDEX('60 Elements'!E:E,SMALL(IF('60 Elements'!E$2:E$61="—",ROW('60 Elements'!E$2:E$61)),5)),"")</f>
        <v>—</v>
      </c>
      <c r="F35" s="122" cm="1">
        <f t="array" ref="F35">IFERROR(SMALL(IF('60 Elements'!E$2:E$61="—",ROW('60 Elements'!E$2:E$61)-ROW('60 Elements'!E$2)+2),5),"")</f>
        <v>10</v>
      </c>
      <c r="G35" s="118"/>
    </row>
    <row r="36" spans="1:7" ht="26.4" x14ac:dyDescent="0.3">
      <c r="A36" s="119" t="str" cm="1">
        <f t="array" ref="A36">IFERROR(INDEX('60 Elements'!B:B,SMALL(IF('60 Elements'!E$2:E$61="—",ROW('60 Elements'!E$2:E$61)),6)),"")</f>
        <v>Foundation</v>
      </c>
      <c r="B36" s="119" t="str" cm="1">
        <f t="array" ref="B36">IFERROR(INDEX('60 Elements'!C:C,SMALL(IF('60 Elements'!E$2:E$61="—",ROW('60 Elements'!E$2:E$61)),6)),"")</f>
        <v>Ether</v>
      </c>
      <c r="C36" s="119" t="str" cm="1">
        <f t="array" ref="C36">IFERROR(INDEX('60 Elements'!D:D,SMALL(IF('60 Elements'!E$2:E$61="—",ROW('60 Elements'!E$2:E$61)),6)),"")</f>
        <v>Import hygiene — unused imports removed, no side-effect-only imports</v>
      </c>
      <c r="D36" s="119" cm="1">
        <f t="array" ref="D36">IFERROR(INDEX('60 Elements'!F:F,SMALL(IF('60 Elements'!E$2:E$61="—",ROW('60 Elements'!E$2:E$61)),6)),"")</f>
        <v>0</v>
      </c>
      <c r="E36" s="121" t="str" cm="1">
        <f t="array" ref="E36">IFERROR(INDEX('60 Elements'!E:E,SMALL(IF('60 Elements'!E$2:E$61="—",ROW('60 Elements'!E$2:E$61)),6)),"")</f>
        <v>—</v>
      </c>
      <c r="F36" s="123" cm="1">
        <f t="array" ref="F36">IFERROR(SMALL(IF('60 Elements'!E$2:E$61="—",ROW('60 Elements'!E$2:E$61)-ROW('60 Elements'!E$2)+2),6),"")</f>
        <v>11</v>
      </c>
      <c r="G36" s="119"/>
    </row>
    <row r="37" spans="1:7" ht="26.4" x14ac:dyDescent="0.3">
      <c r="A37" s="118" t="str" cm="1">
        <f t="array" ref="A37">IFERROR(INDEX('60 Elements'!B:B,SMALL(IF('60 Elements'!E$2:E$61="—",ROW('60 Elements'!E$2:E$61)),7)),"")</f>
        <v>Harmony</v>
      </c>
      <c r="B37" s="118" t="str" cm="1">
        <f t="array" ref="B37">IFERROR(INDEX('60 Elements'!C:C,SMALL(IF('60 Elements'!E$2:E$61="—",ROW('60 Elements'!E$2:E$61)),7)),"")</f>
        <v>Fire</v>
      </c>
      <c r="C37" s="118" t="str" cm="1">
        <f t="array" ref="C37">IFERROR(INDEX('60 Elements'!D:D,SMALL(IF('60 Elements'!E$2:E$61="—",ROW('60 Elements'!E$2:E$61)),7)),"")</f>
        <v>Naming conventions — camelCase vars, PascalCase classes, kebab files</v>
      </c>
      <c r="D37" s="118" cm="1">
        <f t="array" ref="D37">IFERROR(INDEX('60 Elements'!F:F,SMALL(IF('60 Elements'!E$2:E$61="—",ROW('60 Elements'!E$2:E$61)),7)),"")</f>
        <v>0</v>
      </c>
      <c r="E37" s="120" t="str" cm="1">
        <f t="array" ref="E37">IFERROR(INDEX('60 Elements'!E:E,SMALL(IF('60 Elements'!E$2:E$61="—",ROW('60 Elements'!E$2:E$61)),7)),"")</f>
        <v>—</v>
      </c>
      <c r="F37" s="122" cm="1">
        <f t="array" ref="F37">IFERROR(SMALL(IF('60 Elements'!E$2:E$61="—",ROW('60 Elements'!E$2:E$61)-ROW('60 Elements'!E$2)+2),7),"")</f>
        <v>19</v>
      </c>
      <c r="G37" s="118"/>
    </row>
    <row r="38" spans="1:7" ht="26.4" x14ac:dyDescent="0.3">
      <c r="A38" s="119" t="str" cm="1">
        <f t="array" ref="A38">IFERROR(INDEX('60 Elements'!B:B,SMALL(IF('60 Elements'!E$2:E$61="—",ROW('60 Elements'!E$2:E$61)),8)),"")</f>
        <v>Signal</v>
      </c>
      <c r="B38" s="119" t="str" cm="1">
        <f t="array" ref="B38">IFERROR(INDEX('60 Elements'!C:C,SMALL(IF('60 Elements'!E$2:E$61="—",ROW('60 Elements'!E$2:E$61)),8)),"")</f>
        <v>Water</v>
      </c>
      <c r="C38" s="119" t="str" cm="1">
        <f t="array" ref="C38">IFERROR(INDEX('60 Elements'!D:D,SMALL(IF('60 Elements'!E$2:E$61="—",ROW('60 Elements'!E$2:E$61)),8)),"")</f>
        <v>Error message accuracy — Logger.warn/error describe actual problem</v>
      </c>
      <c r="D38" s="119" cm="1">
        <f t="array" ref="D38">IFERROR(INDEX('60 Elements'!F:F,SMALL(IF('60 Elements'!E$2:E$61="—",ROW('60 Elements'!E$2:E$61)),8)),"")</f>
        <v>0</v>
      </c>
      <c r="E38" s="121" t="str" cm="1">
        <f t="array" ref="E38">IFERROR(INDEX('60 Elements'!E:E,SMALL(IF('60 Elements'!E$2:E$61="—",ROW('60 Elements'!E$2:E$61)),8)),"")</f>
        <v>—</v>
      </c>
      <c r="F38" s="123" cm="1">
        <f t="array" ref="F38">IFERROR(SMALL(IF('60 Elements'!E$2:E$61="—",ROW('60 Elements'!E$2:E$61)-ROW('60 Elements'!E$2)+2),8),"")</f>
        <v>23</v>
      </c>
      <c r="G38" s="119"/>
    </row>
    <row r="39" spans="1:7" ht="26.4" x14ac:dyDescent="0.3">
      <c r="A39" s="118" t="str" cm="1">
        <f t="array" ref="A39">IFERROR(INDEX('60 Elements'!B:B,SMALL(IF('60 Elements'!E$2:E$61="—",ROW('60 Elements'!E$2:E$61)),9)),"")</f>
        <v>Signal</v>
      </c>
      <c r="B39" s="118" t="str" cm="1">
        <f t="array" ref="B39">IFERROR(INDEX('60 Elements'!C:C,SMALL(IF('60 Elements'!E$2:E$61="—",ROW('60 Elements'!E$2:E$61)),9)),"")</f>
        <v>Ether</v>
      </c>
      <c r="C39" s="118" t="str" cm="1">
        <f t="array" ref="C39">IFERROR(INDEX('60 Elements'!D:D,SMALL(IF('60 Elements'!E$2:E$61="—",ROW('60 Elements'!E$2:E$61)),9)),"")</f>
        <v>No silent failures — edge cases produce warnings, not wrong answers</v>
      </c>
      <c r="D39" s="118" cm="1">
        <f t="array" ref="D39">IFERROR(INDEX('60 Elements'!F:F,SMALL(IF('60 Elements'!E$2:E$61="—",ROW('60 Elements'!E$2:E$61)),9)),"")</f>
        <v>0</v>
      </c>
      <c r="E39" s="120" t="str" cm="1">
        <f t="array" ref="E39">IFERROR(INDEX('60 Elements'!E:E,SMALL(IF('60 Elements'!E$2:E$61="—",ROW('60 Elements'!E$2:E$61)),9)),"")</f>
        <v>—</v>
      </c>
      <c r="F39" s="122" cm="1">
        <f t="array" ref="F39">IFERROR(SMALL(IF('60 Elements'!E$2:E$61="—",ROW('60 Elements'!E$2:E$61)-ROW('60 Elements'!E$2)+2),9),"")</f>
        <v>26</v>
      </c>
      <c r="G39" s="118"/>
    </row>
    <row r="40" spans="1:7" x14ac:dyDescent="0.3">
      <c r="A40" s="119" t="str" cm="1">
        <f t="array" ref="A40">IFERROR(INDEX('60 Elements'!B:B,SMALL(IF('60 Elements'!E$2:E$61="—",ROW('60 Elements'!E$2:E$61)),10)),"")</f>
        <v>Consciousness</v>
      </c>
      <c r="B40" s="119" t="str" cm="1">
        <f t="array" ref="B40">IFERROR(INDEX('60 Elements'!C:C,SMALL(IF('60 Elements'!E$2:E$61="—",ROW('60 Elements'!E$2:E$61)),10)),"")</f>
        <v>Water</v>
      </c>
      <c r="C40" s="119" t="str" cm="1">
        <f t="array" ref="C40">IFERROR(INDEX('60 Elements'!D:D,SMALL(IF('60 Elements'!E$2:E$61="—",ROW('60 Elements'!E$2:E$61)),10)),"")</f>
        <v>Human readability — phi ratios explained, metaphor accessible</v>
      </c>
      <c r="D40" s="119" cm="1">
        <f t="array" ref="D40">IFERROR(INDEX('60 Elements'!F:F,SMALL(IF('60 Elements'!E$2:E$61="—",ROW('60 Elements'!E$2:E$61)),10)),"")</f>
        <v>0</v>
      </c>
      <c r="E40" s="121" t="str" cm="1">
        <f t="array" ref="E40">IFERROR(INDEX('60 Elements'!E:E,SMALL(IF('60 Elements'!E$2:E$61="—",ROW('60 Elements'!E$2:E$61)),10)),"")</f>
        <v>—</v>
      </c>
      <c r="F40" s="123" cm="1">
        <f t="array" ref="F40">IFERROR(SMALL(IF('60 Elements'!E$2:E$61="—",ROW('60 Elements'!E$2:E$61)-ROW('60 Elements'!E$2)+2),10),"")</f>
        <v>28</v>
      </c>
      <c r="G40" s="119"/>
    </row>
    <row r="41" spans="1:7" ht="26.4" x14ac:dyDescent="0.3">
      <c r="A41" s="118" t="str" cm="1">
        <f t="array" ref="A41">IFERROR(INDEX('60 Elements'!B:B,SMALL(IF('60 Elements'!E$2:E$61="—",ROW('60 Elements'!E$2:E$61)),11)),"")</f>
        <v>Consciousness</v>
      </c>
      <c r="B41" s="118" t="str" cm="1">
        <f t="array" ref="B41">IFERROR(INDEX('60 Elements'!C:C,SMALL(IF('60 Elements'!E$2:E$61="—",ROW('60 Elements'!E$2:E$61)),11)),"")</f>
        <v>Fire</v>
      </c>
      <c r="C41" s="118" t="str" cm="1">
        <f t="array" ref="C41">IFERROR(INDEX('60 Elements'!D:D,SMALL(IF('60 Elements'!E$2:E$61="—",ROW('60 Elements'!E$2:E$61)),11)),"")</f>
        <v>Dependency maps — loader→data→engine→analysis chain discoverable</v>
      </c>
      <c r="D41" s="118" cm="1">
        <f t="array" ref="D41">IFERROR(INDEX('60 Elements'!F:F,SMALL(IF('60 Elements'!E$2:E$61="—",ROW('60 Elements'!E$2:E$61)),11)),"")</f>
        <v>0</v>
      </c>
      <c r="E41" s="120" t="str" cm="1">
        <f t="array" ref="E41">IFERROR(INDEX('60 Elements'!E:E,SMALL(IF('60 Elements'!E$2:E$61="—",ROW('60 Elements'!E$2:E$61)),11)),"")</f>
        <v>—</v>
      </c>
      <c r="F41" s="122" cm="1">
        <f t="array" ref="F41">IFERROR(SMALL(IF('60 Elements'!E$2:E$61="—",ROW('60 Elements'!E$2:E$61)-ROW('60 Elements'!E$2)+2),11),"")</f>
        <v>29</v>
      </c>
      <c r="G41" s="118"/>
    </row>
    <row r="42" spans="1:7" x14ac:dyDescent="0.3">
      <c r="A42" s="119" t="str" cm="1">
        <f t="array" ref="A42">IFERROR(INDEX('60 Elements'!B:B,SMALL(IF('60 Elements'!E$2:E$61="—",ROW('60 Elements'!E$2:E$61)),12)),"")</f>
        <v>Coherence</v>
      </c>
      <c r="B42" s="119" t="str" cm="1">
        <f t="array" ref="B42">IFERROR(INDEX('60 Elements'!C:C,SMALL(IF('60 Elements'!E$2:E$61="—",ROW('60 Elements'!E$2:E$61)),12)),"")</f>
        <v>Fire</v>
      </c>
      <c r="C42" s="119" t="str" cm="1">
        <f t="array" ref="C42">IFERROR(INDEX('60 Elements'!D:D,SMALL(IF('60 Elements'!E$2:E$61="—",ROW('60 Elements'!E$2:E$61)),12)),"")</f>
        <v>Analyzer structure — class with analyze() method, structured results</v>
      </c>
      <c r="D42" s="119" cm="1">
        <f t="array" ref="D42">IFERROR(INDEX('60 Elements'!F:F,SMALL(IF('60 Elements'!E$2:E$61="—",ROW('60 Elements'!E$2:E$61)),12)),"")</f>
        <v>0</v>
      </c>
      <c r="E42" s="121" t="str" cm="1">
        <f t="array" ref="E42">IFERROR(INDEX('60 Elements'!E:E,SMALL(IF('60 Elements'!E$2:E$61="—",ROW('60 Elements'!E$2:E$61)),12)),"")</f>
        <v>—</v>
      </c>
      <c r="F42" s="123" cm="1">
        <f t="array" ref="F42">IFERROR(SMALL(IF('60 Elements'!E$2:E$61="—",ROW('60 Elements'!E$2:E$61)-ROW('60 Elements'!E$2)+2),12),"")</f>
        <v>34</v>
      </c>
      <c r="G42" s="119"/>
    </row>
    <row r="43" spans="1:7" x14ac:dyDescent="0.3">
      <c r="A43" s="118" t="str" cm="1">
        <f t="array" ref="A43">IFERROR(INDEX('60 Elements'!B:B,SMALL(IF('60 Elements'!E$2:E$61="—",ROW('60 Elements'!E$2:E$61)),13)),"")</f>
        <v>Resilience</v>
      </c>
      <c r="B43" s="118" t="str" cm="1">
        <f t="array" ref="B43">IFERROR(INDEX('60 Elements'!C:C,SMALL(IF('60 Elements'!E$2:E$61="—",ROW('60 Elements'!E$2:E$61)),13)),"")</f>
        <v>Water</v>
      </c>
      <c r="C43" s="118" t="str" cm="1">
        <f t="array" ref="C43">IFERROR(INDEX('60 Elements'!D:D,SMALL(IF('60 Elements'!E$2:E$61="—",ROW('60 Elements'!E$2:E$61)),13)),"")</f>
        <v>Stress testing — all 4 templates, rapid updateKPI() calls</v>
      </c>
      <c r="D43" s="118" cm="1">
        <f t="array" ref="D43">IFERROR(INDEX('60 Elements'!F:F,SMALL(IF('60 Elements'!E$2:E$61="—",ROW('60 Elements'!E$2:E$61)),13)),"")</f>
        <v>0</v>
      </c>
      <c r="E43" s="120" t="str" cm="1">
        <f t="array" ref="E43">IFERROR(INDEX('60 Elements'!E:E,SMALL(IF('60 Elements'!E$2:E$61="—",ROW('60 Elements'!E$2:E$61)),13)),"")</f>
        <v>—</v>
      </c>
      <c r="F43" s="122" cm="1">
        <f t="array" ref="F43">IFERROR(SMALL(IF('60 Elements'!E$2:E$61="—",ROW('60 Elements'!E$2:E$61)-ROW('60 Elements'!E$2)+2),13),"")</f>
        <v>38</v>
      </c>
      <c r="G43" s="118"/>
    </row>
    <row r="44" spans="1:7" ht="26.4" x14ac:dyDescent="0.3">
      <c r="A44" s="119" t="str" cm="1">
        <f t="array" ref="A44">IFERROR(INDEX('60 Elements'!B:B,SMALL(IF('60 Elements'!E$2:E$61="—",ROW('60 Elements'!E$2:E$61)),14)),"")</f>
        <v>Resilience</v>
      </c>
      <c r="B44" s="119" t="str" cm="1">
        <f t="array" ref="B44">IFERROR(INDEX('60 Elements'!C:C,SMALL(IF('60 Elements'!E$2:E$61="—",ROW('60 Elements'!E$2:E$61)),14)),"")</f>
        <v>Fire</v>
      </c>
      <c r="C44" s="119" t="str" cm="1">
        <f t="array" ref="C44">IFERROR(INDEX('60 Elements'!D:D,SMALL(IF('60 Elements'!E$2:E$61="—",ROW('60 Elements'!E$2:E$61)),14)),"")</f>
        <v>Security — CSV injection safe, sessionStorage validated, no path traversal</v>
      </c>
      <c r="D44" s="119" cm="1">
        <f t="array" ref="D44">IFERROR(INDEX('60 Elements'!F:F,SMALL(IF('60 Elements'!E$2:E$61="—",ROW('60 Elements'!E$2:E$61)),14)),"")</f>
        <v>0</v>
      </c>
      <c r="E44" s="121" t="str" cm="1">
        <f t="array" ref="E44">IFERROR(INDEX('60 Elements'!E:E,SMALL(IF('60 Elements'!E$2:E$61="—",ROW('60 Elements'!E$2:E$61)),14)),"")</f>
        <v>—</v>
      </c>
      <c r="F44" s="123" cm="1">
        <f t="array" ref="F44">IFERROR(SMALL(IF('60 Elements'!E$2:E$61="—",ROW('60 Elements'!E$2:E$61)-ROW('60 Elements'!E$2)+2),14),"")</f>
        <v>39</v>
      </c>
      <c r="G44" s="119"/>
    </row>
    <row r="45" spans="1:7" ht="26.4" x14ac:dyDescent="0.3">
      <c r="A45" s="118" t="str" cm="1">
        <f t="array" ref="A45">IFERROR(INDEX('60 Elements'!B:B,SMALL(IF('60 Elements'!E$2:E$61="—",ROW('60 Elements'!E$2:E$61)),15)),"")</f>
        <v>Resilience</v>
      </c>
      <c r="B45" s="118" t="str" cm="1">
        <f t="array" ref="B45">IFERROR(INDEX('60 Elements'!C:C,SMALL(IF('60 Elements'!E$2:E$61="—",ROW('60 Elements'!E$2:E$61)),15)),"")</f>
        <v>Air</v>
      </c>
      <c r="C45" s="118" t="str" cm="1">
        <f t="array" ref="C45">IFERROR(INDEX('60 Elements'!D:D,SMALL(IF('60 Elements'!E$2:E$61="—",ROW('60 Elements'!E$2:E$61)),15)),"")</f>
        <v>Failure mode simulation — missing files, malformed JSON, full storage</v>
      </c>
      <c r="D45" s="118" cm="1">
        <f t="array" ref="D45">IFERROR(INDEX('60 Elements'!F:F,SMALL(IF('60 Elements'!E$2:E$61="—",ROW('60 Elements'!E$2:E$61)),15)),"")</f>
        <v>0</v>
      </c>
      <c r="E45" s="120" t="str" cm="1">
        <f t="array" ref="E45">IFERROR(INDEX('60 Elements'!E:E,SMALL(IF('60 Elements'!E$2:E$61="—",ROW('60 Elements'!E$2:E$61)),15)),"")</f>
        <v>—</v>
      </c>
      <c r="F45" s="122" cm="1">
        <f t="array" ref="F45">IFERROR(SMALL(IF('60 Elements'!E$2:E$61="—",ROW('60 Elements'!E$2:E$61)-ROW('60 Elements'!E$2)+2),15),"")</f>
        <v>40</v>
      </c>
      <c r="G45" s="118"/>
    </row>
    <row r="46" spans="1:7" x14ac:dyDescent="0.3">
      <c r="A46" s="119" t="str" cm="1">
        <f t="array" ref="A46">IFERROR(INDEX('60 Elements'!B:B,SMALL(IF('60 Elements'!E$2:E$61="—",ROW('60 Elements'!E$2:E$61)),16)),"")</f>
        <v>Resilience</v>
      </c>
      <c r="B46" s="119" t="str" cm="1">
        <f t="array" ref="B46">IFERROR(INDEX('60 Elements'!C:C,SMALL(IF('60 Elements'!E$2:E$61="—",ROW('60 Elements'!E$2:E$61)),16)),"")</f>
        <v>Ether</v>
      </c>
      <c r="C46" s="119" t="str" cm="1">
        <f t="array" ref="C46">IFERROR(INDEX('60 Elements'!D:D,SMALL(IF('60 Elements'!E$2:E$61="—",ROW('60 Elements'!E$2:E$61)),16)),"")</f>
        <v>Risk register — enumerate all risks, severity, mitigation path</v>
      </c>
      <c r="D46" s="119" cm="1">
        <f t="array" ref="D46">IFERROR(INDEX('60 Elements'!F:F,SMALL(IF('60 Elements'!E$2:E$61="—",ROW('60 Elements'!E$2:E$61)),16)),"")</f>
        <v>0</v>
      </c>
      <c r="E46" s="121" t="str" cm="1">
        <f t="array" ref="E46">IFERROR(INDEX('60 Elements'!E:E,SMALL(IF('60 Elements'!E$2:E$61="—",ROW('60 Elements'!E$2:E$61)),16)),"")</f>
        <v>—</v>
      </c>
      <c r="F46" s="123" cm="1">
        <f t="array" ref="F46">IFERROR(SMALL(IF('60 Elements'!E$2:E$61="—",ROW('60 Elements'!E$2:E$61)-ROW('60 Elements'!E$2)+2),16),"")</f>
        <v>41</v>
      </c>
      <c r="G46" s="119"/>
    </row>
    <row r="47" spans="1:7" ht="26.4" x14ac:dyDescent="0.3">
      <c r="A47" s="118" t="str" cm="1">
        <f t="array" ref="A47">IFERROR(INDEX('60 Elements'!B:B,SMALL(IF('60 Elements'!E$2:E$61="—",ROW('60 Elements'!E$2:E$61)),17)),"")</f>
        <v>Growth</v>
      </c>
      <c r="B47" s="118" t="str" cm="1">
        <f t="array" ref="B47">IFERROR(INDEX('60 Elements'!C:C,SMALL(IF('60 Elements'!E$2:E$61="—",ROW('60 Elements'!E$2:E$61)),17)),"")</f>
        <v>Fire</v>
      </c>
      <c r="C47" s="118" t="str" cm="1">
        <f t="array" ref="C47">IFERROR(INDEX('60 Elements'!D:D,SMALL(IF('60 Elements'!E$2:E$61="—",ROW('60 Elements'!E$2:E$61)),17)),"")</f>
        <v>Proactive improvements — clarified messages, tightened null checks?</v>
      </c>
      <c r="D47" s="118" cm="1">
        <f t="array" ref="D47">IFERROR(INDEX('60 Elements'!F:F,SMALL(IF('60 Elements'!E$2:E$61="—",ROW('60 Elements'!E$2:E$61)),17)),"")</f>
        <v>0</v>
      </c>
      <c r="E47" s="120" t="str" cm="1">
        <f t="array" ref="E47">IFERROR(INDEX('60 Elements'!E:E,SMALL(IF('60 Elements'!E$2:E$61="—",ROW('60 Elements'!E$2:E$61)),17)),"")</f>
        <v>—</v>
      </c>
      <c r="F47" s="122" cm="1">
        <f t="array" ref="F47">IFERROR(SMALL(IF('60 Elements'!E$2:E$61="—",ROW('60 Elements'!E$2:E$61)-ROW('60 Elements'!E$2)+2),17),"")</f>
        <v>44</v>
      </c>
      <c r="G47" s="118"/>
    </row>
    <row r="48" spans="1:7" ht="26.4" x14ac:dyDescent="0.3">
      <c r="A48" s="119" t="str" cm="1">
        <f t="array" ref="A48">IFERROR(INDEX('60 Elements'!B:B,SMALL(IF('60 Elements'!E$2:E$61="—",ROW('60 Elements'!E$2:E$61)),18)),"")</f>
        <v>Growth</v>
      </c>
      <c r="B48" s="119" t="str" cm="1">
        <f t="array" ref="B48">IFERROR(INDEX('60 Elements'!C:C,SMALL(IF('60 Elements'!E$2:E$61="—",ROW('60 Elements'!E$2:E$61)),18)),"")</f>
        <v>Air</v>
      </c>
      <c r="C48" s="119" t="str" cm="1">
        <f t="array" ref="C48">IFERROR(INDEX('60 Elements'!D:D,SMALL(IF('60 Elements'!E$2:E$61="—",ROW('60 Elements'!E$2:E$61)),18)),"")</f>
        <v>TODO tracking — all TODOs in report, not left as // TODO comments</v>
      </c>
      <c r="D48" s="119" cm="1">
        <f t="array" ref="D48">IFERROR(INDEX('60 Elements'!F:F,SMALL(IF('60 Elements'!E$2:E$61="—",ROW('60 Elements'!E$2:E$61)),18)),"")</f>
        <v>0</v>
      </c>
      <c r="E48" s="121" t="str" cm="1">
        <f t="array" ref="E48">IFERROR(INDEX('60 Elements'!E:E,SMALL(IF('60 Elements'!E$2:E$61="—",ROW('60 Elements'!E$2:E$61)),18)),"")</f>
        <v>—</v>
      </c>
      <c r="F48" s="123" cm="1">
        <f t="array" ref="F48">IFERROR(SMALL(IF('60 Elements'!E$2:E$61="—",ROW('60 Elements'!E$2:E$61)-ROW('60 Elements'!E$2)+2),18),"")</f>
        <v>45</v>
      </c>
      <c r="G48" s="119"/>
    </row>
    <row r="49" spans="1:7" x14ac:dyDescent="0.3">
      <c r="A49" s="118" t="str" cm="1">
        <f t="array" ref="A49">IFERROR(INDEX('60 Elements'!B:B,SMALL(IF('60 Elements'!E$2:E$61="—",ROW('60 Elements'!E$2:E$61)),19)),"")</f>
        <v>Integrity</v>
      </c>
      <c r="B49" s="118" t="str" cm="1">
        <f t="array" ref="B49">IFERROR(INDEX('60 Elements'!C:C,SMALL(IF('60 Elements'!E$2:E$61="—",ROW('60 Elements'!E$2:E$61)),19)),"")</f>
        <v>Water</v>
      </c>
      <c r="C49" s="118" t="str" cm="1">
        <f t="array" ref="C49">IFERROR(INDEX('60 Elements'!D:D,SMALL(IF('60 Elements'!E$2:E$61="—",ROW('60 Elements'!E$2:E$61)),19)),"")</f>
        <v>New function coverage — every new public function has a test</v>
      </c>
      <c r="D49" s="118" cm="1">
        <f t="array" ref="D49">IFERROR(INDEX('60 Elements'!F:F,SMALL(IF('60 Elements'!E$2:E$61="—",ROW('60 Elements'!E$2:E$61)),19)),"")</f>
        <v>0</v>
      </c>
      <c r="E49" s="120" t="str" cm="1">
        <f t="array" ref="E49">IFERROR(INDEX('60 Elements'!E:E,SMALL(IF('60 Elements'!E$2:E$61="—",ROW('60 Elements'!E$2:E$61)),19)),"")</f>
        <v>—</v>
      </c>
      <c r="F49" s="122" cm="1">
        <f t="array" ref="F49">IFERROR(SMALL(IF('60 Elements'!E$2:E$61="—",ROW('60 Elements'!E$2:E$61)-ROW('60 Elements'!E$2)+2),19),"")</f>
        <v>48</v>
      </c>
      <c r="G49" s="118"/>
    </row>
    <row r="50" spans="1:7" ht="26.4" x14ac:dyDescent="0.3">
      <c r="A50" s="119" t="str" cm="1">
        <f t="array" ref="A50">IFERROR(INDEX('60 Elements'!B:B,SMALL(IF('60 Elements'!E$2:E$61="—",ROW('60 Elements'!E$2:E$61)),20)),"")</f>
        <v>Discovery</v>
      </c>
      <c r="B50" s="119" t="str" cm="1">
        <f t="array" ref="B50">IFERROR(INDEX('60 Elements'!C:C,SMALL(IF('60 Elements'!E$2:E$61="—",ROW('60 Elements'!E$2:E$61)),20)),"")</f>
        <v>Water</v>
      </c>
      <c r="C50" s="119" t="str" cm="1">
        <f t="array" ref="C50">IFERROR(INDEX('60 Elements'!D:D,SMALL(IF('60 Elements'!E$2:E$61="—",ROW('60 Elements'!E$2:E$61)),20)),"")</f>
        <v>Out-of-box thinking — simpler formulation? More elegant approach?</v>
      </c>
      <c r="D50" s="119" cm="1">
        <f t="array" ref="D50">IFERROR(INDEX('60 Elements'!F:F,SMALL(IF('60 Elements'!E$2:E$61="—",ROW('60 Elements'!E$2:E$61)),20)),"")</f>
        <v>0</v>
      </c>
      <c r="E50" s="121" t="str" cm="1">
        <f t="array" ref="E50">IFERROR(INDEX('60 Elements'!E:E,SMALL(IF('60 Elements'!E$2:E$61="—",ROW('60 Elements'!E$2:E$61)),20)),"")</f>
        <v>—</v>
      </c>
      <c r="F50" s="123" cm="1">
        <f t="array" ref="F50">IFERROR(SMALL(IF('60 Elements'!E$2:E$61="—",ROW('60 Elements'!E$2:E$61)-ROW('60 Elements'!E$2)+2),20),"")</f>
        <v>53</v>
      </c>
      <c r="G50" s="119"/>
    </row>
    <row r="51" spans="1:7" ht="26.4" x14ac:dyDescent="0.3">
      <c r="A51" s="118" t="str" cm="1">
        <f t="array" ref="A51">IFERROR(INDEX('60 Elements'!B:B,SMALL(IF('60 Elements'!E$2:E$61="—",ROW('60 Elements'!E$2:E$61)),21)),"")</f>
        <v>Discovery</v>
      </c>
      <c r="B51" s="118" t="str" cm="1">
        <f t="array" ref="B51">IFERROR(INDEX('60 Elements'!C:C,SMALL(IF('60 Elements'!E$2:E$61="—",ROW('60 Elements'!E$2:E$61)),21)),"")</f>
        <v>Air</v>
      </c>
      <c r="C51" s="118" t="str" cm="1">
        <f t="array" ref="C51">IFERROR(INDEX('60 Elements'!D:D,SMALL(IF('60 Elements'!E$2:E$61="—",ROW('60 Elements'!E$2:E$61)),21)),"")</f>
        <v>Agent team usage — complex changes used research/impl/review agents?</v>
      </c>
      <c r="D51" s="118" cm="1">
        <f t="array" ref="D51">IFERROR(INDEX('60 Elements'!F:F,SMALL(IF('60 Elements'!E$2:E$61="—",ROW('60 Elements'!E$2:E$61)),21)),"")</f>
        <v>0</v>
      </c>
      <c r="E51" s="120" t="str" cm="1">
        <f t="array" ref="E51">IFERROR(INDEX('60 Elements'!E:E,SMALL(IF('60 Elements'!E$2:E$61="—",ROW('60 Elements'!E$2:E$61)),21)),"")</f>
        <v>—</v>
      </c>
      <c r="F51" s="122" cm="1">
        <f t="array" ref="F51">IFERROR(SMALL(IF('60 Elements'!E$2:E$61="—",ROW('60 Elements'!E$2:E$61)-ROW('60 Elements'!E$2)+2),21),"")</f>
        <v>55</v>
      </c>
      <c r="G51" s="118"/>
    </row>
    <row r="52" spans="1:7" ht="26.4" x14ac:dyDescent="0.3">
      <c r="A52" s="119" t="str" cm="1">
        <f t="array" ref="A52">IFERROR(INDEX('60 Elements'!B:B,SMALL(IF('60 Elements'!E$2:E$61="—",ROW('60 Elements'!E$2:E$61)),22)),"")</f>
        <v>Radiance</v>
      </c>
      <c r="B52" s="119" t="str" cm="1">
        <f t="array" ref="B52">IFERROR(INDEX('60 Elements'!C:C,SMALL(IF('60 Elements'!E$2:E$61="—",ROW('60 Elements'!E$2:E$61)),22)),"")</f>
        <v>Air</v>
      </c>
      <c r="C52" s="119" t="str" cm="1">
        <f t="array" ref="C52">IFERROR(INDEX('60 Elements'!D:D,SMALL(IF('60 Elements'!E$2:E$61="—",ROW('60 Elements'!E$2:E$61)),22)),"")</f>
        <v>Highest-leverage action — ONE thing with greatest compounding effect?</v>
      </c>
      <c r="D52" s="119" cm="1">
        <f t="array" ref="D52">IFERROR(INDEX('60 Elements'!F:F,SMALL(IF('60 Elements'!E$2:E$61="—",ROW('60 Elements'!E$2:E$61)),22)),"")</f>
        <v>0</v>
      </c>
      <c r="E52" s="121" t="str" cm="1">
        <f t="array" ref="E52">IFERROR(INDEX('60 Elements'!E:E,SMALL(IF('60 Elements'!E$2:E$61="—",ROW('60 Elements'!E$2:E$61)),22)),"")</f>
        <v>—</v>
      </c>
      <c r="F52" s="123" cm="1">
        <f t="array" ref="F52">IFERROR(SMALL(IF('60 Elements'!E$2:E$61="—",ROW('60 Elements'!E$2:E$61)-ROW('60 Elements'!E$2)+2),22),"")</f>
        <v>60</v>
      </c>
      <c r="G52" s="119"/>
    </row>
    <row r="54" spans="1:7" ht="16.8" x14ac:dyDescent="0.4">
      <c r="A54" s="124" t="s">
        <v>704</v>
      </c>
      <c r="B54" s="124" t="str">
        <f ca="1">"🚨 "&amp;COUNTIF('60 Elements'!E2:E61,"WARN")&amp;" element WARNs  |  "&amp;COUNTIF('60 Elements'!E2:E61,"—")&amp;" unassessed  |  "&amp;TEXT((60-COUNTIF('60 Elements'!E2:E61,"—"))/60,"0%")&amp;" assessed  |  "&amp;(DATE(2026,6,1)-TODAY())&amp;" days to defense  |  "&amp;(DATE(2026,4,17)-TODAY())&amp;" days to CEN meeting"</f>
        <v>🚨 5 element WARNs  |  22 unassessed  |  63% assessed  |  46 days to defense  |  1 days to CEN meeting</v>
      </c>
      <c r="C54" s="80"/>
      <c r="D54" s="80"/>
      <c r="E54" s="80"/>
      <c r="F54" s="80"/>
      <c r="G54" s="8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4DFF"/>
  </sheetPr>
  <dimension ref="A1:G6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" customWidth="1"/>
    <col min="2" max="2" width="15" customWidth="1"/>
    <col min="3" max="3" width="10" customWidth="1"/>
    <col min="4" max="4" width="55" customWidth="1"/>
    <col min="5" max="5" width="10" customWidth="1"/>
    <col min="6" max="6" width="30" customWidth="1"/>
    <col min="7" max="7" width="14" customWidth="1"/>
  </cols>
  <sheetData>
    <row r="1" spans="1:7" ht="16.8" customHeight="1" x14ac:dyDescent="0.3">
      <c r="A1" s="134" t="s">
        <v>57</v>
      </c>
      <c r="B1" s="134" t="s">
        <v>117</v>
      </c>
      <c r="C1" s="134" t="s">
        <v>118</v>
      </c>
      <c r="D1" s="134" t="s">
        <v>119</v>
      </c>
      <c r="E1" s="134" t="s">
        <v>60</v>
      </c>
      <c r="F1" s="134" t="s">
        <v>120</v>
      </c>
      <c r="G1" s="134" t="s">
        <v>121</v>
      </c>
    </row>
    <row r="2" spans="1:7" ht="15" customHeight="1" x14ac:dyDescent="0.3">
      <c r="A2" s="131">
        <v>1</v>
      </c>
      <c r="B2" s="132" t="s">
        <v>64</v>
      </c>
      <c r="C2" s="132" t="s">
        <v>122</v>
      </c>
      <c r="D2" s="132" t="s">
        <v>123</v>
      </c>
      <c r="E2" s="133" t="s">
        <v>66</v>
      </c>
      <c r="F2" s="132" t="s">
        <v>124</v>
      </c>
      <c r="G2" s="132" t="s">
        <v>7</v>
      </c>
    </row>
    <row r="3" spans="1:7" ht="15" customHeight="1" x14ac:dyDescent="0.3">
      <c r="A3" s="135">
        <v>1</v>
      </c>
      <c r="B3" s="136" t="s">
        <v>64</v>
      </c>
      <c r="C3" s="136" t="s">
        <v>125</v>
      </c>
      <c r="D3" s="136" t="s">
        <v>126</v>
      </c>
      <c r="E3" s="137" t="s">
        <v>10</v>
      </c>
      <c r="F3" s="136"/>
      <c r="G3" s="136"/>
    </row>
    <row r="4" spans="1:7" ht="30" customHeight="1" x14ac:dyDescent="0.3">
      <c r="A4" s="130">
        <v>1</v>
      </c>
      <c r="B4" s="6" t="s">
        <v>64</v>
      </c>
      <c r="C4" s="6" t="s">
        <v>127</v>
      </c>
      <c r="D4" s="6" t="s">
        <v>128</v>
      </c>
      <c r="E4" s="19" t="s">
        <v>10</v>
      </c>
      <c r="F4" s="6"/>
      <c r="G4" s="6"/>
    </row>
    <row r="5" spans="1:7" ht="30" customHeight="1" x14ac:dyDescent="0.3">
      <c r="A5" s="130">
        <v>1</v>
      </c>
      <c r="B5" s="6" t="s">
        <v>64</v>
      </c>
      <c r="C5" s="6" t="s">
        <v>129</v>
      </c>
      <c r="D5" s="6" t="s">
        <v>130</v>
      </c>
      <c r="E5" s="18" t="s">
        <v>66</v>
      </c>
      <c r="F5" s="6" t="s">
        <v>131</v>
      </c>
      <c r="G5" s="6" t="s">
        <v>7</v>
      </c>
    </row>
    <row r="6" spans="1:7" ht="30" customHeight="1" x14ac:dyDescent="0.3">
      <c r="A6" s="142">
        <v>1</v>
      </c>
      <c r="B6" s="143" t="s">
        <v>64</v>
      </c>
      <c r="C6" s="143" t="s">
        <v>132</v>
      </c>
      <c r="D6" s="143" t="s">
        <v>133</v>
      </c>
      <c r="E6" s="144" t="s">
        <v>10</v>
      </c>
      <c r="F6" s="143"/>
      <c r="G6" s="143"/>
    </row>
    <row r="7" spans="1:7" ht="30" customHeight="1" x14ac:dyDescent="0.3">
      <c r="A7" s="139">
        <v>2</v>
      </c>
      <c r="B7" s="140" t="s">
        <v>68</v>
      </c>
      <c r="C7" s="140" t="s">
        <v>122</v>
      </c>
      <c r="D7" s="140" t="s">
        <v>134</v>
      </c>
      <c r="E7" s="141" t="s">
        <v>10</v>
      </c>
      <c r="F7" s="140"/>
      <c r="G7" s="140"/>
    </row>
    <row r="8" spans="1:7" ht="30" customHeight="1" x14ac:dyDescent="0.3">
      <c r="A8" s="145">
        <v>2</v>
      </c>
      <c r="B8" s="146" t="s">
        <v>68</v>
      </c>
      <c r="C8" s="146" t="s">
        <v>125</v>
      </c>
      <c r="D8" s="146" t="s">
        <v>135</v>
      </c>
      <c r="E8" s="147" t="s">
        <v>66</v>
      </c>
      <c r="F8" s="146" t="s">
        <v>136</v>
      </c>
      <c r="G8" s="146" t="s">
        <v>7</v>
      </c>
    </row>
    <row r="9" spans="1:7" ht="30" customHeight="1" x14ac:dyDescent="0.3">
      <c r="A9" s="138">
        <v>2</v>
      </c>
      <c r="B9" s="9" t="s">
        <v>68</v>
      </c>
      <c r="C9" s="9" t="s">
        <v>127</v>
      </c>
      <c r="D9" s="9" t="s">
        <v>137</v>
      </c>
      <c r="E9" s="18" t="s">
        <v>66</v>
      </c>
      <c r="F9" s="9" t="s">
        <v>138</v>
      </c>
      <c r="G9" s="9" t="s">
        <v>7</v>
      </c>
    </row>
    <row r="10" spans="1:7" ht="30" customHeight="1" x14ac:dyDescent="0.3">
      <c r="A10" s="138">
        <v>2</v>
      </c>
      <c r="B10" s="9" t="s">
        <v>68</v>
      </c>
      <c r="C10" s="9" t="s">
        <v>129</v>
      </c>
      <c r="D10" s="9" t="s">
        <v>139</v>
      </c>
      <c r="E10" s="19" t="s">
        <v>10</v>
      </c>
      <c r="F10" s="9"/>
      <c r="G10" s="9"/>
    </row>
    <row r="11" spans="1:7" ht="30" customHeight="1" x14ac:dyDescent="0.3">
      <c r="A11" s="151">
        <v>2</v>
      </c>
      <c r="B11" s="152" t="s">
        <v>68</v>
      </c>
      <c r="C11" s="152" t="s">
        <v>132</v>
      </c>
      <c r="D11" s="152" t="s">
        <v>140</v>
      </c>
      <c r="E11" s="144" t="s">
        <v>10</v>
      </c>
      <c r="F11" s="152"/>
      <c r="G11" s="152"/>
    </row>
    <row r="12" spans="1:7" ht="30" customHeight="1" x14ac:dyDescent="0.3">
      <c r="A12" s="149">
        <v>3</v>
      </c>
      <c r="B12" s="132" t="s">
        <v>71</v>
      </c>
      <c r="C12" s="132" t="s">
        <v>122</v>
      </c>
      <c r="D12" s="132" t="s">
        <v>141</v>
      </c>
      <c r="E12" s="150" t="s">
        <v>73</v>
      </c>
      <c r="F12" s="132" t="s">
        <v>142</v>
      </c>
      <c r="G12" s="132" t="s">
        <v>13</v>
      </c>
    </row>
    <row r="13" spans="1:7" ht="30" customHeight="1" x14ac:dyDescent="0.3">
      <c r="A13" s="153">
        <v>3</v>
      </c>
      <c r="B13" s="136" t="s">
        <v>71</v>
      </c>
      <c r="C13" s="136" t="s">
        <v>125</v>
      </c>
      <c r="D13" s="136" t="s">
        <v>143</v>
      </c>
      <c r="E13" s="147" t="s">
        <v>66</v>
      </c>
      <c r="F13" s="136" t="s">
        <v>144</v>
      </c>
      <c r="G13" s="136" t="s">
        <v>19</v>
      </c>
    </row>
    <row r="14" spans="1:7" ht="15" customHeight="1" x14ac:dyDescent="0.3">
      <c r="A14" s="148">
        <v>3</v>
      </c>
      <c r="B14" s="6" t="s">
        <v>71</v>
      </c>
      <c r="C14" s="6" t="s">
        <v>127</v>
      </c>
      <c r="D14" s="6" t="s">
        <v>145</v>
      </c>
      <c r="E14" s="18" t="s">
        <v>66</v>
      </c>
      <c r="F14" s="6" t="s">
        <v>146</v>
      </c>
      <c r="G14" s="6" t="s">
        <v>13</v>
      </c>
    </row>
    <row r="15" spans="1:7" ht="30" customHeight="1" x14ac:dyDescent="0.3">
      <c r="A15" s="148">
        <v>3</v>
      </c>
      <c r="B15" s="6" t="s">
        <v>71</v>
      </c>
      <c r="C15" s="6" t="s">
        <v>129</v>
      </c>
      <c r="D15" s="6" t="s">
        <v>147</v>
      </c>
      <c r="E15" s="18" t="s">
        <v>66</v>
      </c>
      <c r="F15" s="6" t="s">
        <v>148</v>
      </c>
      <c r="G15" s="6" t="s">
        <v>7</v>
      </c>
    </row>
    <row r="16" spans="1:7" ht="15" customHeight="1" x14ac:dyDescent="0.3">
      <c r="A16" s="156">
        <v>3</v>
      </c>
      <c r="B16" s="143" t="s">
        <v>71</v>
      </c>
      <c r="C16" s="143" t="s">
        <v>132</v>
      </c>
      <c r="D16" s="143" t="s">
        <v>149</v>
      </c>
      <c r="E16" s="157" t="s">
        <v>66</v>
      </c>
      <c r="F16" s="143" t="s">
        <v>150</v>
      </c>
      <c r="G16" s="143" t="s">
        <v>13</v>
      </c>
    </row>
    <row r="17" spans="1:7" ht="15" customHeight="1" x14ac:dyDescent="0.3">
      <c r="A17" s="155">
        <v>4</v>
      </c>
      <c r="B17" s="140" t="s">
        <v>76</v>
      </c>
      <c r="C17" s="140" t="s">
        <v>122</v>
      </c>
      <c r="D17" s="140" t="s">
        <v>151</v>
      </c>
      <c r="E17" s="150" t="s">
        <v>73</v>
      </c>
      <c r="F17" s="140" t="s">
        <v>152</v>
      </c>
      <c r="G17" s="140" t="s">
        <v>19</v>
      </c>
    </row>
    <row r="18" spans="1:7" ht="30" customHeight="1" x14ac:dyDescent="0.3">
      <c r="A18" s="158">
        <v>4</v>
      </c>
      <c r="B18" s="146" t="s">
        <v>76</v>
      </c>
      <c r="C18" s="146" t="s">
        <v>125</v>
      </c>
      <c r="D18" s="146" t="s">
        <v>153</v>
      </c>
      <c r="E18" s="147" t="s">
        <v>66</v>
      </c>
      <c r="F18" s="146" t="s">
        <v>154</v>
      </c>
      <c r="G18" s="146" t="s">
        <v>19</v>
      </c>
    </row>
    <row r="19" spans="1:7" ht="30" customHeight="1" x14ac:dyDescent="0.3">
      <c r="A19" s="154">
        <v>4</v>
      </c>
      <c r="B19" s="9" t="s">
        <v>76</v>
      </c>
      <c r="C19" s="9" t="s">
        <v>127</v>
      </c>
      <c r="D19" s="9" t="s">
        <v>155</v>
      </c>
      <c r="E19" s="19" t="s">
        <v>10</v>
      </c>
      <c r="F19" s="9"/>
      <c r="G19" s="9"/>
    </row>
    <row r="20" spans="1:7" ht="30" customHeight="1" x14ac:dyDescent="0.3">
      <c r="A20" s="154">
        <v>4</v>
      </c>
      <c r="B20" s="9" t="s">
        <v>76</v>
      </c>
      <c r="C20" s="9" t="s">
        <v>129</v>
      </c>
      <c r="D20" s="9" t="s">
        <v>156</v>
      </c>
      <c r="E20" s="18" t="s">
        <v>66</v>
      </c>
      <c r="F20" s="9" t="s">
        <v>157</v>
      </c>
      <c r="G20" s="9" t="s">
        <v>7</v>
      </c>
    </row>
    <row r="21" spans="1:7" ht="15" customHeight="1" x14ac:dyDescent="0.3">
      <c r="A21" s="161">
        <v>4</v>
      </c>
      <c r="B21" s="152" t="s">
        <v>76</v>
      </c>
      <c r="C21" s="152" t="s">
        <v>132</v>
      </c>
      <c r="D21" s="152" t="s">
        <v>158</v>
      </c>
      <c r="E21" s="157" t="s">
        <v>66</v>
      </c>
      <c r="F21" s="152" t="s">
        <v>159</v>
      </c>
      <c r="G21" s="152" t="s">
        <v>7</v>
      </c>
    </row>
    <row r="22" spans="1:7" ht="15" customHeight="1" x14ac:dyDescent="0.3">
      <c r="A22" s="160">
        <v>5</v>
      </c>
      <c r="B22" s="132" t="s">
        <v>80</v>
      </c>
      <c r="C22" s="132" t="s">
        <v>122</v>
      </c>
      <c r="D22" s="132" t="s">
        <v>160</v>
      </c>
      <c r="E22" s="133" t="s">
        <v>66</v>
      </c>
      <c r="F22" s="132" t="s">
        <v>161</v>
      </c>
      <c r="G22" s="132" t="s">
        <v>30</v>
      </c>
    </row>
    <row r="23" spans="1:7" ht="30" customHeight="1" x14ac:dyDescent="0.3">
      <c r="A23" s="162">
        <v>5</v>
      </c>
      <c r="B23" s="136" t="s">
        <v>80</v>
      </c>
      <c r="C23" s="136" t="s">
        <v>125</v>
      </c>
      <c r="D23" s="136" t="s">
        <v>162</v>
      </c>
      <c r="E23" s="137" t="s">
        <v>10</v>
      </c>
      <c r="F23" s="136"/>
      <c r="G23" s="136"/>
    </row>
    <row r="24" spans="1:7" ht="30" customHeight="1" x14ac:dyDescent="0.3">
      <c r="A24" s="159">
        <v>5</v>
      </c>
      <c r="B24" s="6" t="s">
        <v>80</v>
      </c>
      <c r="C24" s="6" t="s">
        <v>127</v>
      </c>
      <c r="D24" s="6" t="s">
        <v>163</v>
      </c>
      <c r="E24" s="18" t="s">
        <v>66</v>
      </c>
      <c r="F24" s="6" t="s">
        <v>164</v>
      </c>
      <c r="G24" s="6" t="s">
        <v>19</v>
      </c>
    </row>
    <row r="25" spans="1:7" ht="15" customHeight="1" x14ac:dyDescent="0.3">
      <c r="A25" s="159">
        <v>5</v>
      </c>
      <c r="B25" s="6" t="s">
        <v>80</v>
      </c>
      <c r="C25" s="6" t="s">
        <v>129</v>
      </c>
      <c r="D25" s="6" t="s">
        <v>165</v>
      </c>
      <c r="E25" s="18" t="s">
        <v>66</v>
      </c>
      <c r="F25" s="6" t="s">
        <v>166</v>
      </c>
      <c r="G25" s="6" t="s">
        <v>7</v>
      </c>
    </row>
    <row r="26" spans="1:7" ht="30" customHeight="1" x14ac:dyDescent="0.3">
      <c r="A26" s="165">
        <v>5</v>
      </c>
      <c r="B26" s="143" t="s">
        <v>80</v>
      </c>
      <c r="C26" s="143" t="s">
        <v>132</v>
      </c>
      <c r="D26" s="143" t="s">
        <v>167</v>
      </c>
      <c r="E26" s="144" t="s">
        <v>10</v>
      </c>
      <c r="F26" s="143"/>
      <c r="G26" s="143"/>
    </row>
    <row r="27" spans="1:7" ht="15" customHeight="1" x14ac:dyDescent="0.3">
      <c r="A27" s="164">
        <v>6</v>
      </c>
      <c r="B27" s="140" t="s">
        <v>84</v>
      </c>
      <c r="C27" s="140" t="s">
        <v>122</v>
      </c>
      <c r="D27" s="140" t="s">
        <v>168</v>
      </c>
      <c r="E27" s="133" t="s">
        <v>66</v>
      </c>
      <c r="F27" s="140" t="s">
        <v>169</v>
      </c>
      <c r="G27" s="140" t="s">
        <v>13</v>
      </c>
    </row>
    <row r="28" spans="1:7" ht="30" customHeight="1" x14ac:dyDescent="0.3">
      <c r="A28" s="166">
        <v>6</v>
      </c>
      <c r="B28" s="146" t="s">
        <v>84</v>
      </c>
      <c r="C28" s="146" t="s">
        <v>125</v>
      </c>
      <c r="D28" s="146" t="s">
        <v>170</v>
      </c>
      <c r="E28" s="137" t="s">
        <v>10</v>
      </c>
      <c r="F28" s="146"/>
      <c r="G28" s="146"/>
    </row>
    <row r="29" spans="1:7" ht="30" customHeight="1" x14ac:dyDescent="0.3">
      <c r="A29" s="163">
        <v>6</v>
      </c>
      <c r="B29" s="9" t="s">
        <v>84</v>
      </c>
      <c r="C29" s="9" t="s">
        <v>127</v>
      </c>
      <c r="D29" s="9" t="s">
        <v>171</v>
      </c>
      <c r="E29" s="19" t="s">
        <v>10</v>
      </c>
      <c r="F29" s="9"/>
      <c r="G29" s="9"/>
    </row>
    <row r="30" spans="1:7" ht="30" customHeight="1" x14ac:dyDescent="0.3">
      <c r="A30" s="163">
        <v>6</v>
      </c>
      <c r="B30" s="9" t="s">
        <v>84</v>
      </c>
      <c r="C30" s="9" t="s">
        <v>129</v>
      </c>
      <c r="D30" s="9" t="s">
        <v>172</v>
      </c>
      <c r="E30" s="18" t="s">
        <v>66</v>
      </c>
      <c r="F30" s="9" t="s">
        <v>173</v>
      </c>
      <c r="G30" s="9" t="s">
        <v>13</v>
      </c>
    </row>
    <row r="31" spans="1:7" ht="30" customHeight="1" x14ac:dyDescent="0.3">
      <c r="A31" s="169">
        <v>6</v>
      </c>
      <c r="B31" s="152" t="s">
        <v>84</v>
      </c>
      <c r="C31" s="152" t="s">
        <v>132</v>
      </c>
      <c r="D31" s="152" t="s">
        <v>174</v>
      </c>
      <c r="E31" s="157" t="s">
        <v>66</v>
      </c>
      <c r="F31" s="152" t="s">
        <v>175</v>
      </c>
      <c r="G31" s="152" t="s">
        <v>13</v>
      </c>
    </row>
    <row r="32" spans="1:7" ht="30" customHeight="1" x14ac:dyDescent="0.3">
      <c r="A32" s="168">
        <v>7</v>
      </c>
      <c r="B32" s="132" t="s">
        <v>87</v>
      </c>
      <c r="C32" s="132" t="s">
        <v>122</v>
      </c>
      <c r="D32" s="132" t="s">
        <v>176</v>
      </c>
      <c r="E32" s="133" t="s">
        <v>66</v>
      </c>
      <c r="F32" s="132" t="s">
        <v>177</v>
      </c>
      <c r="G32" s="132" t="s">
        <v>13</v>
      </c>
    </row>
    <row r="33" spans="1:7" ht="30" customHeight="1" x14ac:dyDescent="0.3">
      <c r="A33" s="170">
        <v>7</v>
      </c>
      <c r="B33" s="136" t="s">
        <v>87</v>
      </c>
      <c r="C33" s="136" t="s">
        <v>125</v>
      </c>
      <c r="D33" s="136" t="s">
        <v>178</v>
      </c>
      <c r="E33" s="147" t="s">
        <v>66</v>
      </c>
      <c r="F33" s="136" t="s">
        <v>179</v>
      </c>
      <c r="G33" s="136" t="s">
        <v>13</v>
      </c>
    </row>
    <row r="34" spans="1:7" ht="30" customHeight="1" x14ac:dyDescent="0.3">
      <c r="A34" s="167">
        <v>7</v>
      </c>
      <c r="B34" s="6" t="s">
        <v>87</v>
      </c>
      <c r="C34" s="6" t="s">
        <v>127</v>
      </c>
      <c r="D34" s="6" t="s">
        <v>180</v>
      </c>
      <c r="E34" s="19" t="s">
        <v>10</v>
      </c>
      <c r="F34" s="6"/>
      <c r="G34" s="6"/>
    </row>
    <row r="35" spans="1:7" ht="30" customHeight="1" x14ac:dyDescent="0.3">
      <c r="A35" s="167">
        <v>7</v>
      </c>
      <c r="B35" s="6" t="s">
        <v>87</v>
      </c>
      <c r="C35" s="6" t="s">
        <v>129</v>
      </c>
      <c r="D35" s="6" t="s">
        <v>181</v>
      </c>
      <c r="E35" s="18" t="s">
        <v>66</v>
      </c>
      <c r="F35" s="6" t="s">
        <v>182</v>
      </c>
      <c r="G35" s="6" t="s">
        <v>7</v>
      </c>
    </row>
    <row r="36" spans="1:7" ht="30" customHeight="1" x14ac:dyDescent="0.3">
      <c r="A36" s="173">
        <v>7</v>
      </c>
      <c r="B36" s="143" t="s">
        <v>87</v>
      </c>
      <c r="C36" s="143" t="s">
        <v>132</v>
      </c>
      <c r="D36" s="143" t="s">
        <v>183</v>
      </c>
      <c r="E36" s="157" t="s">
        <v>66</v>
      </c>
      <c r="F36" s="143" t="s">
        <v>184</v>
      </c>
      <c r="G36" s="143" t="s">
        <v>7</v>
      </c>
    </row>
    <row r="37" spans="1:7" ht="30" customHeight="1" x14ac:dyDescent="0.3">
      <c r="A37" s="172">
        <v>8</v>
      </c>
      <c r="B37" s="140" t="s">
        <v>90</v>
      </c>
      <c r="C37" s="140" t="s">
        <v>122</v>
      </c>
      <c r="D37" s="140" t="s">
        <v>185</v>
      </c>
      <c r="E37" s="150" t="s">
        <v>73</v>
      </c>
      <c r="F37" s="140" t="s">
        <v>186</v>
      </c>
      <c r="G37" s="140" t="s">
        <v>30</v>
      </c>
    </row>
    <row r="38" spans="1:7" ht="15" customHeight="1" x14ac:dyDescent="0.3">
      <c r="A38" s="174">
        <v>8</v>
      </c>
      <c r="B38" s="146" t="s">
        <v>90</v>
      </c>
      <c r="C38" s="146" t="s">
        <v>125</v>
      </c>
      <c r="D38" s="146" t="s">
        <v>187</v>
      </c>
      <c r="E38" s="137" t="s">
        <v>10</v>
      </c>
      <c r="F38" s="146"/>
      <c r="G38" s="146"/>
    </row>
    <row r="39" spans="1:7" ht="30" customHeight="1" x14ac:dyDescent="0.3">
      <c r="A39" s="171">
        <v>8</v>
      </c>
      <c r="B39" s="9" t="s">
        <v>90</v>
      </c>
      <c r="C39" s="9" t="s">
        <v>127</v>
      </c>
      <c r="D39" s="9" t="s">
        <v>188</v>
      </c>
      <c r="E39" s="19" t="s">
        <v>10</v>
      </c>
      <c r="F39" s="9"/>
      <c r="G39" s="9"/>
    </row>
    <row r="40" spans="1:7" ht="30" customHeight="1" x14ac:dyDescent="0.3">
      <c r="A40" s="171">
        <v>8</v>
      </c>
      <c r="B40" s="9" t="s">
        <v>90</v>
      </c>
      <c r="C40" s="9" t="s">
        <v>129</v>
      </c>
      <c r="D40" s="9" t="s">
        <v>189</v>
      </c>
      <c r="E40" s="19" t="s">
        <v>10</v>
      </c>
      <c r="F40" s="9"/>
      <c r="G40" s="9"/>
    </row>
    <row r="41" spans="1:7" ht="15" customHeight="1" x14ac:dyDescent="0.3">
      <c r="A41" s="177">
        <v>8</v>
      </c>
      <c r="B41" s="152" t="s">
        <v>90</v>
      </c>
      <c r="C41" s="152" t="s">
        <v>132</v>
      </c>
      <c r="D41" s="152" t="s">
        <v>190</v>
      </c>
      <c r="E41" s="144" t="s">
        <v>10</v>
      </c>
      <c r="F41" s="152"/>
      <c r="G41" s="152"/>
    </row>
    <row r="42" spans="1:7" ht="30" customHeight="1" x14ac:dyDescent="0.3">
      <c r="A42" s="176">
        <v>9</v>
      </c>
      <c r="B42" s="132" t="s">
        <v>94</v>
      </c>
      <c r="C42" s="132" t="s">
        <v>122</v>
      </c>
      <c r="D42" s="132" t="s">
        <v>191</v>
      </c>
      <c r="E42" s="150" t="s">
        <v>73</v>
      </c>
      <c r="F42" s="132" t="s">
        <v>192</v>
      </c>
      <c r="G42" s="132" t="s">
        <v>13</v>
      </c>
    </row>
    <row r="43" spans="1:7" ht="30" customHeight="1" x14ac:dyDescent="0.3">
      <c r="A43" s="178">
        <v>9</v>
      </c>
      <c r="B43" s="136" t="s">
        <v>94</v>
      </c>
      <c r="C43" s="136" t="s">
        <v>125</v>
      </c>
      <c r="D43" s="136" t="s">
        <v>193</v>
      </c>
      <c r="E43" s="147" t="s">
        <v>66</v>
      </c>
      <c r="F43" s="136" t="s">
        <v>194</v>
      </c>
      <c r="G43" s="136" t="s">
        <v>13</v>
      </c>
    </row>
    <row r="44" spans="1:7" ht="30" customHeight="1" x14ac:dyDescent="0.3">
      <c r="A44" s="175">
        <v>9</v>
      </c>
      <c r="B44" s="6" t="s">
        <v>94</v>
      </c>
      <c r="C44" s="6" t="s">
        <v>127</v>
      </c>
      <c r="D44" s="6" t="s">
        <v>195</v>
      </c>
      <c r="E44" s="19" t="s">
        <v>10</v>
      </c>
      <c r="F44" s="6"/>
      <c r="G44" s="6"/>
    </row>
    <row r="45" spans="1:7" ht="30" customHeight="1" x14ac:dyDescent="0.3">
      <c r="A45" s="175">
        <v>9</v>
      </c>
      <c r="B45" s="6" t="s">
        <v>94</v>
      </c>
      <c r="C45" s="6" t="s">
        <v>129</v>
      </c>
      <c r="D45" s="6" t="s">
        <v>196</v>
      </c>
      <c r="E45" s="19" t="s">
        <v>10</v>
      </c>
      <c r="F45" s="6"/>
      <c r="G45" s="6"/>
    </row>
    <row r="46" spans="1:7" ht="30" customHeight="1" x14ac:dyDescent="0.3">
      <c r="A46" s="181">
        <v>9</v>
      </c>
      <c r="B46" s="143" t="s">
        <v>94</v>
      </c>
      <c r="C46" s="143" t="s">
        <v>132</v>
      </c>
      <c r="D46" s="143" t="s">
        <v>197</v>
      </c>
      <c r="E46" s="182" t="s">
        <v>73</v>
      </c>
      <c r="F46" s="143" t="s">
        <v>198</v>
      </c>
      <c r="G46" s="143" t="s">
        <v>13</v>
      </c>
    </row>
    <row r="47" spans="1:7" ht="30" customHeight="1" x14ac:dyDescent="0.3">
      <c r="A47" s="180">
        <v>10</v>
      </c>
      <c r="B47" s="140" t="s">
        <v>98</v>
      </c>
      <c r="C47" s="140" t="s">
        <v>122</v>
      </c>
      <c r="D47" s="140" t="s">
        <v>199</v>
      </c>
      <c r="E47" s="133" t="s">
        <v>66</v>
      </c>
      <c r="F47" s="140" t="s">
        <v>200</v>
      </c>
      <c r="G47" s="140" t="s">
        <v>7</v>
      </c>
    </row>
    <row r="48" spans="1:7" ht="30" customHeight="1" x14ac:dyDescent="0.3">
      <c r="A48" s="183">
        <v>10</v>
      </c>
      <c r="B48" s="146" t="s">
        <v>98</v>
      </c>
      <c r="C48" s="146" t="s">
        <v>125</v>
      </c>
      <c r="D48" s="146" t="s">
        <v>201</v>
      </c>
      <c r="E48" s="137" t="s">
        <v>10</v>
      </c>
      <c r="F48" s="146"/>
      <c r="G48" s="146"/>
    </row>
    <row r="49" spans="1:7" ht="30" customHeight="1" x14ac:dyDescent="0.3">
      <c r="A49" s="179">
        <v>10</v>
      </c>
      <c r="B49" s="9" t="s">
        <v>98</v>
      </c>
      <c r="C49" s="9" t="s">
        <v>127</v>
      </c>
      <c r="D49" s="9" t="s">
        <v>202</v>
      </c>
      <c r="E49" s="18" t="s">
        <v>66</v>
      </c>
      <c r="F49" s="9" t="s">
        <v>203</v>
      </c>
      <c r="G49" s="9" t="s">
        <v>7</v>
      </c>
    </row>
    <row r="50" spans="1:7" ht="30" customHeight="1" x14ac:dyDescent="0.3">
      <c r="A50" s="179">
        <v>10</v>
      </c>
      <c r="B50" s="9" t="s">
        <v>98</v>
      </c>
      <c r="C50" s="9" t="s">
        <v>129</v>
      </c>
      <c r="D50" s="9" t="s">
        <v>204</v>
      </c>
      <c r="E50" s="18" t="s">
        <v>66</v>
      </c>
      <c r="F50" s="9" t="s">
        <v>205</v>
      </c>
      <c r="G50" s="9" t="s">
        <v>7</v>
      </c>
    </row>
    <row r="51" spans="1:7" ht="15" customHeight="1" x14ac:dyDescent="0.3">
      <c r="A51" s="186">
        <v>10</v>
      </c>
      <c r="B51" s="152" t="s">
        <v>98</v>
      </c>
      <c r="C51" s="152" t="s">
        <v>132</v>
      </c>
      <c r="D51" s="152" t="s">
        <v>206</v>
      </c>
      <c r="E51" s="157" t="s">
        <v>66</v>
      </c>
      <c r="F51" s="152" t="s">
        <v>207</v>
      </c>
      <c r="G51" s="152" t="s">
        <v>13</v>
      </c>
    </row>
    <row r="52" spans="1:7" ht="30" customHeight="1" x14ac:dyDescent="0.3">
      <c r="A52" s="185">
        <v>11</v>
      </c>
      <c r="B52" s="132" t="s">
        <v>102</v>
      </c>
      <c r="C52" s="132" t="s">
        <v>122</v>
      </c>
      <c r="D52" s="132" t="s">
        <v>208</v>
      </c>
      <c r="E52" s="133" t="s">
        <v>66</v>
      </c>
      <c r="F52" s="132" t="s">
        <v>209</v>
      </c>
      <c r="G52" s="132" t="s">
        <v>19</v>
      </c>
    </row>
    <row r="53" spans="1:7" ht="30" customHeight="1" x14ac:dyDescent="0.3">
      <c r="A53" s="187">
        <v>11</v>
      </c>
      <c r="B53" s="136" t="s">
        <v>102</v>
      </c>
      <c r="C53" s="136" t="s">
        <v>125</v>
      </c>
      <c r="D53" s="136" t="s">
        <v>210</v>
      </c>
      <c r="E53" s="137" t="s">
        <v>10</v>
      </c>
      <c r="F53" s="136"/>
      <c r="G53" s="136"/>
    </row>
    <row r="54" spans="1:7" ht="30" customHeight="1" x14ac:dyDescent="0.3">
      <c r="A54" s="184">
        <v>11</v>
      </c>
      <c r="B54" s="6" t="s">
        <v>102</v>
      </c>
      <c r="C54" s="6" t="s">
        <v>127</v>
      </c>
      <c r="D54" s="6" t="s">
        <v>211</v>
      </c>
      <c r="E54" s="18" t="s">
        <v>66</v>
      </c>
      <c r="F54" s="6" t="s">
        <v>212</v>
      </c>
      <c r="G54" s="6" t="s">
        <v>7</v>
      </c>
    </row>
    <row r="55" spans="1:7" ht="30" customHeight="1" x14ac:dyDescent="0.3">
      <c r="A55" s="184">
        <v>11</v>
      </c>
      <c r="B55" s="6" t="s">
        <v>102</v>
      </c>
      <c r="C55" s="6" t="s">
        <v>129</v>
      </c>
      <c r="D55" s="6" t="s">
        <v>213</v>
      </c>
      <c r="E55" s="19" t="s">
        <v>10</v>
      </c>
      <c r="F55" s="6"/>
      <c r="G55" s="6"/>
    </row>
    <row r="56" spans="1:7" ht="30" customHeight="1" x14ac:dyDescent="0.3">
      <c r="A56" s="190">
        <v>11</v>
      </c>
      <c r="B56" s="143" t="s">
        <v>102</v>
      </c>
      <c r="C56" s="143" t="s">
        <v>132</v>
      </c>
      <c r="D56" s="143" t="s">
        <v>214</v>
      </c>
      <c r="E56" s="157" t="s">
        <v>66</v>
      </c>
      <c r="F56" s="143" t="s">
        <v>215</v>
      </c>
      <c r="G56" s="143" t="s">
        <v>13</v>
      </c>
    </row>
    <row r="57" spans="1:7" ht="30" customHeight="1" x14ac:dyDescent="0.3">
      <c r="A57" s="189">
        <v>12</v>
      </c>
      <c r="B57" s="140" t="s">
        <v>105</v>
      </c>
      <c r="C57" s="140" t="s">
        <v>122</v>
      </c>
      <c r="D57" s="140" t="s">
        <v>216</v>
      </c>
      <c r="E57" s="133" t="s">
        <v>66</v>
      </c>
      <c r="F57" s="140" t="s">
        <v>217</v>
      </c>
      <c r="G57" s="140" t="s">
        <v>7</v>
      </c>
    </row>
    <row r="58" spans="1:7" ht="15" customHeight="1" x14ac:dyDescent="0.3">
      <c r="A58" s="191">
        <v>12</v>
      </c>
      <c r="B58" s="146" t="s">
        <v>105</v>
      </c>
      <c r="C58" s="146" t="s">
        <v>125</v>
      </c>
      <c r="D58" s="146" t="s">
        <v>218</v>
      </c>
      <c r="E58" s="147" t="s">
        <v>66</v>
      </c>
      <c r="F58" s="146" t="s">
        <v>219</v>
      </c>
      <c r="G58" s="146" t="s">
        <v>13</v>
      </c>
    </row>
    <row r="59" spans="1:7" ht="15" customHeight="1" x14ac:dyDescent="0.3">
      <c r="A59" s="188">
        <v>12</v>
      </c>
      <c r="B59" s="9" t="s">
        <v>105</v>
      </c>
      <c r="C59" s="9" t="s">
        <v>127</v>
      </c>
      <c r="D59" s="9" t="s">
        <v>220</v>
      </c>
      <c r="E59" s="18" t="s">
        <v>66</v>
      </c>
      <c r="F59" s="9" t="s">
        <v>221</v>
      </c>
      <c r="G59" s="9" t="s">
        <v>13</v>
      </c>
    </row>
    <row r="60" spans="1:7" ht="30" customHeight="1" x14ac:dyDescent="0.3">
      <c r="A60" s="188">
        <v>12</v>
      </c>
      <c r="B60" s="9" t="s">
        <v>105</v>
      </c>
      <c r="C60" s="9" t="s">
        <v>129</v>
      </c>
      <c r="D60" s="9" t="s">
        <v>222</v>
      </c>
      <c r="E60" s="19" t="s">
        <v>10</v>
      </c>
      <c r="F60" s="9"/>
      <c r="G60" s="9"/>
    </row>
    <row r="61" spans="1:7" ht="30" customHeight="1" x14ac:dyDescent="0.3">
      <c r="A61" s="188">
        <v>12</v>
      </c>
      <c r="B61" s="9" t="s">
        <v>105</v>
      </c>
      <c r="C61" s="9" t="s">
        <v>132</v>
      </c>
      <c r="D61" s="9" t="s">
        <v>223</v>
      </c>
      <c r="E61" s="18" t="s">
        <v>66</v>
      </c>
      <c r="F61" s="9" t="s">
        <v>224</v>
      </c>
      <c r="G61" s="9" t="s">
        <v>13</v>
      </c>
    </row>
    <row r="62" spans="1:7" ht="39.6" x14ac:dyDescent="0.35">
      <c r="A62" s="128" t="s">
        <v>706</v>
      </c>
      <c r="B62" s="129" t="s">
        <v>707</v>
      </c>
      <c r="C62" s="80"/>
      <c r="D62" s="80"/>
      <c r="E62" s="128" t="str">
        <f>COUNTIF(E2:E61,"PASS")&amp;" PASS  |  "&amp;COUNTIF(E2:E61,"WARN")&amp;" WARN  |  "&amp;COUNTIF(E2:E61,"—")&amp;" NOT RUN"</f>
        <v>33 PASS  |  5 WARN  |  22 NOT RUN</v>
      </c>
      <c r="F62" s="128" t="str">
        <f>TEXT((60-COUNTIF(E2:E61,"—"))/60,"0%")&amp;" assessed"</f>
        <v>63% assessed</v>
      </c>
      <c r="G62" s="80"/>
    </row>
  </sheetData>
  <conditionalFormatting sqref="E2:E61">
    <cfRule type="containsText" dxfId="111" priority="1" operator="containsText" text="PASS">
      <formula>NOT(ISERROR(SEARCH("PASS",E2)))</formula>
    </cfRule>
  </conditionalFormatting>
  <conditionalFormatting sqref="E2:E61">
    <cfRule type="containsText" dxfId="110" priority="2" operator="containsText" text="DONE">
      <formula>NOT(ISERROR(SEARCH("DONE",E2)))</formula>
    </cfRule>
  </conditionalFormatting>
  <conditionalFormatting sqref="E2:E61">
    <cfRule type="containsText" dxfId="109" priority="3" operator="containsText" text="HEALTHY">
      <formula>NOT(ISERROR(SEARCH("HEALTHY",E2)))</formula>
    </cfRule>
  </conditionalFormatting>
  <conditionalFormatting sqref="E2:E61">
    <cfRule type="containsText" dxfId="108" priority="4" operator="containsText" text="READY">
      <formula>NOT(ISERROR(SEARCH("READY",E2)))</formula>
    </cfRule>
  </conditionalFormatting>
  <conditionalFormatting sqref="E2:E61">
    <cfRule type="containsText" dxfId="107" priority="5" operator="containsText" text="RADIANT">
      <formula>NOT(ISERROR(SEARCH("RADIANT",E2)))</formula>
    </cfRule>
  </conditionalFormatting>
  <conditionalFormatting sqref="E2:E61">
    <cfRule type="containsText" dxfId="106" priority="6" operator="containsText" text="CLEAN">
      <formula>NOT(ISERROR(SEARCH("CLEAN",E2)))</formula>
    </cfRule>
  </conditionalFormatting>
  <conditionalFormatting sqref="E2:E61">
    <cfRule type="containsText" dxfId="105" priority="7" operator="containsText" text="WARN">
      <formula>NOT(ISERROR(SEARCH("WARN",E2)))</formula>
    </cfRule>
  </conditionalFormatting>
  <conditionalFormatting sqref="E2:E61">
    <cfRule type="containsText" dxfId="104" priority="8" operator="containsText" text="PARTIAL">
      <formula>NOT(ISERROR(SEARCH("PARTIAL",E2)))</formula>
    </cfRule>
  </conditionalFormatting>
  <conditionalFormatting sqref="E2:E61">
    <cfRule type="containsText" dxfId="103" priority="9" operator="containsText" text="REQUIRES">
      <formula>NOT(ISERROR(SEARCH("REQUIRES",E2)))</formula>
    </cfRule>
  </conditionalFormatting>
  <conditionalFormatting sqref="E2:E61">
    <cfRule type="containsText" dxfId="102" priority="10" operator="containsText" text="IN PROGRESS">
      <formula>NOT(ISERROR(SEARCH("IN PROGRESS",E2)))</formula>
    </cfRule>
  </conditionalFormatting>
  <conditionalFormatting sqref="E2:E61">
    <cfRule type="containsText" dxfId="101" priority="11" operator="containsText" text="UPCOMING">
      <formula>NOT(ISERROR(SEARCH("UPCOMING",E2)))</formula>
    </cfRule>
  </conditionalFormatting>
  <conditionalFormatting sqref="E2:E61">
    <cfRule type="containsText" dxfId="100" priority="12" operator="containsText" text="NOT DONE">
      <formula>NOT(ISERROR(SEARCH("NOT DONE",E2)))</formula>
    </cfRule>
  </conditionalFormatting>
  <conditionalFormatting sqref="E2:E61">
    <cfRule type="containsText" dxfId="99" priority="13" operator="containsText" text="NOT STARTED">
      <formula>NOT(ISERROR(SEARCH("NOT STARTED",E2)))</formula>
    </cfRule>
  </conditionalFormatting>
  <conditionalFormatting sqref="E2:E61">
    <cfRule type="containsText" dxfId="98" priority="14" operator="containsText" text="BLOCKED">
      <formula>NOT(ISERROR(SEARCH("BLOCKED",E2)))</formula>
    </cfRule>
  </conditionalFormatting>
  <conditionalFormatting sqref="E2:E61">
    <cfRule type="containsText" dxfId="97" priority="15" operator="containsText" text="CRITICAL">
      <formula>NOT(ISERROR(SEARCH("CRITICAL",E2)))</formula>
    </cfRule>
  </conditionalFormatting>
  <dataValidations count="1">
    <dataValidation type="list" allowBlank="1" errorTitle="Invalid Status" error="Please select PASS, WARN, FAIL, N/A, or —" sqref="E2:E61" xr:uid="{00000000-0002-0000-0100-000000000000}">
      <formula1>"PASS,WARN,FAIL,N/A,—"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CAF50"/>
  </sheetPr>
  <dimension ref="A1:H15"/>
  <sheetViews>
    <sheetView workbookViewId="0">
      <pane ySplit="1" topLeftCell="A2" activePane="bottomLeft" state="frozen"/>
      <selection pane="bottomLeft" activeCell="C8" sqref="C8:F8"/>
    </sheetView>
  </sheetViews>
  <sheetFormatPr defaultRowHeight="14.4" x14ac:dyDescent="0.3"/>
  <cols>
    <col min="1" max="1" width="25" customWidth="1"/>
    <col min="2" max="2" width="30" customWidth="1"/>
    <col min="3" max="5" width="10" customWidth="1"/>
    <col min="6" max="6" width="8" customWidth="1"/>
    <col min="7" max="7" width="14" customWidth="1"/>
    <col min="8" max="8" width="40" customWidth="1"/>
  </cols>
  <sheetData>
    <row r="1" spans="1:8" ht="16.8" customHeight="1" x14ac:dyDescent="0.3">
      <c r="A1" s="4" t="s">
        <v>225</v>
      </c>
      <c r="B1" s="4" t="s">
        <v>226</v>
      </c>
      <c r="C1" s="4" t="s">
        <v>227</v>
      </c>
      <c r="D1" s="4" t="s">
        <v>228</v>
      </c>
      <c r="E1" s="4" t="s">
        <v>229</v>
      </c>
      <c r="F1" s="4" t="s">
        <v>230</v>
      </c>
      <c r="G1" s="4" t="s">
        <v>231</v>
      </c>
      <c r="H1" s="4" t="s">
        <v>63</v>
      </c>
    </row>
    <row r="2" spans="1:8" ht="15" customHeight="1" x14ac:dyDescent="0.3">
      <c r="A2" s="6" t="s">
        <v>232</v>
      </c>
      <c r="B2" s="6" t="s">
        <v>233</v>
      </c>
      <c r="C2" s="5">
        <v>127</v>
      </c>
      <c r="D2" s="5">
        <v>127</v>
      </c>
      <c r="E2" s="5">
        <v>127</v>
      </c>
      <c r="F2" s="5">
        <v>0</v>
      </c>
      <c r="G2" s="6" t="s">
        <v>7</v>
      </c>
      <c r="H2" s="6"/>
    </row>
    <row r="3" spans="1:8" ht="15" customHeight="1" x14ac:dyDescent="0.3">
      <c r="A3" s="6" t="s">
        <v>234</v>
      </c>
      <c r="B3" s="6" t="s">
        <v>235</v>
      </c>
      <c r="C3" s="5">
        <v>55</v>
      </c>
      <c r="D3" s="5">
        <v>55</v>
      </c>
      <c r="E3" s="5">
        <v>55</v>
      </c>
      <c r="F3" s="5">
        <v>0</v>
      </c>
      <c r="G3" s="6" t="s">
        <v>7</v>
      </c>
      <c r="H3" s="6" t="s">
        <v>236</v>
      </c>
    </row>
    <row r="4" spans="1:8" ht="15" customHeight="1" x14ac:dyDescent="0.3">
      <c r="A4" s="6" t="s">
        <v>237</v>
      </c>
      <c r="B4" s="6" t="s">
        <v>238</v>
      </c>
      <c r="C4" s="5">
        <v>42</v>
      </c>
      <c r="D4" s="5">
        <v>42</v>
      </c>
      <c r="E4" s="5">
        <v>42</v>
      </c>
      <c r="F4" s="5">
        <v>0</v>
      </c>
      <c r="G4" s="6" t="s">
        <v>7</v>
      </c>
      <c r="H4" s="6"/>
    </row>
    <row r="5" spans="1:8" ht="30" customHeight="1" x14ac:dyDescent="0.3">
      <c r="A5" s="6" t="s">
        <v>239</v>
      </c>
      <c r="B5" s="6" t="s">
        <v>240</v>
      </c>
      <c r="C5" s="5">
        <v>82</v>
      </c>
      <c r="D5" s="5">
        <v>82</v>
      </c>
      <c r="E5" s="5">
        <v>82</v>
      </c>
      <c r="F5" s="5">
        <v>0</v>
      </c>
      <c r="G5" s="6" t="s">
        <v>7</v>
      </c>
      <c r="H5" s="6" t="s">
        <v>241</v>
      </c>
    </row>
    <row r="6" spans="1:8" ht="15" customHeight="1" x14ac:dyDescent="0.3">
      <c r="A6" s="6" t="s">
        <v>242</v>
      </c>
      <c r="B6" s="6" t="s">
        <v>243</v>
      </c>
      <c r="C6" s="5">
        <v>77</v>
      </c>
      <c r="D6" s="5" t="s">
        <v>10</v>
      </c>
      <c r="E6" s="5" t="s">
        <v>10</v>
      </c>
      <c r="F6" s="5" t="s">
        <v>10</v>
      </c>
      <c r="G6" s="6" t="s">
        <v>10</v>
      </c>
      <c r="H6" s="6" t="s">
        <v>244</v>
      </c>
    </row>
    <row r="8" spans="1:8" ht="15" customHeight="1" x14ac:dyDescent="0.35">
      <c r="A8" s="1" t="s">
        <v>245</v>
      </c>
      <c r="B8" s="6"/>
      <c r="C8" s="10">
        <f>SUM(C2:C6)</f>
        <v>383</v>
      </c>
      <c r="D8" s="10">
        <f>SUM(D2:D6)</f>
        <v>306</v>
      </c>
      <c r="E8" s="11">
        <f>SUM(E2:E6)</f>
        <v>306</v>
      </c>
      <c r="F8" s="10">
        <f>SUM(F2:F6)</f>
        <v>0</v>
      </c>
      <c r="G8" s="6" t="s">
        <v>7</v>
      </c>
      <c r="H8" s="6" t="s">
        <v>246</v>
      </c>
    </row>
    <row r="10" spans="1:8" ht="15" customHeight="1" x14ac:dyDescent="0.35">
      <c r="A10" s="45" t="s">
        <v>247</v>
      </c>
      <c r="B10" s="42"/>
      <c r="C10" s="42"/>
      <c r="D10" s="42"/>
      <c r="E10" s="42"/>
      <c r="F10" s="42"/>
      <c r="G10" s="42"/>
      <c r="H10" s="42"/>
    </row>
    <row r="11" spans="1:8" ht="15" customHeight="1" x14ac:dyDescent="0.3">
      <c r="A11" s="6" t="s">
        <v>248</v>
      </c>
      <c r="B11" s="6" t="s">
        <v>249</v>
      </c>
      <c r="C11" s="5" t="s">
        <v>10</v>
      </c>
      <c r="D11" s="5" t="s">
        <v>10</v>
      </c>
      <c r="E11" s="5" t="s">
        <v>10</v>
      </c>
      <c r="F11" s="5" t="s">
        <v>10</v>
      </c>
      <c r="G11" s="6" t="s">
        <v>10</v>
      </c>
      <c r="H11" s="6" t="s">
        <v>250</v>
      </c>
    </row>
    <row r="12" spans="1:8" ht="30" customHeight="1" x14ac:dyDescent="0.3">
      <c r="A12" s="6" t="s">
        <v>251</v>
      </c>
      <c r="B12" s="6" t="s">
        <v>252</v>
      </c>
      <c r="C12" s="5" t="s">
        <v>10</v>
      </c>
      <c r="D12" s="5" t="s">
        <v>10</v>
      </c>
      <c r="E12" s="5" t="s">
        <v>10</v>
      </c>
      <c r="F12" s="5" t="s">
        <v>10</v>
      </c>
      <c r="G12" s="6" t="s">
        <v>10</v>
      </c>
      <c r="H12" s="6" t="s">
        <v>250</v>
      </c>
    </row>
    <row r="13" spans="1:8" ht="15" customHeight="1" x14ac:dyDescent="0.3">
      <c r="A13" s="6" t="s">
        <v>253</v>
      </c>
      <c r="B13" s="6" t="s">
        <v>254</v>
      </c>
      <c r="C13" s="5" t="s">
        <v>10</v>
      </c>
      <c r="D13" s="5" t="s">
        <v>10</v>
      </c>
      <c r="E13" s="5" t="s">
        <v>10</v>
      </c>
      <c r="F13" s="5" t="s">
        <v>10</v>
      </c>
      <c r="G13" s="6" t="s">
        <v>10</v>
      </c>
      <c r="H13" s="6" t="s">
        <v>250</v>
      </c>
    </row>
    <row r="15" spans="1:8" x14ac:dyDescent="0.3">
      <c r="A15" s="41" t="s">
        <v>255</v>
      </c>
      <c r="B15" s="42"/>
      <c r="C15" s="42"/>
      <c r="D15" s="42"/>
      <c r="E15" s="42"/>
      <c r="F15" s="42"/>
      <c r="G15" s="42"/>
      <c r="H15" s="42"/>
    </row>
  </sheetData>
  <mergeCells count="2">
    <mergeCell ref="A15:H15"/>
    <mergeCell ref="A10:H10"/>
  </mergeCells>
  <conditionalFormatting sqref="E2:E14">
    <cfRule type="containsText" dxfId="96" priority="1" operator="containsText" text="PASS">
      <formula>NOT(ISERROR(SEARCH("PASS",E2)))</formula>
    </cfRule>
  </conditionalFormatting>
  <conditionalFormatting sqref="E2:E14">
    <cfRule type="containsText" dxfId="95" priority="2" operator="containsText" text="DONE">
      <formula>NOT(ISERROR(SEARCH("DONE",E2)))</formula>
    </cfRule>
  </conditionalFormatting>
  <conditionalFormatting sqref="E2:E14">
    <cfRule type="containsText" dxfId="94" priority="3" operator="containsText" text="HEALTHY">
      <formula>NOT(ISERROR(SEARCH("HEALTHY",E2)))</formula>
    </cfRule>
  </conditionalFormatting>
  <conditionalFormatting sqref="E2:E14">
    <cfRule type="containsText" dxfId="93" priority="4" operator="containsText" text="READY">
      <formula>NOT(ISERROR(SEARCH("READY",E2)))</formula>
    </cfRule>
  </conditionalFormatting>
  <conditionalFormatting sqref="E2:E14">
    <cfRule type="containsText" dxfId="92" priority="5" operator="containsText" text="RADIANT">
      <formula>NOT(ISERROR(SEARCH("RADIANT",E2)))</formula>
    </cfRule>
  </conditionalFormatting>
  <conditionalFormatting sqref="E2:E14">
    <cfRule type="containsText" dxfId="91" priority="6" operator="containsText" text="CLEAN">
      <formula>NOT(ISERROR(SEARCH("CLEAN",E2)))</formula>
    </cfRule>
  </conditionalFormatting>
  <conditionalFormatting sqref="E2:E14">
    <cfRule type="containsText" dxfId="90" priority="7" operator="containsText" text="WARN">
      <formula>NOT(ISERROR(SEARCH("WARN",E2)))</formula>
    </cfRule>
  </conditionalFormatting>
  <conditionalFormatting sqref="E2:E14">
    <cfRule type="containsText" dxfId="89" priority="8" operator="containsText" text="PARTIAL">
      <formula>NOT(ISERROR(SEARCH("PARTIAL",E2)))</formula>
    </cfRule>
  </conditionalFormatting>
  <conditionalFormatting sqref="E2:E14">
    <cfRule type="containsText" dxfId="88" priority="9" operator="containsText" text="REQUIRES">
      <formula>NOT(ISERROR(SEARCH("REQUIRES",E2)))</formula>
    </cfRule>
  </conditionalFormatting>
  <conditionalFormatting sqref="E2:E14">
    <cfRule type="containsText" dxfId="87" priority="10" operator="containsText" text="IN PROGRESS">
      <formula>NOT(ISERROR(SEARCH("IN PROGRESS",E2)))</formula>
    </cfRule>
  </conditionalFormatting>
  <conditionalFormatting sqref="E2:E14">
    <cfRule type="containsText" dxfId="86" priority="11" operator="containsText" text="UPCOMING">
      <formula>NOT(ISERROR(SEARCH("UPCOMING",E2)))</formula>
    </cfRule>
  </conditionalFormatting>
  <conditionalFormatting sqref="E2:E14">
    <cfRule type="containsText" dxfId="85" priority="12" operator="containsText" text="NOT DONE">
      <formula>NOT(ISERROR(SEARCH("NOT DONE",E2)))</formula>
    </cfRule>
  </conditionalFormatting>
  <conditionalFormatting sqref="E2:E14">
    <cfRule type="containsText" dxfId="84" priority="13" operator="containsText" text="NOT STARTED">
      <formula>NOT(ISERROR(SEARCH("NOT STARTED",E2)))</formula>
    </cfRule>
  </conditionalFormatting>
  <conditionalFormatting sqref="E2:E14">
    <cfRule type="containsText" dxfId="83" priority="14" operator="containsText" text="BLOCKED">
      <formula>NOT(ISERROR(SEARCH("BLOCKED",E2)))</formula>
    </cfRule>
  </conditionalFormatting>
  <conditionalFormatting sqref="E2:E14">
    <cfRule type="containsText" dxfId="82" priority="15" operator="containsText" text="CRITICAL">
      <formula>NOT(ISERROR(SEARCH("CRITICAL",E2)))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6F00"/>
  </sheetPr>
  <dimension ref="A1:J27"/>
  <sheetViews>
    <sheetView topLeftCell="E1" workbookViewId="0">
      <pane ySplit="3" topLeftCell="A4" activePane="bottomLeft" state="frozen"/>
      <selection pane="bottomLeft" activeCell="D9" sqref="A9:XFD9"/>
    </sheetView>
  </sheetViews>
  <sheetFormatPr defaultRowHeight="14.4" x14ac:dyDescent="0.3"/>
  <cols>
    <col min="1" max="1" width="28.77734375" bestFit="1" customWidth="1"/>
    <col min="2" max="2" width="49.21875" bestFit="1" customWidth="1"/>
    <col min="3" max="3" width="17.77734375" customWidth="1"/>
    <col min="4" max="4" width="10" customWidth="1"/>
    <col min="5" max="5" width="22" customWidth="1"/>
    <col min="6" max="6" width="20" customWidth="1"/>
    <col min="7" max="7" width="38" customWidth="1"/>
    <col min="8" max="8" width="21.6640625" customWidth="1"/>
    <col min="9" max="9" width="18.44140625" bestFit="1" customWidth="1"/>
    <col min="10" max="10" width="20.33203125" bestFit="1" customWidth="1"/>
  </cols>
  <sheetData>
    <row r="1" spans="1:10" ht="24.6" customHeight="1" x14ac:dyDescent="0.55000000000000004">
      <c r="A1" s="46" t="s">
        <v>256</v>
      </c>
      <c r="B1" s="42"/>
      <c r="C1" s="42"/>
      <c r="D1" s="42"/>
      <c r="E1" s="42"/>
      <c r="F1" s="42"/>
      <c r="G1" s="42"/>
      <c r="H1" s="217" t="s">
        <v>729</v>
      </c>
      <c r="I1" s="216" t="s">
        <v>721</v>
      </c>
      <c r="J1" s="217" t="s">
        <v>730</v>
      </c>
    </row>
    <row r="2" spans="1:10" x14ac:dyDescent="0.3">
      <c r="I2" s="209" t="str">
        <f>COUNTIF(I4:I13,"Bachelor")&amp;" Bach · "&amp;COUNTIF(I4:I13,"Master")&amp;" MSc · "&amp;COUNTIF(I4:I13,"PhD")&amp;" PhD"</f>
        <v>5 Bach · 3 MSc · 2 PhD</v>
      </c>
    </row>
    <row r="3" spans="1:10" ht="16.8" customHeight="1" x14ac:dyDescent="0.3">
      <c r="A3" s="4" t="s">
        <v>257</v>
      </c>
      <c r="B3" s="4" t="s">
        <v>226</v>
      </c>
      <c r="C3" s="4" t="s">
        <v>258</v>
      </c>
      <c r="D3" s="4" t="s">
        <v>60</v>
      </c>
      <c r="E3" s="4" t="s">
        <v>259</v>
      </c>
      <c r="F3" s="4" t="s">
        <v>260</v>
      </c>
      <c r="G3" s="4" t="s">
        <v>63</v>
      </c>
      <c r="H3" s="93" t="s">
        <v>696</v>
      </c>
      <c r="I3" s="204" t="s">
        <v>717</v>
      </c>
      <c r="J3" s="210" t="s">
        <v>722</v>
      </c>
    </row>
    <row r="4" spans="1:10" ht="30" customHeight="1" x14ac:dyDescent="0.35">
      <c r="A4" s="6" t="s">
        <v>261</v>
      </c>
      <c r="B4" s="6" t="s">
        <v>262</v>
      </c>
      <c r="C4" s="6" t="s">
        <v>263</v>
      </c>
      <c r="D4" s="7" t="s">
        <v>264</v>
      </c>
      <c r="E4" s="6" t="s">
        <v>265</v>
      </c>
      <c r="F4" s="6" t="s">
        <v>266</v>
      </c>
      <c r="G4" s="6" t="s">
        <v>267</v>
      </c>
      <c r="H4" s="94" t="s">
        <v>697</v>
      </c>
      <c r="I4" s="205" t="s">
        <v>718</v>
      </c>
      <c r="J4" s="98" t="str">
        <f>IF(I4="Bachelor","✅ In scope",IF(I4="Master","⚠️ Stretch","🛑 Out of scope"))</f>
        <v>🛑 Out of scope</v>
      </c>
    </row>
    <row r="5" spans="1:10" ht="15" customHeight="1" x14ac:dyDescent="0.35">
      <c r="A5" s="6" t="s">
        <v>268</v>
      </c>
      <c r="B5" s="6" t="s">
        <v>269</v>
      </c>
      <c r="C5" s="6" t="s">
        <v>270</v>
      </c>
      <c r="D5" s="7" t="s">
        <v>264</v>
      </c>
      <c r="E5" s="6" t="s">
        <v>271</v>
      </c>
      <c r="F5" s="6" t="s">
        <v>266</v>
      </c>
      <c r="G5" s="6" t="s">
        <v>272</v>
      </c>
      <c r="I5" s="206" t="s">
        <v>719</v>
      </c>
      <c r="J5" s="98" t="str">
        <f>IF(I5="Bachelor","✅ In scope",IF(I5="Master","⚠️ Stretch","🛑 Out of scope"))</f>
        <v>✅ In scope</v>
      </c>
    </row>
    <row r="6" spans="1:10" ht="30" customHeight="1" x14ac:dyDescent="0.35">
      <c r="A6" s="6" t="s">
        <v>273</v>
      </c>
      <c r="B6" s="6" t="s">
        <v>274</v>
      </c>
      <c r="C6" s="6" t="s">
        <v>275</v>
      </c>
      <c r="D6" s="7" t="s">
        <v>264</v>
      </c>
      <c r="E6" s="6" t="s">
        <v>276</v>
      </c>
      <c r="F6" s="6" t="s">
        <v>277</v>
      </c>
      <c r="G6" s="6" t="s">
        <v>278</v>
      </c>
      <c r="I6" s="206" t="s">
        <v>719</v>
      </c>
      <c r="J6" s="98" t="str">
        <f>IF(I6="Bachelor","✅ In scope",IF(I6="Master","⚠️ Stretch","🛑 Out of scope"))</f>
        <v>✅ In scope</v>
      </c>
    </row>
    <row r="7" spans="1:10" ht="30" customHeight="1" x14ac:dyDescent="0.35">
      <c r="A7" s="6" t="s">
        <v>279</v>
      </c>
      <c r="B7" s="6" t="s">
        <v>280</v>
      </c>
      <c r="C7" s="6" t="s">
        <v>281</v>
      </c>
      <c r="D7" s="7" t="s">
        <v>264</v>
      </c>
      <c r="E7" s="6" t="s">
        <v>282</v>
      </c>
      <c r="F7" s="6" t="s">
        <v>266</v>
      </c>
      <c r="G7" s="6" t="s">
        <v>283</v>
      </c>
      <c r="I7" s="207" t="s">
        <v>720</v>
      </c>
      <c r="J7" s="98" t="str">
        <f>IF(I7="Bachelor","✅ In scope",IF(I7="Master","⚠️ Stretch","🛑 Out of scope"))</f>
        <v>⚠️ Stretch</v>
      </c>
    </row>
    <row r="8" spans="1:10" ht="30" customHeight="1" x14ac:dyDescent="0.35">
      <c r="A8" s="6" t="s">
        <v>284</v>
      </c>
      <c r="B8" s="6" t="s">
        <v>285</v>
      </c>
      <c r="C8" s="6" t="s">
        <v>263</v>
      </c>
      <c r="D8" s="7" t="s">
        <v>264</v>
      </c>
      <c r="E8" s="6" t="s">
        <v>286</v>
      </c>
      <c r="F8" s="6" t="s">
        <v>266</v>
      </c>
      <c r="G8" s="6" t="s">
        <v>287</v>
      </c>
      <c r="I8" s="207" t="s">
        <v>720</v>
      </c>
      <c r="J8" s="211" t="str">
        <f>IF(I8="Bachelor","✅ In scope",IF(I8="Master","⚠️ Stretch","🛑 Out of scope"))</f>
        <v>⚠️ Stretch</v>
      </c>
    </row>
    <row r="9" spans="1:10" ht="15" customHeight="1" x14ac:dyDescent="0.35">
      <c r="A9" s="6" t="s">
        <v>288</v>
      </c>
      <c r="B9" s="6" t="s">
        <v>289</v>
      </c>
      <c r="C9" s="6" t="s">
        <v>290</v>
      </c>
      <c r="D9" s="7" t="s">
        <v>264</v>
      </c>
      <c r="E9" s="6" t="s">
        <v>291</v>
      </c>
      <c r="F9" s="6" t="s">
        <v>266</v>
      </c>
      <c r="G9" s="6" t="s">
        <v>292</v>
      </c>
      <c r="I9" s="206" t="s">
        <v>719</v>
      </c>
      <c r="J9" s="211" t="str">
        <f>IF(I9="Bachelor","✅ In scope",IF(I9="Master","⚠️ Stretch","🛑 Out of scope"))</f>
        <v>✅ In scope</v>
      </c>
    </row>
    <row r="10" spans="1:10" ht="15" customHeight="1" x14ac:dyDescent="0.35">
      <c r="A10" s="6" t="s">
        <v>293</v>
      </c>
      <c r="B10" s="6" t="s">
        <v>294</v>
      </c>
      <c r="C10" s="6" t="s">
        <v>295</v>
      </c>
      <c r="D10" s="7" t="s">
        <v>264</v>
      </c>
      <c r="E10" s="6" t="s">
        <v>296</v>
      </c>
      <c r="F10" s="6" t="s">
        <v>266</v>
      </c>
      <c r="G10" s="6" t="s">
        <v>297</v>
      </c>
      <c r="I10" s="206" t="s">
        <v>719</v>
      </c>
      <c r="J10" s="211" t="str">
        <f>IF(I10="Bachelor","✅ In scope",IF(I10="Master","⚠️ Stretch","🛑 Out of scope"))</f>
        <v>✅ In scope</v>
      </c>
    </row>
    <row r="11" spans="1:10" ht="15" customHeight="1" x14ac:dyDescent="0.35">
      <c r="A11" s="6" t="s">
        <v>298</v>
      </c>
      <c r="B11" s="6" t="s">
        <v>299</v>
      </c>
      <c r="C11" s="6" t="s">
        <v>300</v>
      </c>
      <c r="D11" s="7" t="s">
        <v>264</v>
      </c>
      <c r="E11" s="6" t="s">
        <v>301</v>
      </c>
      <c r="F11" s="6" t="s">
        <v>266</v>
      </c>
      <c r="G11" s="6" t="s">
        <v>302</v>
      </c>
      <c r="I11" s="207" t="s">
        <v>720</v>
      </c>
      <c r="J11" s="211" t="str">
        <f>IF(I11="Bachelor","✅ In scope",IF(I11="Master","⚠️ Stretch","🛑 Out of scope"))</f>
        <v>⚠️ Stretch</v>
      </c>
    </row>
    <row r="12" spans="1:10" ht="30" customHeight="1" x14ac:dyDescent="0.35">
      <c r="A12" s="6" t="s">
        <v>303</v>
      </c>
      <c r="B12" s="6" t="s">
        <v>304</v>
      </c>
      <c r="C12" s="6" t="s">
        <v>305</v>
      </c>
      <c r="D12" s="7" t="s">
        <v>264</v>
      </c>
      <c r="E12" s="6" t="s">
        <v>306</v>
      </c>
      <c r="F12" s="6" t="s">
        <v>266</v>
      </c>
      <c r="G12" s="6" t="s">
        <v>307</v>
      </c>
      <c r="I12" s="208" t="s">
        <v>718</v>
      </c>
      <c r="J12" s="211" t="str">
        <f>IF(I12="Bachelor","✅ In scope",IF(I12="Master","⚠️ Stretch","🛑 Out of scope"))</f>
        <v>🛑 Out of scope</v>
      </c>
    </row>
    <row r="13" spans="1:10" ht="15" customHeight="1" x14ac:dyDescent="0.35">
      <c r="A13" s="6" t="s">
        <v>308</v>
      </c>
      <c r="B13" s="6" t="s">
        <v>309</v>
      </c>
      <c r="C13" s="6" t="s">
        <v>310</v>
      </c>
      <c r="D13" s="7" t="s">
        <v>264</v>
      </c>
      <c r="E13" s="6" t="s">
        <v>311</v>
      </c>
      <c r="F13" s="6" t="s">
        <v>277</v>
      </c>
      <c r="G13" s="6" t="s">
        <v>312</v>
      </c>
      <c r="I13" s="206" t="s">
        <v>719</v>
      </c>
      <c r="J13" s="211" t="str">
        <f>IF(I13="Bachelor","✅ In scope",IF(I13="Master","⚠️ Stretch","🛑 Out of scope"))</f>
        <v>✅ In scope</v>
      </c>
    </row>
    <row r="16" spans="1:10" ht="19.2" customHeight="1" x14ac:dyDescent="0.45">
      <c r="A16" s="43" t="s">
        <v>313</v>
      </c>
      <c r="B16" s="42"/>
      <c r="C16" s="42"/>
      <c r="D16" s="42"/>
      <c r="E16" s="42"/>
      <c r="F16" s="42"/>
      <c r="G16" s="42"/>
    </row>
    <row r="17" spans="1:7" ht="15" customHeight="1" x14ac:dyDescent="0.35">
      <c r="A17" s="12" t="s">
        <v>0</v>
      </c>
      <c r="B17" s="12" t="s">
        <v>314</v>
      </c>
      <c r="C17" s="12" t="s">
        <v>63</v>
      </c>
    </row>
    <row r="18" spans="1:7" ht="75" customHeight="1" x14ac:dyDescent="0.3">
      <c r="A18" s="13" t="s">
        <v>315</v>
      </c>
      <c r="B18" s="13" t="s">
        <v>316</v>
      </c>
      <c r="C18" s="13" t="s">
        <v>317</v>
      </c>
    </row>
    <row r="19" spans="1:7" ht="15" customHeight="1" x14ac:dyDescent="0.3">
      <c r="A19" s="6" t="s">
        <v>318</v>
      </c>
      <c r="B19" s="6" t="s">
        <v>319</v>
      </c>
      <c r="C19" s="6"/>
    </row>
    <row r="20" spans="1:7" ht="90" customHeight="1" x14ac:dyDescent="0.3">
      <c r="A20" s="6" t="s">
        <v>320</v>
      </c>
      <c r="B20" s="6" t="s">
        <v>321</v>
      </c>
      <c r="C20" s="6" t="s">
        <v>322</v>
      </c>
    </row>
    <row r="21" spans="1:7" ht="15" customHeight="1" x14ac:dyDescent="0.3">
      <c r="A21" s="6" t="s">
        <v>323</v>
      </c>
      <c r="B21" s="6" t="s">
        <v>324</v>
      </c>
      <c r="C21" s="6"/>
    </row>
    <row r="22" spans="1:7" ht="45" customHeight="1" x14ac:dyDescent="0.3">
      <c r="A22" s="6" t="s">
        <v>325</v>
      </c>
      <c r="B22" s="6" t="s">
        <v>326</v>
      </c>
      <c r="C22" s="6" t="s">
        <v>327</v>
      </c>
    </row>
    <row r="24" spans="1:7" ht="19.2" customHeight="1" x14ac:dyDescent="0.3">
      <c r="A24" t="s">
        <v>328</v>
      </c>
      <c r="B24" t="s">
        <v>329</v>
      </c>
      <c r="C24" t="s">
        <v>41</v>
      </c>
      <c r="D24" t="s">
        <v>330</v>
      </c>
      <c r="E24" t="s">
        <v>331</v>
      </c>
      <c r="F24" t="s">
        <v>332</v>
      </c>
      <c r="G24" t="s">
        <v>333</v>
      </c>
    </row>
    <row r="25" spans="1:7" ht="15" customHeight="1" x14ac:dyDescent="0.45">
      <c r="A25" s="47" t="s">
        <v>334</v>
      </c>
      <c r="B25" s="42"/>
      <c r="C25" s="42"/>
      <c r="D25" s="42"/>
      <c r="E25" s="42"/>
      <c r="F25" s="42"/>
      <c r="G25" s="42"/>
    </row>
    <row r="26" spans="1:7" ht="15" customHeight="1" x14ac:dyDescent="0.3">
      <c r="A26" s="14" t="s">
        <v>335</v>
      </c>
      <c r="B26" s="6" t="s">
        <v>336</v>
      </c>
      <c r="C26" s="6"/>
    </row>
    <row r="27" spans="1:7" ht="15" x14ac:dyDescent="0.3">
      <c r="A27" s="14" t="s">
        <v>337</v>
      </c>
      <c r="B27" s="6" t="s">
        <v>338</v>
      </c>
      <c r="C27" s="6"/>
    </row>
  </sheetData>
  <autoFilter ref="A3:J13" xr:uid="{00000000-0001-0000-0300-000000000000}"/>
  <mergeCells count="3">
    <mergeCell ref="A16:G16"/>
    <mergeCell ref="A1:G1"/>
    <mergeCell ref="A25:G25"/>
  </mergeCells>
  <conditionalFormatting sqref="D3:D27">
    <cfRule type="containsText" dxfId="81" priority="1" operator="containsText" text="PASS">
      <formula>NOT(ISERROR(SEARCH("PASS",D3)))</formula>
    </cfRule>
  </conditionalFormatting>
  <conditionalFormatting sqref="D3:D27">
    <cfRule type="containsText" dxfId="80" priority="2" operator="containsText" text="DONE">
      <formula>NOT(ISERROR(SEARCH("DONE",D3)))</formula>
    </cfRule>
  </conditionalFormatting>
  <conditionalFormatting sqref="D3:D27">
    <cfRule type="containsText" dxfId="79" priority="3" operator="containsText" text="HEALTHY">
      <formula>NOT(ISERROR(SEARCH("HEALTHY",D3)))</formula>
    </cfRule>
  </conditionalFormatting>
  <conditionalFormatting sqref="D3:D27">
    <cfRule type="containsText" dxfId="78" priority="4" operator="containsText" text="READY">
      <formula>NOT(ISERROR(SEARCH("READY",D3)))</formula>
    </cfRule>
  </conditionalFormatting>
  <conditionalFormatting sqref="D3:D27">
    <cfRule type="containsText" dxfId="77" priority="5" operator="containsText" text="RADIANT">
      <formula>NOT(ISERROR(SEARCH("RADIANT",D3)))</formula>
    </cfRule>
  </conditionalFormatting>
  <conditionalFormatting sqref="D3:D27">
    <cfRule type="containsText" dxfId="76" priority="6" operator="containsText" text="CLEAN">
      <formula>NOT(ISERROR(SEARCH("CLEAN",D3)))</formula>
    </cfRule>
  </conditionalFormatting>
  <conditionalFormatting sqref="D3:D27">
    <cfRule type="containsText" dxfId="75" priority="7" operator="containsText" text="WARN">
      <formula>NOT(ISERROR(SEARCH("WARN",D3)))</formula>
    </cfRule>
  </conditionalFormatting>
  <conditionalFormatting sqref="D3:D27">
    <cfRule type="containsText" dxfId="74" priority="8" operator="containsText" text="PARTIAL">
      <formula>NOT(ISERROR(SEARCH("PARTIAL",D3)))</formula>
    </cfRule>
  </conditionalFormatting>
  <conditionalFormatting sqref="D3:D27">
    <cfRule type="containsText" dxfId="73" priority="9" operator="containsText" text="REQUIRES">
      <formula>NOT(ISERROR(SEARCH("REQUIRES",D3)))</formula>
    </cfRule>
  </conditionalFormatting>
  <conditionalFormatting sqref="D3:D27">
    <cfRule type="containsText" dxfId="72" priority="10" operator="containsText" text="IN PROGRESS">
      <formula>NOT(ISERROR(SEARCH("IN PROGRESS",D3)))</formula>
    </cfRule>
  </conditionalFormatting>
  <conditionalFormatting sqref="D3:D27">
    <cfRule type="containsText" dxfId="71" priority="11" operator="containsText" text="UPCOMING">
      <formula>NOT(ISERROR(SEARCH("UPCOMING",D3)))</formula>
    </cfRule>
  </conditionalFormatting>
  <conditionalFormatting sqref="D3:D27">
    <cfRule type="containsText" dxfId="70" priority="12" operator="containsText" text="NOT DONE">
      <formula>NOT(ISERROR(SEARCH("NOT DONE",D3)))</formula>
    </cfRule>
  </conditionalFormatting>
  <conditionalFormatting sqref="D3:D27">
    <cfRule type="containsText" dxfId="69" priority="13" operator="containsText" text="NOT STARTED">
      <formula>NOT(ISERROR(SEARCH("NOT STARTED",D3)))</formula>
    </cfRule>
  </conditionalFormatting>
  <conditionalFormatting sqref="D3:D27">
    <cfRule type="containsText" dxfId="68" priority="14" operator="containsText" text="BLOCKED">
      <formula>NOT(ISERROR(SEARCH("BLOCKED",D3)))</formula>
    </cfRule>
  </conditionalFormatting>
  <conditionalFormatting sqref="D3:D27">
    <cfRule type="containsText" dxfId="67" priority="15" operator="containsText" text="CRITICAL">
      <formula>NOT(ISERROR(SEARCH("CRITICAL",D3)))</formula>
    </cfRule>
  </conditionalFormatting>
  <conditionalFormatting sqref="I4:I13">
    <cfRule type="containsText" dxfId="6" priority="16" operator="containsText" text="Bachelor">
      <formula>NOT(ISERROR(SEARCH("Bachelor",I4)))</formula>
    </cfRule>
  </conditionalFormatting>
  <conditionalFormatting sqref="I4:I13">
    <cfRule type="containsText" dxfId="5" priority="17" operator="containsText" text="Master">
      <formula>NOT(ISERROR(SEARCH("Master",I4)))</formula>
    </cfRule>
  </conditionalFormatting>
  <conditionalFormatting sqref="I4:I13">
    <cfRule type="containsText" dxfId="4" priority="18" operator="containsText" text="PhD">
      <formula>NOT(ISERROR(SEARCH("PhD",I4)))</formula>
    </cfRule>
  </conditionalFormatting>
  <dataValidations count="2">
    <dataValidation type="list" allowBlank="1" sqref="F4:F13" xr:uid="{00000000-0002-0000-0300-000000000000}">
      <formula1>"Not yet integrated,In progress,Integrated,N/A"</formula1>
    </dataValidation>
    <dataValidation type="list" allowBlank="1" showInputMessage="1" showErrorMessage="1" promptTitle="Academic Scope" prompt="Select the academic level this artifact targets" sqref="I4:I13" xr:uid="{461D2DEA-9866-49AA-AA70-F0F7ACAE251B}">
      <formula1>"Bachelor,Master,PhD"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C6BC0"/>
  </sheetPr>
  <dimension ref="A1:F23"/>
  <sheetViews>
    <sheetView workbookViewId="0">
      <pane ySplit="1" topLeftCell="A2" activePane="bottomLeft" state="frozen"/>
      <selection pane="bottomLeft" activeCell="B17" sqref="B17"/>
    </sheetView>
  </sheetViews>
  <sheetFormatPr defaultRowHeight="14.4" x14ac:dyDescent="0.3"/>
  <cols>
    <col min="1" max="1" width="26" bestFit="1" customWidth="1"/>
    <col min="2" max="2" width="20" customWidth="1"/>
    <col min="3" max="3" width="8" customWidth="1"/>
    <col min="4" max="4" width="42" customWidth="1"/>
    <col min="5" max="5" width="14" customWidth="1"/>
    <col min="6" max="6" width="38" customWidth="1"/>
  </cols>
  <sheetData>
    <row r="1" spans="1:6" ht="16.8" customHeight="1" x14ac:dyDescent="0.3">
      <c r="A1" s="4" t="s">
        <v>339</v>
      </c>
      <c r="B1" s="4" t="s">
        <v>340</v>
      </c>
      <c r="C1" s="4" t="s">
        <v>341</v>
      </c>
      <c r="D1" s="4" t="s">
        <v>342</v>
      </c>
      <c r="E1" s="4" t="s">
        <v>60</v>
      </c>
      <c r="F1" s="4" t="s">
        <v>63</v>
      </c>
    </row>
    <row r="2" spans="1:6" ht="15" customHeight="1" x14ac:dyDescent="0.3">
      <c r="A2" s="6" t="s">
        <v>343</v>
      </c>
      <c r="B2" s="6" t="s">
        <v>344</v>
      </c>
      <c r="C2" s="5" t="s">
        <v>345</v>
      </c>
      <c r="D2" s="6" t="s">
        <v>346</v>
      </c>
      <c r="E2" s="7" t="s">
        <v>347</v>
      </c>
      <c r="F2" s="6" t="s">
        <v>348</v>
      </c>
    </row>
    <row r="3" spans="1:6" ht="15" customHeight="1" x14ac:dyDescent="0.3">
      <c r="A3" s="6" t="s">
        <v>349</v>
      </c>
      <c r="B3" s="6" t="s">
        <v>350</v>
      </c>
      <c r="C3" s="5" t="s">
        <v>351</v>
      </c>
      <c r="D3" s="6" t="s">
        <v>352</v>
      </c>
      <c r="E3" s="7" t="s">
        <v>347</v>
      </c>
      <c r="F3" s="6" t="s">
        <v>353</v>
      </c>
    </row>
    <row r="4" spans="1:6" ht="30" customHeight="1" x14ac:dyDescent="0.3">
      <c r="A4" s="6" t="s">
        <v>354</v>
      </c>
      <c r="B4" s="6" t="s">
        <v>355</v>
      </c>
      <c r="C4" s="5" t="s">
        <v>356</v>
      </c>
      <c r="D4" s="6" t="s">
        <v>357</v>
      </c>
      <c r="E4" s="7" t="s">
        <v>347</v>
      </c>
      <c r="F4" s="6" t="s">
        <v>358</v>
      </c>
    </row>
    <row r="5" spans="1:6" ht="15" customHeight="1" x14ac:dyDescent="0.3">
      <c r="A5" s="6" t="s">
        <v>359</v>
      </c>
      <c r="B5" s="6" t="s">
        <v>360</v>
      </c>
      <c r="C5" s="5" t="s">
        <v>361</v>
      </c>
      <c r="D5" s="6" t="s">
        <v>362</v>
      </c>
      <c r="E5" s="7" t="s">
        <v>347</v>
      </c>
      <c r="F5" s="6" t="s">
        <v>363</v>
      </c>
    </row>
    <row r="6" spans="1:6" ht="15" customHeight="1" x14ac:dyDescent="0.3">
      <c r="A6" s="6" t="s">
        <v>364</v>
      </c>
      <c r="B6" s="6" t="s">
        <v>365</v>
      </c>
      <c r="C6" s="5" t="s">
        <v>356</v>
      </c>
      <c r="D6" s="6" t="s">
        <v>366</v>
      </c>
      <c r="E6" s="7" t="s">
        <v>347</v>
      </c>
      <c r="F6" s="6"/>
    </row>
    <row r="7" spans="1:6" ht="15" customHeight="1" x14ac:dyDescent="0.3">
      <c r="A7" s="6" t="s">
        <v>367</v>
      </c>
      <c r="B7" s="6" t="s">
        <v>368</v>
      </c>
      <c r="C7" s="5" t="s">
        <v>361</v>
      </c>
      <c r="D7" s="6" t="s">
        <v>369</v>
      </c>
      <c r="E7" s="7" t="s">
        <v>347</v>
      </c>
      <c r="F7" s="6" t="s">
        <v>370</v>
      </c>
    </row>
    <row r="8" spans="1:6" ht="15" customHeight="1" x14ac:dyDescent="0.3">
      <c r="A8" s="6" t="s">
        <v>371</v>
      </c>
      <c r="B8" s="6" t="s">
        <v>372</v>
      </c>
      <c r="C8" s="5" t="s">
        <v>373</v>
      </c>
      <c r="D8" s="6" t="s">
        <v>374</v>
      </c>
      <c r="E8" s="7" t="s">
        <v>347</v>
      </c>
      <c r="F8" s="6" t="s">
        <v>375</v>
      </c>
    </row>
    <row r="9" spans="1:6" ht="15" customHeight="1" x14ac:dyDescent="0.3">
      <c r="A9" s="6" t="s">
        <v>376</v>
      </c>
      <c r="B9" s="6" t="s">
        <v>377</v>
      </c>
      <c r="C9" s="5" t="s">
        <v>351</v>
      </c>
      <c r="D9" s="6" t="s">
        <v>378</v>
      </c>
      <c r="E9" s="7" t="s">
        <v>347</v>
      </c>
      <c r="F9" s="6" t="s">
        <v>379</v>
      </c>
    </row>
    <row r="10" spans="1:6" ht="15" customHeight="1" x14ac:dyDescent="0.3">
      <c r="A10" s="6" t="s">
        <v>380</v>
      </c>
      <c r="B10" s="6" t="s">
        <v>381</v>
      </c>
      <c r="C10" s="5" t="s">
        <v>382</v>
      </c>
      <c r="D10" s="6" t="s">
        <v>383</v>
      </c>
      <c r="E10" s="7" t="s">
        <v>347</v>
      </c>
      <c r="F10" s="6" t="s">
        <v>384</v>
      </c>
    </row>
    <row r="11" spans="1:6" ht="15" customHeight="1" x14ac:dyDescent="0.3">
      <c r="A11" s="6" t="s">
        <v>385</v>
      </c>
      <c r="B11" s="6" t="s">
        <v>386</v>
      </c>
      <c r="C11" s="5" t="s">
        <v>387</v>
      </c>
      <c r="D11" s="6" t="s">
        <v>388</v>
      </c>
      <c r="E11" s="7" t="s">
        <v>347</v>
      </c>
      <c r="F11" s="6"/>
    </row>
    <row r="12" spans="1:6" ht="15" customHeight="1" x14ac:dyDescent="0.3">
      <c r="A12" s="6" t="s">
        <v>389</v>
      </c>
      <c r="B12" s="6" t="s">
        <v>390</v>
      </c>
      <c r="C12" s="5" t="s">
        <v>361</v>
      </c>
      <c r="D12" s="6" t="s">
        <v>391</v>
      </c>
      <c r="E12" s="7" t="s">
        <v>347</v>
      </c>
      <c r="F12" s="6"/>
    </row>
    <row r="13" spans="1:6" ht="15" customHeight="1" x14ac:dyDescent="0.3">
      <c r="A13" s="6" t="s">
        <v>4</v>
      </c>
      <c r="B13" s="6" t="s">
        <v>392</v>
      </c>
      <c r="C13" s="5" t="s">
        <v>393</v>
      </c>
      <c r="D13" s="6" t="s">
        <v>394</v>
      </c>
      <c r="E13" s="7" t="s">
        <v>100</v>
      </c>
      <c r="F13" s="6" t="s">
        <v>395</v>
      </c>
    </row>
    <row r="14" spans="1:6" ht="15" customHeight="1" x14ac:dyDescent="0.3">
      <c r="A14" s="6" t="s">
        <v>396</v>
      </c>
      <c r="B14" s="6" t="s">
        <v>397</v>
      </c>
      <c r="C14" s="5" t="s">
        <v>398</v>
      </c>
      <c r="D14" s="6" t="s">
        <v>399</v>
      </c>
      <c r="E14" s="7" t="s">
        <v>347</v>
      </c>
      <c r="F14" s="6" t="s">
        <v>400</v>
      </c>
    </row>
    <row r="15" spans="1:6" ht="15" customHeight="1" x14ac:dyDescent="0.3">
      <c r="A15" s="6" t="s">
        <v>72</v>
      </c>
      <c r="B15" s="6" t="s">
        <v>401</v>
      </c>
      <c r="C15" s="5" t="s">
        <v>402</v>
      </c>
      <c r="D15" s="6" t="s">
        <v>403</v>
      </c>
      <c r="E15" s="8" t="s">
        <v>73</v>
      </c>
      <c r="F15" s="6" t="s">
        <v>404</v>
      </c>
    </row>
    <row r="16" spans="1:6" ht="30" customHeight="1" x14ac:dyDescent="0.3">
      <c r="A16" s="6" t="s">
        <v>405</v>
      </c>
      <c r="B16" s="6" t="s">
        <v>406</v>
      </c>
      <c r="C16" s="5" t="s">
        <v>345</v>
      </c>
      <c r="D16" s="6" t="s">
        <v>407</v>
      </c>
      <c r="E16" s="7" t="s">
        <v>347</v>
      </c>
      <c r="F16" s="6" t="s">
        <v>408</v>
      </c>
    </row>
    <row r="18" spans="1:6" ht="15" customHeight="1" x14ac:dyDescent="0.3">
      <c r="A18" t="s">
        <v>409</v>
      </c>
      <c r="B18" t="s">
        <v>410</v>
      </c>
      <c r="C18">
        <v>1</v>
      </c>
      <c r="D18" t="s">
        <v>411</v>
      </c>
      <c r="E18" t="s">
        <v>347</v>
      </c>
      <c r="F18" t="s">
        <v>412</v>
      </c>
    </row>
    <row r="19" spans="1:6" x14ac:dyDescent="0.3">
      <c r="A19" t="s">
        <v>413</v>
      </c>
      <c r="B19" t="s">
        <v>410</v>
      </c>
      <c r="C19">
        <v>1</v>
      </c>
      <c r="D19" t="s">
        <v>414</v>
      </c>
      <c r="E19" t="s">
        <v>347</v>
      </c>
      <c r="F19" t="s">
        <v>415</v>
      </c>
    </row>
    <row r="20" spans="1:6" x14ac:dyDescent="0.3">
      <c r="A20" t="s">
        <v>416</v>
      </c>
      <c r="B20" t="s">
        <v>410</v>
      </c>
      <c r="C20">
        <v>1</v>
      </c>
      <c r="D20" t="s">
        <v>417</v>
      </c>
      <c r="E20" t="s">
        <v>347</v>
      </c>
      <c r="F20" t="s">
        <v>418</v>
      </c>
    </row>
    <row r="21" spans="1:6" x14ac:dyDescent="0.3">
      <c r="A21" t="s">
        <v>419</v>
      </c>
      <c r="B21" t="s">
        <v>410</v>
      </c>
      <c r="C21">
        <v>1</v>
      </c>
      <c r="D21" t="s">
        <v>420</v>
      </c>
      <c r="E21" t="s">
        <v>347</v>
      </c>
      <c r="F21" t="s">
        <v>421</v>
      </c>
    </row>
    <row r="22" spans="1:6" x14ac:dyDescent="0.3">
      <c r="A22" t="s">
        <v>422</v>
      </c>
      <c r="B22" t="s">
        <v>401</v>
      </c>
      <c r="C22">
        <v>1</v>
      </c>
      <c r="D22" t="s">
        <v>423</v>
      </c>
      <c r="E22" t="s">
        <v>347</v>
      </c>
      <c r="F22" t="s">
        <v>424</v>
      </c>
    </row>
    <row r="23" spans="1:6" ht="15" x14ac:dyDescent="0.35">
      <c r="A23" s="48" t="s">
        <v>425</v>
      </c>
      <c r="B23" s="42"/>
      <c r="C23" s="42"/>
      <c r="D23" s="42"/>
      <c r="E23" s="42"/>
      <c r="F23" s="42"/>
    </row>
  </sheetData>
  <mergeCells count="1">
    <mergeCell ref="A23:F23"/>
  </mergeCells>
  <conditionalFormatting sqref="E2:E22">
    <cfRule type="containsText" dxfId="66" priority="1" operator="containsText" text="PASS">
      <formula>NOT(ISERROR(SEARCH("PASS",E2)))</formula>
    </cfRule>
  </conditionalFormatting>
  <conditionalFormatting sqref="E2:E22">
    <cfRule type="containsText" dxfId="65" priority="2" operator="containsText" text="DONE">
      <formula>NOT(ISERROR(SEARCH("DONE",E2)))</formula>
    </cfRule>
  </conditionalFormatting>
  <conditionalFormatting sqref="E2:E22">
    <cfRule type="containsText" dxfId="64" priority="3" operator="containsText" text="HEALTHY">
      <formula>NOT(ISERROR(SEARCH("HEALTHY",E2)))</formula>
    </cfRule>
  </conditionalFormatting>
  <conditionalFormatting sqref="E2:E22">
    <cfRule type="containsText" dxfId="63" priority="4" operator="containsText" text="READY">
      <formula>NOT(ISERROR(SEARCH("READY",E2)))</formula>
    </cfRule>
  </conditionalFormatting>
  <conditionalFormatting sqref="E2:E22">
    <cfRule type="containsText" dxfId="62" priority="5" operator="containsText" text="RADIANT">
      <formula>NOT(ISERROR(SEARCH("RADIANT",E2)))</formula>
    </cfRule>
  </conditionalFormatting>
  <conditionalFormatting sqref="E2:E22">
    <cfRule type="containsText" dxfId="61" priority="6" operator="containsText" text="CLEAN">
      <formula>NOT(ISERROR(SEARCH("CLEAN",E2)))</formula>
    </cfRule>
  </conditionalFormatting>
  <conditionalFormatting sqref="E2:E22">
    <cfRule type="containsText" dxfId="60" priority="7" operator="containsText" text="WARN">
      <formula>NOT(ISERROR(SEARCH("WARN",E2)))</formula>
    </cfRule>
  </conditionalFormatting>
  <conditionalFormatting sqref="E2:E22">
    <cfRule type="containsText" dxfId="59" priority="8" operator="containsText" text="PARTIAL">
      <formula>NOT(ISERROR(SEARCH("PARTIAL",E2)))</formula>
    </cfRule>
  </conditionalFormatting>
  <conditionalFormatting sqref="E2:E22">
    <cfRule type="containsText" dxfId="58" priority="9" operator="containsText" text="REQUIRES">
      <formula>NOT(ISERROR(SEARCH("REQUIRES",E2)))</formula>
    </cfRule>
  </conditionalFormatting>
  <conditionalFormatting sqref="E2:E22">
    <cfRule type="containsText" dxfId="57" priority="10" operator="containsText" text="IN PROGRESS">
      <formula>NOT(ISERROR(SEARCH("IN PROGRESS",E2)))</formula>
    </cfRule>
  </conditionalFormatting>
  <conditionalFormatting sqref="E2:E22">
    <cfRule type="containsText" dxfId="56" priority="11" operator="containsText" text="UPCOMING">
      <formula>NOT(ISERROR(SEARCH("UPCOMING",E2)))</formula>
    </cfRule>
  </conditionalFormatting>
  <conditionalFormatting sqref="E2:E22">
    <cfRule type="containsText" dxfId="55" priority="12" operator="containsText" text="NOT DONE">
      <formula>NOT(ISERROR(SEARCH("NOT DONE",E2)))</formula>
    </cfRule>
  </conditionalFormatting>
  <conditionalFormatting sqref="E2:E22">
    <cfRule type="containsText" dxfId="54" priority="13" operator="containsText" text="NOT STARTED">
      <formula>NOT(ISERROR(SEARCH("NOT STARTED",E2)))</formula>
    </cfRule>
  </conditionalFormatting>
  <conditionalFormatting sqref="E2:E22">
    <cfRule type="containsText" dxfId="53" priority="14" operator="containsText" text="BLOCKED">
      <formula>NOT(ISERROR(SEARCH("BLOCKED",E2)))</formula>
    </cfRule>
  </conditionalFormatting>
  <conditionalFormatting sqref="E2:E22">
    <cfRule type="containsText" dxfId="52" priority="15" operator="containsText" text="CRITICAL">
      <formula>NOT(ISERROR(SEARCH("CRITICAL",E2)))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C407A"/>
  </sheetPr>
  <dimension ref="A1:N26"/>
  <sheetViews>
    <sheetView tabSelected="1" topLeftCell="F1" zoomScale="91" workbookViewId="0">
      <pane ySplit="1" topLeftCell="A2" activePane="bottomLeft" state="frozen"/>
      <selection pane="bottomLeft" activeCell="L1" sqref="L1:N10"/>
    </sheetView>
  </sheetViews>
  <sheetFormatPr defaultRowHeight="14.4" x14ac:dyDescent="0.3"/>
  <cols>
    <col min="1" max="1" width="14" customWidth="1"/>
    <col min="2" max="2" width="25" customWidth="1"/>
    <col min="3" max="3" width="40" customWidth="1"/>
    <col min="4" max="5" width="12" customWidth="1"/>
    <col min="6" max="6" width="16" customWidth="1"/>
    <col min="7" max="7" width="30" customWidth="1"/>
    <col min="9" max="9" width="18.21875" bestFit="1" customWidth="1"/>
    <col min="10" max="10" width="11.5546875" bestFit="1" customWidth="1"/>
    <col min="12" max="12" width="11.21875" bestFit="1" customWidth="1"/>
    <col min="13" max="13" width="7.21875" bestFit="1" customWidth="1"/>
    <col min="14" max="14" width="15.109375" bestFit="1" customWidth="1"/>
  </cols>
  <sheetData>
    <row r="1" spans="1:14" ht="16.8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s="192" t="s">
        <v>708</v>
      </c>
      <c r="J1" s="80"/>
      <c r="L1" s="203" t="s">
        <v>0</v>
      </c>
      <c r="M1" s="203" t="s">
        <v>715</v>
      </c>
      <c r="N1" s="203" t="s">
        <v>716</v>
      </c>
    </row>
    <row r="2" spans="1:14" ht="15" customHeight="1" x14ac:dyDescent="0.45">
      <c r="A2" s="199">
        <v>46123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10</v>
      </c>
      <c r="G2" s="20" t="s">
        <v>12</v>
      </c>
      <c r="I2" s="193" t="s">
        <v>709</v>
      </c>
      <c r="J2" s="194">
        <f>COUNTA(A2:A25)</f>
        <v>9</v>
      </c>
      <c r="L2" s="201">
        <v>46053</v>
      </c>
      <c r="M2">
        <v>1</v>
      </c>
      <c r="N2">
        <v>1</v>
      </c>
    </row>
    <row r="3" spans="1:14" ht="30" customHeight="1" x14ac:dyDescent="0.35">
      <c r="A3" s="199">
        <v>46119</v>
      </c>
      <c r="B3" s="20" t="s">
        <v>14</v>
      </c>
      <c r="C3" s="20" t="s">
        <v>15</v>
      </c>
      <c r="D3" s="20" t="s">
        <v>16</v>
      </c>
      <c r="E3" s="20" t="s">
        <v>11</v>
      </c>
      <c r="F3" s="20" t="s">
        <v>17</v>
      </c>
      <c r="G3" s="20" t="s">
        <v>18</v>
      </c>
      <c r="I3" s="193" t="s">
        <v>710</v>
      </c>
      <c r="J3" s="195" t="str">
        <f>TEXT(MAX(A2:A25),"MMM D, YYYY")</f>
        <v>Apr 15, 2026</v>
      </c>
      <c r="L3" s="201">
        <v>46054</v>
      </c>
      <c r="M3">
        <v>1</v>
      </c>
      <c r="N3">
        <v>2</v>
      </c>
    </row>
    <row r="4" spans="1:14" ht="30" customHeight="1" x14ac:dyDescent="0.45">
      <c r="A4" s="199">
        <v>46095</v>
      </c>
      <c r="B4" s="20" t="s">
        <v>20</v>
      </c>
      <c r="C4" s="20" t="s">
        <v>21</v>
      </c>
      <c r="D4" s="20" t="s">
        <v>22</v>
      </c>
      <c r="E4" s="20" t="s">
        <v>10</v>
      </c>
      <c r="F4" s="20" t="s">
        <v>10</v>
      </c>
      <c r="G4" s="20" t="s">
        <v>23</v>
      </c>
      <c r="I4" s="193" t="s">
        <v>711</v>
      </c>
      <c r="J4" s="196">
        <f ca="1">TODAY()-MAX(A2:A25)</f>
        <v>1</v>
      </c>
      <c r="L4" s="201">
        <v>46061</v>
      </c>
      <c r="M4">
        <v>1</v>
      </c>
      <c r="N4">
        <v>3</v>
      </c>
    </row>
    <row r="5" spans="1:14" ht="15" customHeight="1" x14ac:dyDescent="0.35">
      <c r="A5" s="199">
        <v>46095</v>
      </c>
      <c r="B5" s="20" t="s">
        <v>24</v>
      </c>
      <c r="C5" s="20" t="s">
        <v>25</v>
      </c>
      <c r="D5" s="20" t="s">
        <v>26</v>
      </c>
      <c r="E5" s="20" t="s">
        <v>10</v>
      </c>
      <c r="F5" s="20" t="s">
        <v>10</v>
      </c>
      <c r="G5" s="20"/>
      <c r="I5" s="193" t="s">
        <v>712</v>
      </c>
      <c r="J5" s="202">
        <f>IFERROR(ROUND((MAX(A2:A25)-MIN(A2:A25))/(COUNTA(A2:A25)-1),1),"—")</f>
        <v>9.3000000000000007</v>
      </c>
      <c r="L5" s="201">
        <v>46069</v>
      </c>
      <c r="M5">
        <v>1</v>
      </c>
      <c r="N5">
        <v>4</v>
      </c>
    </row>
    <row r="6" spans="1:14" ht="15" customHeight="1" x14ac:dyDescent="0.45">
      <c r="A6" s="199">
        <v>46069</v>
      </c>
      <c r="B6" s="20" t="s">
        <v>27</v>
      </c>
      <c r="C6" s="20" t="s">
        <v>28</v>
      </c>
      <c r="D6" s="20" t="s">
        <v>10</v>
      </c>
      <c r="E6" s="20" t="s">
        <v>10</v>
      </c>
      <c r="F6" s="20" t="s">
        <v>10</v>
      </c>
      <c r="G6" s="20" t="s">
        <v>29</v>
      </c>
      <c r="I6" s="193" t="s">
        <v>713</v>
      </c>
      <c r="J6" s="197">
        <f ca="1">DATE(2026,6,1)-TODAY()</f>
        <v>46</v>
      </c>
      <c r="L6" s="201">
        <v>46095</v>
      </c>
      <c r="M6">
        <v>1</v>
      </c>
      <c r="N6">
        <v>5</v>
      </c>
    </row>
    <row r="7" spans="1:14" ht="30" customHeight="1" x14ac:dyDescent="0.35">
      <c r="A7" s="199">
        <v>46061</v>
      </c>
      <c r="B7" s="20" t="s">
        <v>31</v>
      </c>
      <c r="C7" s="20" t="s">
        <v>32</v>
      </c>
      <c r="D7" s="20" t="s">
        <v>33</v>
      </c>
      <c r="E7" s="20" t="s">
        <v>10</v>
      </c>
      <c r="F7" s="20" t="s">
        <v>10</v>
      </c>
      <c r="G7" s="20" t="s">
        <v>34</v>
      </c>
      <c r="I7" s="193" t="s">
        <v>714</v>
      </c>
      <c r="J7" s="198">
        <f ca="1">IFERROR(ROUND((DATE(2026,6,1)-TODAY())/J5,0),"—")</f>
        <v>5</v>
      </c>
      <c r="L7" s="201">
        <v>46095</v>
      </c>
      <c r="M7">
        <v>1</v>
      </c>
      <c r="N7">
        <v>6</v>
      </c>
    </row>
    <row r="8" spans="1:14" ht="15" customHeight="1" x14ac:dyDescent="0.3">
      <c r="A8" s="199">
        <v>46054</v>
      </c>
      <c r="B8" s="20" t="s">
        <v>35</v>
      </c>
      <c r="C8" s="20" t="s">
        <v>36</v>
      </c>
      <c r="D8" s="20" t="s">
        <v>10</v>
      </c>
      <c r="E8" s="20" t="s">
        <v>10</v>
      </c>
      <c r="F8" s="20" t="s">
        <v>10</v>
      </c>
      <c r="G8" s="20" t="s">
        <v>37</v>
      </c>
      <c r="L8" s="201">
        <v>46119</v>
      </c>
      <c r="M8">
        <v>1</v>
      </c>
      <c r="N8">
        <v>7</v>
      </c>
    </row>
    <row r="9" spans="1:14" ht="15" customHeight="1" x14ac:dyDescent="0.3">
      <c r="A9" s="199">
        <v>46053</v>
      </c>
      <c r="B9" s="20" t="s">
        <v>38</v>
      </c>
      <c r="C9" s="20" t="s">
        <v>39</v>
      </c>
      <c r="D9" s="20" t="s">
        <v>40</v>
      </c>
      <c r="E9" s="20" t="s">
        <v>10</v>
      </c>
      <c r="F9" s="20" t="s">
        <v>10</v>
      </c>
      <c r="G9" s="20"/>
      <c r="L9" s="201">
        <v>46123</v>
      </c>
      <c r="M9">
        <v>1</v>
      </c>
      <c r="N9">
        <v>8</v>
      </c>
    </row>
    <row r="10" spans="1:14" ht="15" customHeight="1" x14ac:dyDescent="0.3">
      <c r="A10" s="200">
        <v>46127</v>
      </c>
      <c r="B10" s="6" t="s">
        <v>42</v>
      </c>
      <c r="C10" s="6" t="s">
        <v>43</v>
      </c>
      <c r="D10" s="6" t="s">
        <v>44</v>
      </c>
      <c r="E10" s="6" t="s">
        <v>45</v>
      </c>
      <c r="F10" s="6" t="s">
        <v>46</v>
      </c>
      <c r="G10" s="6" t="s">
        <v>47</v>
      </c>
      <c r="L10" s="201">
        <v>46127</v>
      </c>
      <c r="M10">
        <v>1</v>
      </c>
      <c r="N10">
        <v>9</v>
      </c>
    </row>
    <row r="11" spans="1:14" ht="15" customHeight="1" x14ac:dyDescent="0.3">
      <c r="A11" s="200"/>
      <c r="B11" s="6"/>
      <c r="C11" s="6"/>
      <c r="D11" s="6"/>
      <c r="E11" s="6"/>
      <c r="F11" s="6"/>
      <c r="G11" s="6"/>
    </row>
    <row r="12" spans="1:14" ht="15" customHeight="1" x14ac:dyDescent="0.3">
      <c r="A12" s="200"/>
      <c r="B12" s="6"/>
      <c r="C12" s="6"/>
      <c r="D12" s="6"/>
      <c r="E12" s="6"/>
      <c r="F12" s="6"/>
      <c r="G12" s="6"/>
    </row>
    <row r="13" spans="1:14" ht="15" customHeight="1" x14ac:dyDescent="0.3">
      <c r="A13" s="200"/>
      <c r="B13" s="6"/>
      <c r="C13" s="6"/>
      <c r="D13" s="6"/>
      <c r="E13" s="6"/>
      <c r="F13" s="6"/>
      <c r="G13" s="6"/>
    </row>
    <row r="14" spans="1:14" ht="15" customHeight="1" x14ac:dyDescent="0.3">
      <c r="A14" s="200"/>
      <c r="B14" s="6"/>
      <c r="C14" s="6"/>
      <c r="D14" s="6"/>
      <c r="E14" s="6"/>
      <c r="F14" s="6"/>
      <c r="G14" s="6"/>
    </row>
    <row r="15" spans="1:14" ht="15" customHeight="1" x14ac:dyDescent="0.3">
      <c r="A15" s="200"/>
      <c r="B15" s="6"/>
      <c r="C15" s="6"/>
      <c r="D15" s="6"/>
      <c r="E15" s="6"/>
      <c r="F15" s="6"/>
      <c r="G15" s="6"/>
    </row>
    <row r="16" spans="1:14" ht="15" customHeight="1" x14ac:dyDescent="0.3">
      <c r="A16" s="200"/>
      <c r="B16" s="6"/>
      <c r="C16" s="6"/>
      <c r="D16" s="6"/>
      <c r="E16" s="6"/>
      <c r="F16" s="6"/>
      <c r="G16" s="6"/>
    </row>
    <row r="17" spans="1:7" ht="15" customHeight="1" x14ac:dyDescent="0.3">
      <c r="A17" s="200"/>
      <c r="B17" s="6"/>
      <c r="C17" s="6"/>
      <c r="D17" s="6"/>
      <c r="E17" s="6"/>
      <c r="F17" s="6"/>
      <c r="G17" s="6"/>
    </row>
    <row r="18" spans="1:7" ht="15" customHeight="1" x14ac:dyDescent="0.3">
      <c r="A18" s="200"/>
      <c r="B18" s="6"/>
      <c r="C18" s="6"/>
      <c r="D18" s="6"/>
      <c r="E18" s="6"/>
      <c r="F18" s="6"/>
      <c r="G18" s="6"/>
    </row>
    <row r="19" spans="1:7" ht="15" customHeight="1" x14ac:dyDescent="0.3">
      <c r="A19" s="200"/>
      <c r="B19" s="6"/>
      <c r="C19" s="6"/>
      <c r="D19" s="6"/>
      <c r="E19" s="6"/>
      <c r="F19" s="6"/>
      <c r="G19" s="6"/>
    </row>
    <row r="20" spans="1:7" ht="15" customHeight="1" x14ac:dyDescent="0.3">
      <c r="A20" s="200"/>
      <c r="B20" s="6"/>
      <c r="C20" s="6"/>
      <c r="D20" s="6"/>
      <c r="E20" s="6"/>
      <c r="F20" s="6"/>
      <c r="G20" s="6"/>
    </row>
    <row r="21" spans="1:7" ht="15" customHeight="1" x14ac:dyDescent="0.3">
      <c r="A21" s="200"/>
      <c r="B21" s="6"/>
      <c r="C21" s="6"/>
      <c r="D21" s="6"/>
      <c r="E21" s="6"/>
      <c r="F21" s="6"/>
      <c r="G21" s="6"/>
    </row>
    <row r="22" spans="1:7" ht="15" customHeight="1" x14ac:dyDescent="0.3">
      <c r="A22" s="200"/>
      <c r="B22" s="6"/>
      <c r="C22" s="6"/>
      <c r="D22" s="6"/>
      <c r="E22" s="6"/>
      <c r="F22" s="6"/>
      <c r="G22" s="6"/>
    </row>
    <row r="23" spans="1:7" ht="15" customHeight="1" x14ac:dyDescent="0.3">
      <c r="A23" s="200"/>
      <c r="B23" s="6"/>
      <c r="C23" s="6"/>
      <c r="D23" s="6"/>
      <c r="E23" s="6"/>
      <c r="F23" s="6"/>
      <c r="G23" s="6"/>
    </row>
    <row r="24" spans="1:7" ht="15" customHeight="1" x14ac:dyDescent="0.3">
      <c r="A24" s="200"/>
      <c r="B24" s="6"/>
      <c r="C24" s="6"/>
      <c r="D24" s="6"/>
      <c r="E24" s="6"/>
      <c r="F24" s="6"/>
      <c r="G24" s="6"/>
    </row>
    <row r="25" spans="1:7" x14ac:dyDescent="0.3">
      <c r="A25" s="201"/>
    </row>
    <row r="26" spans="1:7" x14ac:dyDescent="0.3">
      <c r="A26" s="41" t="s">
        <v>48</v>
      </c>
      <c r="B26" s="42"/>
      <c r="C26" s="42"/>
      <c r="D26" s="42"/>
      <c r="E26" s="42"/>
      <c r="F26" s="42"/>
      <c r="G26" s="42"/>
    </row>
  </sheetData>
  <mergeCells count="1">
    <mergeCell ref="A26:G26"/>
  </mergeCells>
  <dataValidations count="1">
    <dataValidation type="list" allowBlank="1" sqref="F2:F24" xr:uid="{00000000-0002-0000-0500-000000000000}">
      <formula1>"RADIANT,CLEAN,NEEDS FIXES,BLOCKED,—"</formula1>
    </dataValidation>
  </dataValidation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6F00"/>
  </sheetPr>
  <dimension ref="A1:H69"/>
  <sheetViews>
    <sheetView workbookViewId="0">
      <pane ySplit="4" topLeftCell="A5" activePane="bottomLeft" state="frozen"/>
      <selection pane="bottomLeft" sqref="A1:H1"/>
    </sheetView>
  </sheetViews>
  <sheetFormatPr defaultRowHeight="14.4" x14ac:dyDescent="0.3"/>
  <cols>
    <col min="1" max="1" width="12" customWidth="1"/>
    <col min="2" max="2" width="35" customWidth="1"/>
    <col min="3" max="3" width="38" customWidth="1"/>
    <col min="4" max="4" width="16" customWidth="1"/>
    <col min="5" max="5" width="35" customWidth="1"/>
    <col min="6" max="6" width="14" customWidth="1"/>
    <col min="7" max="7" width="16.6640625" customWidth="1"/>
    <col min="8" max="8" width="18.5546875" customWidth="1"/>
  </cols>
  <sheetData>
    <row r="1" spans="1:8" ht="24.6" x14ac:dyDescent="0.3">
      <c r="A1" s="55" t="s">
        <v>426</v>
      </c>
      <c r="B1" s="42"/>
      <c r="C1" s="42"/>
      <c r="D1" s="42"/>
      <c r="E1" s="42"/>
      <c r="F1" s="42"/>
      <c r="G1" s="42"/>
      <c r="H1" s="42"/>
    </row>
    <row r="2" spans="1:8" x14ac:dyDescent="0.3">
      <c r="A2" s="54" t="s">
        <v>427</v>
      </c>
      <c r="B2" s="42"/>
      <c r="C2" s="42"/>
      <c r="D2" s="42"/>
      <c r="E2" s="42"/>
      <c r="F2" s="42"/>
      <c r="G2" s="42"/>
      <c r="H2" s="42"/>
    </row>
    <row r="3" spans="1:8" ht="15" x14ac:dyDescent="0.35">
      <c r="A3" s="81" t="s">
        <v>689</v>
      </c>
      <c r="B3" s="82" t="s">
        <v>690</v>
      </c>
      <c r="C3" s="82" t="s">
        <v>691</v>
      </c>
      <c r="D3" s="82" t="s">
        <v>692</v>
      </c>
      <c r="E3" s="83" t="s">
        <v>693</v>
      </c>
      <c r="F3" s="84" t="s">
        <v>694</v>
      </c>
      <c r="G3" s="83" t="s">
        <v>695</v>
      </c>
      <c r="H3" s="85" t="str">
        <f ca="1">DATE(2026,4,17)-TODAY()&amp;" day(s) away"</f>
        <v>1 day(s) away</v>
      </c>
    </row>
    <row r="4" spans="1:8" x14ac:dyDescent="0.3">
      <c r="A4" s="52" t="s">
        <v>428</v>
      </c>
      <c r="B4" s="50"/>
      <c r="C4" s="50"/>
      <c r="D4" s="50"/>
      <c r="E4" s="50"/>
      <c r="F4" s="50"/>
      <c r="G4" s="50"/>
      <c r="H4" s="51"/>
    </row>
    <row r="5" spans="1:8" ht="16.8" x14ac:dyDescent="0.3">
      <c r="A5" s="22" t="s">
        <v>429</v>
      </c>
      <c r="B5" s="22" t="s">
        <v>430</v>
      </c>
      <c r="C5" s="22" t="s">
        <v>431</v>
      </c>
      <c r="D5" s="22" t="s">
        <v>60</v>
      </c>
      <c r="E5" s="22" t="s">
        <v>432</v>
      </c>
      <c r="F5" s="22" t="s">
        <v>433</v>
      </c>
      <c r="G5" s="22" t="s">
        <v>434</v>
      </c>
      <c r="H5" s="22" t="s">
        <v>63</v>
      </c>
    </row>
    <row r="6" spans="1:8" ht="45" x14ac:dyDescent="0.3">
      <c r="A6" s="25">
        <v>1</v>
      </c>
      <c r="B6" s="33" t="s">
        <v>435</v>
      </c>
      <c r="C6" s="24" t="s">
        <v>436</v>
      </c>
      <c r="D6" s="26" t="s">
        <v>437</v>
      </c>
      <c r="E6" s="24" t="s">
        <v>438</v>
      </c>
      <c r="F6" s="25" t="s">
        <v>439</v>
      </c>
      <c r="G6" s="28" t="s">
        <v>440</v>
      </c>
      <c r="H6" s="24" t="s">
        <v>441</v>
      </c>
    </row>
    <row r="7" spans="1:8" ht="45" x14ac:dyDescent="0.3">
      <c r="A7" s="25">
        <v>2</v>
      </c>
      <c r="B7" s="33" t="s">
        <v>442</v>
      </c>
      <c r="C7" s="24" t="s">
        <v>443</v>
      </c>
      <c r="D7" s="26" t="s">
        <v>437</v>
      </c>
      <c r="E7" s="24" t="s">
        <v>444</v>
      </c>
      <c r="F7" s="25" t="s">
        <v>445</v>
      </c>
      <c r="G7" s="28" t="s">
        <v>440</v>
      </c>
      <c r="H7" s="24" t="s">
        <v>446</v>
      </c>
    </row>
    <row r="8" spans="1:8" ht="45" x14ac:dyDescent="0.3">
      <c r="A8" s="25">
        <v>3</v>
      </c>
      <c r="B8" s="33" t="s">
        <v>447</v>
      </c>
      <c r="C8" s="24" t="s">
        <v>448</v>
      </c>
      <c r="D8" s="28" t="s">
        <v>449</v>
      </c>
      <c r="E8" s="24" t="s">
        <v>450</v>
      </c>
      <c r="F8" s="25" t="s">
        <v>451</v>
      </c>
      <c r="G8" s="25" t="s">
        <v>440</v>
      </c>
      <c r="H8" s="24" t="s">
        <v>452</v>
      </c>
    </row>
    <row r="9" spans="1:8" ht="45" x14ac:dyDescent="0.3">
      <c r="A9" s="25">
        <v>4</v>
      </c>
      <c r="B9" s="33" t="s">
        <v>453</v>
      </c>
      <c r="C9" s="24" t="s">
        <v>454</v>
      </c>
      <c r="D9" s="30" t="s">
        <v>455</v>
      </c>
      <c r="E9" s="24" t="s">
        <v>456</v>
      </c>
      <c r="F9" s="25" t="s">
        <v>451</v>
      </c>
      <c r="G9" s="28" t="s">
        <v>440</v>
      </c>
      <c r="H9" s="24" t="s">
        <v>457</v>
      </c>
    </row>
    <row r="10" spans="1:8" ht="30" x14ac:dyDescent="0.3">
      <c r="A10" s="25">
        <v>5</v>
      </c>
      <c r="B10" s="33" t="s">
        <v>458</v>
      </c>
      <c r="C10" s="24" t="s">
        <v>459</v>
      </c>
      <c r="D10" s="26" t="s">
        <v>437</v>
      </c>
      <c r="E10" s="24" t="s">
        <v>460</v>
      </c>
      <c r="F10" s="25" t="s">
        <v>445</v>
      </c>
      <c r="G10" s="28" t="s">
        <v>440</v>
      </c>
      <c r="H10" s="24" t="s">
        <v>461</v>
      </c>
    </row>
    <row r="11" spans="1:8" ht="30" x14ac:dyDescent="0.3">
      <c r="A11" s="25">
        <v>6</v>
      </c>
      <c r="B11" s="33" t="s">
        <v>462</v>
      </c>
      <c r="C11" s="24" t="s">
        <v>463</v>
      </c>
      <c r="D11" s="30" t="s">
        <v>464</v>
      </c>
      <c r="E11" s="24" t="s">
        <v>465</v>
      </c>
      <c r="F11" s="25" t="s">
        <v>451</v>
      </c>
      <c r="G11" s="25" t="s">
        <v>440</v>
      </c>
      <c r="H11" s="24" t="s">
        <v>466</v>
      </c>
    </row>
    <row r="12" spans="1:8" ht="75" x14ac:dyDescent="0.3">
      <c r="A12" s="25">
        <v>7</v>
      </c>
      <c r="B12" s="33" t="s">
        <v>467</v>
      </c>
      <c r="C12" s="24" t="s">
        <v>468</v>
      </c>
      <c r="D12" s="31" t="s">
        <v>469</v>
      </c>
      <c r="E12" s="24" t="s">
        <v>470</v>
      </c>
      <c r="F12" s="25" t="s">
        <v>471</v>
      </c>
      <c r="G12" s="25" t="s">
        <v>440</v>
      </c>
      <c r="H12" s="24" t="s">
        <v>472</v>
      </c>
    </row>
    <row r="13" spans="1:8" ht="30" x14ac:dyDescent="0.3">
      <c r="A13" s="25">
        <v>8</v>
      </c>
      <c r="B13" s="33" t="s">
        <v>473</v>
      </c>
      <c r="C13" s="24" t="s">
        <v>474</v>
      </c>
      <c r="D13" s="31" t="s">
        <v>475</v>
      </c>
      <c r="E13" s="24" t="s">
        <v>476</v>
      </c>
      <c r="F13" s="25" t="s">
        <v>110</v>
      </c>
      <c r="G13" s="25" t="s">
        <v>440</v>
      </c>
      <c r="H13" s="24" t="s">
        <v>477</v>
      </c>
    </row>
    <row r="15" spans="1:8" x14ac:dyDescent="0.3">
      <c r="A15" s="52" t="s">
        <v>478</v>
      </c>
      <c r="B15" s="50"/>
      <c r="C15" s="50"/>
      <c r="D15" s="50"/>
      <c r="E15" s="50"/>
      <c r="F15" s="50"/>
      <c r="G15" s="50"/>
      <c r="H15" s="51"/>
    </row>
    <row r="16" spans="1:8" ht="30" x14ac:dyDescent="0.3">
      <c r="A16" s="32" t="s">
        <v>479</v>
      </c>
      <c r="B16" s="32" t="s">
        <v>480</v>
      </c>
      <c r="C16" s="32" t="s">
        <v>481</v>
      </c>
      <c r="D16" s="32" t="s">
        <v>60</v>
      </c>
      <c r="E16" s="32" t="s">
        <v>482</v>
      </c>
      <c r="F16" s="32" t="s">
        <v>434</v>
      </c>
      <c r="G16" s="32" t="s">
        <v>483</v>
      </c>
      <c r="H16" s="32" t="s">
        <v>63</v>
      </c>
    </row>
    <row r="17" spans="1:8" ht="30" x14ac:dyDescent="0.3">
      <c r="A17" s="23" t="s">
        <v>484</v>
      </c>
      <c r="B17" s="24" t="s">
        <v>485</v>
      </c>
      <c r="C17" s="25" t="s">
        <v>486</v>
      </c>
      <c r="D17" s="26" t="s">
        <v>437</v>
      </c>
      <c r="E17" s="27" t="s">
        <v>487</v>
      </c>
      <c r="F17" s="25" t="s">
        <v>277</v>
      </c>
      <c r="G17" s="29" t="s">
        <v>488</v>
      </c>
      <c r="H17" s="24" t="s">
        <v>489</v>
      </c>
    </row>
    <row r="18" spans="1:8" ht="52.8" x14ac:dyDescent="0.3">
      <c r="A18" s="23" t="s">
        <v>490</v>
      </c>
      <c r="B18" s="24" t="s">
        <v>491</v>
      </c>
      <c r="C18" s="25" t="s">
        <v>492</v>
      </c>
      <c r="D18" s="26" t="s">
        <v>437</v>
      </c>
      <c r="E18" s="27" t="s">
        <v>487</v>
      </c>
      <c r="F18" s="28" t="s">
        <v>440</v>
      </c>
      <c r="G18" s="29" t="s">
        <v>493</v>
      </c>
      <c r="H18" s="24" t="s">
        <v>494</v>
      </c>
    </row>
    <row r="19" spans="1:8" ht="52.8" x14ac:dyDescent="0.3">
      <c r="A19" s="23" t="s">
        <v>495</v>
      </c>
      <c r="B19" s="24" t="s">
        <v>496</v>
      </c>
      <c r="C19" s="25" t="s">
        <v>497</v>
      </c>
      <c r="D19" s="26" t="s">
        <v>437</v>
      </c>
      <c r="E19" s="27" t="s">
        <v>487</v>
      </c>
      <c r="F19" s="28" t="s">
        <v>440</v>
      </c>
      <c r="G19" s="29" t="s">
        <v>498</v>
      </c>
      <c r="H19" s="24" t="s">
        <v>499</v>
      </c>
    </row>
    <row r="20" spans="1:8" ht="52.8" x14ac:dyDescent="0.3">
      <c r="A20" s="23" t="s">
        <v>451</v>
      </c>
      <c r="B20" s="24" t="s">
        <v>500</v>
      </c>
      <c r="C20" s="25" t="s">
        <v>501</v>
      </c>
      <c r="D20" s="36" t="s">
        <v>464</v>
      </c>
      <c r="E20" s="37" t="s">
        <v>455</v>
      </c>
      <c r="F20" s="28" t="s">
        <v>440</v>
      </c>
      <c r="G20" s="29" t="s">
        <v>502</v>
      </c>
      <c r="H20" s="24" t="s">
        <v>503</v>
      </c>
    </row>
    <row r="21" spans="1:8" ht="52.8" x14ac:dyDescent="0.3">
      <c r="A21" s="23" t="s">
        <v>110</v>
      </c>
      <c r="B21" s="24" t="s">
        <v>504</v>
      </c>
      <c r="C21" s="25" t="s">
        <v>505</v>
      </c>
      <c r="D21" s="38" t="s">
        <v>475</v>
      </c>
      <c r="E21" s="31" t="s">
        <v>440</v>
      </c>
      <c r="F21" s="25" t="s">
        <v>440</v>
      </c>
      <c r="G21" s="29" t="s">
        <v>506</v>
      </c>
      <c r="H21" s="24" t="s">
        <v>507</v>
      </c>
    </row>
    <row r="23" spans="1:8" x14ac:dyDescent="0.3">
      <c r="A23" s="52" t="s">
        <v>508</v>
      </c>
      <c r="B23" s="50"/>
      <c r="C23" s="50"/>
      <c r="D23" s="50"/>
      <c r="E23" s="50"/>
      <c r="F23" s="50"/>
      <c r="G23" s="50"/>
      <c r="H23" s="51"/>
    </row>
    <row r="24" spans="1:8" ht="15" x14ac:dyDescent="0.3">
      <c r="A24" s="32" t="s">
        <v>509</v>
      </c>
      <c r="B24" s="32" t="s">
        <v>510</v>
      </c>
      <c r="C24" s="32" t="s">
        <v>511</v>
      </c>
      <c r="D24" s="32" t="s">
        <v>512</v>
      </c>
      <c r="E24" s="32" t="s">
        <v>513</v>
      </c>
      <c r="F24" s="32" t="s">
        <v>60</v>
      </c>
      <c r="G24" s="32" t="s">
        <v>514</v>
      </c>
      <c r="H24" s="32" t="s">
        <v>63</v>
      </c>
    </row>
    <row r="25" spans="1:8" ht="75" x14ac:dyDescent="0.3">
      <c r="A25" s="28" t="s">
        <v>515</v>
      </c>
      <c r="B25" s="33" t="s">
        <v>516</v>
      </c>
      <c r="C25" s="24" t="s">
        <v>517</v>
      </c>
      <c r="D25" s="24" t="s">
        <v>518</v>
      </c>
      <c r="E25" s="29" t="s">
        <v>519</v>
      </c>
      <c r="F25" s="25" t="s">
        <v>520</v>
      </c>
      <c r="G25" s="25" t="s">
        <v>521</v>
      </c>
      <c r="H25" s="24" t="s">
        <v>522</v>
      </c>
    </row>
    <row r="26" spans="1:8" ht="30" x14ac:dyDescent="0.3">
      <c r="A26" s="28" t="s">
        <v>515</v>
      </c>
      <c r="B26" s="33" t="s">
        <v>523</v>
      </c>
      <c r="C26" s="24" t="s">
        <v>524</v>
      </c>
      <c r="D26" s="24" t="s">
        <v>525</v>
      </c>
      <c r="E26" s="29" t="s">
        <v>526</v>
      </c>
      <c r="F26" s="25" t="s">
        <v>520</v>
      </c>
      <c r="G26" s="25" t="s">
        <v>527</v>
      </c>
      <c r="H26" s="24" t="s">
        <v>528</v>
      </c>
    </row>
    <row r="27" spans="1:8" ht="45" x14ac:dyDescent="0.3">
      <c r="A27" s="28" t="s">
        <v>515</v>
      </c>
      <c r="B27" s="33" t="s">
        <v>529</v>
      </c>
      <c r="C27" s="24" t="s">
        <v>530</v>
      </c>
      <c r="D27" s="24" t="s">
        <v>531</v>
      </c>
      <c r="E27" s="29" t="s">
        <v>526</v>
      </c>
      <c r="F27" s="25" t="s">
        <v>520</v>
      </c>
      <c r="G27" s="25" t="s">
        <v>521</v>
      </c>
      <c r="H27" s="24" t="s">
        <v>532</v>
      </c>
    </row>
    <row r="28" spans="1:8" ht="30" x14ac:dyDescent="0.3">
      <c r="A28" s="30" t="s">
        <v>533</v>
      </c>
      <c r="B28" s="33" t="s">
        <v>534</v>
      </c>
      <c r="C28" s="24" t="s">
        <v>535</v>
      </c>
      <c r="D28" s="24" t="s">
        <v>536</v>
      </c>
      <c r="E28" s="29" t="s">
        <v>537</v>
      </c>
      <c r="F28" s="25" t="s">
        <v>520</v>
      </c>
      <c r="G28" s="25" t="s">
        <v>538</v>
      </c>
      <c r="H28" s="24" t="s">
        <v>539</v>
      </c>
    </row>
    <row r="29" spans="1:8" ht="30" x14ac:dyDescent="0.3">
      <c r="A29" s="30" t="s">
        <v>533</v>
      </c>
      <c r="B29" s="33" t="s">
        <v>540</v>
      </c>
      <c r="C29" s="24" t="s">
        <v>541</v>
      </c>
      <c r="D29" s="24" t="s">
        <v>536</v>
      </c>
      <c r="E29" s="29" t="s">
        <v>542</v>
      </c>
      <c r="F29" s="25" t="s">
        <v>520</v>
      </c>
      <c r="G29" s="25" t="s">
        <v>521</v>
      </c>
      <c r="H29" s="24" t="s">
        <v>543</v>
      </c>
    </row>
    <row r="30" spans="1:8" ht="30" x14ac:dyDescent="0.3">
      <c r="A30" s="30" t="s">
        <v>533</v>
      </c>
      <c r="B30" s="33" t="s">
        <v>544</v>
      </c>
      <c r="C30" s="24" t="s">
        <v>545</v>
      </c>
      <c r="D30" s="24" t="s">
        <v>536</v>
      </c>
      <c r="E30" s="29" t="s">
        <v>546</v>
      </c>
      <c r="F30" s="25" t="s">
        <v>520</v>
      </c>
      <c r="G30" s="25" t="s">
        <v>538</v>
      </c>
      <c r="H30" s="24" t="s">
        <v>547</v>
      </c>
    </row>
    <row r="31" spans="1:8" ht="30" x14ac:dyDescent="0.3">
      <c r="A31" s="31" t="s">
        <v>548</v>
      </c>
      <c r="B31" s="33" t="s">
        <v>549</v>
      </c>
      <c r="C31" s="24" t="s">
        <v>550</v>
      </c>
      <c r="D31" s="24" t="s">
        <v>551</v>
      </c>
      <c r="E31" s="29" t="s">
        <v>552</v>
      </c>
      <c r="F31" s="25" t="s">
        <v>475</v>
      </c>
      <c r="G31" s="25" t="s">
        <v>521</v>
      </c>
      <c r="H31" s="24" t="s">
        <v>553</v>
      </c>
    </row>
    <row r="32" spans="1:8" ht="45" x14ac:dyDescent="0.3">
      <c r="A32" s="31" t="s">
        <v>554</v>
      </c>
      <c r="B32" s="33" t="s">
        <v>555</v>
      </c>
      <c r="C32" s="24" t="s">
        <v>556</v>
      </c>
      <c r="D32" s="24" t="s">
        <v>557</v>
      </c>
      <c r="E32" s="29" t="s">
        <v>558</v>
      </c>
      <c r="F32" s="25" t="s">
        <v>559</v>
      </c>
      <c r="G32" s="25" t="s">
        <v>560</v>
      </c>
      <c r="H32" s="24" t="s">
        <v>561</v>
      </c>
    </row>
    <row r="34" spans="1:8" x14ac:dyDescent="0.3">
      <c r="A34" s="52" t="s">
        <v>562</v>
      </c>
      <c r="B34" s="50"/>
      <c r="C34" s="50"/>
      <c r="D34" s="50"/>
      <c r="E34" s="50"/>
      <c r="F34" s="50"/>
      <c r="G34" s="50"/>
      <c r="H34" s="51"/>
    </row>
    <row r="35" spans="1:8" ht="15" x14ac:dyDescent="0.3">
      <c r="A35" s="32" t="s">
        <v>563</v>
      </c>
      <c r="B35" s="32" t="s">
        <v>564</v>
      </c>
      <c r="C35" s="32" t="s">
        <v>565</v>
      </c>
      <c r="D35" s="32" t="s">
        <v>566</v>
      </c>
      <c r="E35" s="32" t="s">
        <v>567</v>
      </c>
      <c r="F35" s="32" t="s">
        <v>568</v>
      </c>
      <c r="G35" s="32" t="s">
        <v>569</v>
      </c>
      <c r="H35" s="32" t="s">
        <v>63</v>
      </c>
    </row>
    <row r="36" spans="1:8" ht="15" x14ac:dyDescent="0.3">
      <c r="A36" s="23" t="s">
        <v>570</v>
      </c>
      <c r="B36" s="24" t="s">
        <v>571</v>
      </c>
      <c r="C36" s="25">
        <v>6</v>
      </c>
      <c r="D36" s="25">
        <v>1</v>
      </c>
      <c r="E36" s="25">
        <v>2</v>
      </c>
      <c r="F36" s="39">
        <v>5</v>
      </c>
      <c r="G36" s="35" t="s">
        <v>533</v>
      </c>
      <c r="H36" s="24" t="s">
        <v>572</v>
      </c>
    </row>
    <row r="37" spans="1:8" ht="15" x14ac:dyDescent="0.3">
      <c r="A37" s="23" t="s">
        <v>573</v>
      </c>
      <c r="B37" s="24" t="s">
        <v>574</v>
      </c>
      <c r="C37" s="25">
        <v>8</v>
      </c>
      <c r="D37" s="25">
        <v>7</v>
      </c>
      <c r="E37" s="25">
        <v>5</v>
      </c>
      <c r="F37" s="27">
        <v>1</v>
      </c>
      <c r="G37" s="25" t="s">
        <v>554</v>
      </c>
      <c r="H37" s="24"/>
    </row>
    <row r="38" spans="1:8" ht="15" x14ac:dyDescent="0.3">
      <c r="A38" s="23" t="s">
        <v>575</v>
      </c>
      <c r="B38" s="24" t="s">
        <v>576</v>
      </c>
      <c r="C38" s="25">
        <v>7</v>
      </c>
      <c r="D38" s="25">
        <v>3</v>
      </c>
      <c r="E38" s="25">
        <v>4</v>
      </c>
      <c r="F38" s="37">
        <v>4</v>
      </c>
      <c r="G38" s="35" t="s">
        <v>533</v>
      </c>
      <c r="H38" s="24"/>
    </row>
    <row r="39" spans="1:8" ht="15" x14ac:dyDescent="0.3">
      <c r="A39" s="23" t="s">
        <v>577</v>
      </c>
      <c r="B39" s="24" t="s">
        <v>578</v>
      </c>
      <c r="C39" s="25">
        <v>7</v>
      </c>
      <c r="D39" s="25">
        <v>2</v>
      </c>
      <c r="E39" s="25">
        <v>2</v>
      </c>
      <c r="F39" s="39">
        <v>5</v>
      </c>
      <c r="G39" s="35" t="s">
        <v>533</v>
      </c>
      <c r="H39" s="24" t="s">
        <v>579</v>
      </c>
    </row>
    <row r="40" spans="1:8" ht="15" x14ac:dyDescent="0.3">
      <c r="A40" s="23" t="s">
        <v>580</v>
      </c>
      <c r="B40" s="24" t="s">
        <v>581</v>
      </c>
      <c r="C40" s="25">
        <v>3</v>
      </c>
      <c r="D40" s="25">
        <v>1</v>
      </c>
      <c r="E40" s="25">
        <v>2</v>
      </c>
      <c r="F40" s="27">
        <v>2</v>
      </c>
      <c r="G40" s="25" t="s">
        <v>548</v>
      </c>
      <c r="H40" s="24" t="s">
        <v>582</v>
      </c>
    </row>
    <row r="41" spans="1:8" ht="15" x14ac:dyDescent="0.3">
      <c r="A41" s="23" t="s">
        <v>583</v>
      </c>
      <c r="B41" s="24" t="s">
        <v>584</v>
      </c>
      <c r="C41" s="25">
        <v>3</v>
      </c>
      <c r="D41" s="25">
        <v>4</v>
      </c>
      <c r="E41" s="25">
        <v>4</v>
      </c>
      <c r="F41" s="27">
        <v>1</v>
      </c>
      <c r="G41" s="25" t="s">
        <v>554</v>
      </c>
      <c r="H41" s="24"/>
    </row>
    <row r="42" spans="1:8" ht="15" x14ac:dyDescent="0.3">
      <c r="A42" s="23" t="s">
        <v>585</v>
      </c>
      <c r="B42" s="24" t="s">
        <v>586</v>
      </c>
      <c r="C42" s="25">
        <v>7</v>
      </c>
      <c r="D42" s="25">
        <v>3</v>
      </c>
      <c r="E42" s="25">
        <v>3</v>
      </c>
      <c r="F42" s="37">
        <v>4</v>
      </c>
      <c r="G42" s="35" t="s">
        <v>533</v>
      </c>
      <c r="H42" s="24" t="s">
        <v>587</v>
      </c>
    </row>
    <row r="43" spans="1:8" ht="15" x14ac:dyDescent="0.3">
      <c r="A43" s="23" t="s">
        <v>588</v>
      </c>
      <c r="B43" s="24" t="s">
        <v>589</v>
      </c>
      <c r="C43" s="25">
        <v>7</v>
      </c>
      <c r="D43" s="25">
        <v>1</v>
      </c>
      <c r="E43" s="25">
        <v>2</v>
      </c>
      <c r="F43" s="39">
        <v>6</v>
      </c>
      <c r="G43" s="34" t="s">
        <v>515</v>
      </c>
      <c r="H43" s="24" t="s">
        <v>590</v>
      </c>
    </row>
    <row r="44" spans="1:8" ht="15" x14ac:dyDescent="0.3">
      <c r="A44" s="23" t="s">
        <v>591</v>
      </c>
      <c r="B44" s="24" t="s">
        <v>592</v>
      </c>
      <c r="C44" s="25">
        <v>6</v>
      </c>
      <c r="D44" s="25">
        <v>5</v>
      </c>
      <c r="E44" s="25">
        <v>8</v>
      </c>
      <c r="F44" s="27">
        <v>1</v>
      </c>
      <c r="G44" s="25" t="s">
        <v>554</v>
      </c>
      <c r="H44" s="24" t="s">
        <v>593</v>
      </c>
    </row>
    <row r="45" spans="1:8" ht="15" x14ac:dyDescent="0.3">
      <c r="A45" s="23" t="s">
        <v>594</v>
      </c>
      <c r="B45" s="24" t="s">
        <v>595</v>
      </c>
      <c r="C45" s="25">
        <v>10</v>
      </c>
      <c r="D45" s="25">
        <v>9</v>
      </c>
      <c r="E45" s="25">
        <v>8</v>
      </c>
      <c r="F45" s="27">
        <v>1</v>
      </c>
      <c r="G45" s="25" t="s">
        <v>554</v>
      </c>
      <c r="H45" s="24" t="s">
        <v>596</v>
      </c>
    </row>
    <row r="46" spans="1:8" ht="15" x14ac:dyDescent="0.3">
      <c r="A46" s="23" t="s">
        <v>597</v>
      </c>
      <c r="B46" s="24" t="s">
        <v>598</v>
      </c>
      <c r="C46" s="25">
        <v>6</v>
      </c>
      <c r="D46" s="25">
        <v>4</v>
      </c>
      <c r="E46" s="25">
        <v>2</v>
      </c>
      <c r="F46" s="27">
        <v>2</v>
      </c>
      <c r="G46" s="25" t="s">
        <v>548</v>
      </c>
      <c r="H46" s="24"/>
    </row>
    <row r="47" spans="1:8" ht="15" x14ac:dyDescent="0.3">
      <c r="A47" s="23" t="s">
        <v>599</v>
      </c>
      <c r="B47" s="24" t="s">
        <v>600</v>
      </c>
      <c r="C47" s="25">
        <v>3</v>
      </c>
      <c r="D47" s="25">
        <v>1</v>
      </c>
      <c r="E47" s="25">
        <v>3</v>
      </c>
      <c r="F47" s="27">
        <v>2</v>
      </c>
      <c r="G47" s="25" t="s">
        <v>548</v>
      </c>
      <c r="H47" s="24" t="s">
        <v>601</v>
      </c>
    </row>
    <row r="48" spans="1:8" ht="15" x14ac:dyDescent="0.3">
      <c r="A48" s="33"/>
      <c r="B48" s="33" t="s">
        <v>602</v>
      </c>
      <c r="C48" s="23">
        <v>7</v>
      </c>
      <c r="D48" s="23">
        <v>3</v>
      </c>
      <c r="E48" s="25"/>
      <c r="F48" s="40">
        <v>4</v>
      </c>
      <c r="G48" s="35" t="s">
        <v>533</v>
      </c>
      <c r="H48" s="24" t="s">
        <v>603</v>
      </c>
    </row>
    <row r="50" spans="1:8" x14ac:dyDescent="0.3">
      <c r="A50" s="49" t="s">
        <v>604</v>
      </c>
      <c r="B50" s="50"/>
      <c r="C50" s="50"/>
      <c r="D50" s="50"/>
      <c r="E50" s="50"/>
      <c r="F50" s="50"/>
      <c r="G50" s="50"/>
      <c r="H50" s="51"/>
    </row>
    <row r="51" spans="1:8" x14ac:dyDescent="0.3">
      <c r="A51" s="49" t="s">
        <v>605</v>
      </c>
      <c r="B51" s="50"/>
      <c r="C51" s="50"/>
      <c r="D51" s="50"/>
      <c r="E51" s="50"/>
      <c r="F51" s="50"/>
      <c r="G51" s="50"/>
      <c r="H51" s="51"/>
    </row>
    <row r="52" spans="1:8" x14ac:dyDescent="0.3">
      <c r="A52" s="49" t="s">
        <v>606</v>
      </c>
      <c r="B52" s="50"/>
      <c r="C52" s="50"/>
      <c r="D52" s="50"/>
      <c r="E52" s="50"/>
      <c r="F52" s="50"/>
      <c r="G52" s="50"/>
      <c r="H52" s="51"/>
    </row>
    <row r="53" spans="1:8" x14ac:dyDescent="0.3">
      <c r="A53" s="49" t="s">
        <v>607</v>
      </c>
      <c r="B53" s="50"/>
      <c r="C53" s="50"/>
      <c r="D53" s="50"/>
      <c r="E53" s="50"/>
      <c r="F53" s="50"/>
      <c r="G53" s="50"/>
      <c r="H53" s="51"/>
    </row>
    <row r="55" spans="1:8" x14ac:dyDescent="0.3">
      <c r="A55" s="52" t="s">
        <v>608</v>
      </c>
      <c r="B55" s="50"/>
      <c r="C55" s="50"/>
      <c r="D55" s="50"/>
      <c r="E55" s="50"/>
      <c r="F55" s="50"/>
      <c r="G55" s="50"/>
      <c r="H55" s="51"/>
    </row>
    <row r="56" spans="1:8" ht="15" x14ac:dyDescent="0.3">
      <c r="A56" s="32" t="s">
        <v>609</v>
      </c>
      <c r="B56" s="32" t="s">
        <v>610</v>
      </c>
      <c r="C56" s="32" t="s">
        <v>258</v>
      </c>
      <c r="D56" s="32" t="s">
        <v>611</v>
      </c>
      <c r="E56" s="32" t="s">
        <v>612</v>
      </c>
      <c r="F56" s="32" t="s">
        <v>613</v>
      </c>
      <c r="G56" s="32" t="s">
        <v>63</v>
      </c>
      <c r="H56" s="32"/>
    </row>
    <row r="57" spans="1:8" ht="15" x14ac:dyDescent="0.3">
      <c r="A57" s="24" t="s">
        <v>614</v>
      </c>
      <c r="B57" s="33" t="s">
        <v>615</v>
      </c>
      <c r="C57" s="25" t="s">
        <v>616</v>
      </c>
      <c r="D57" s="29" t="s">
        <v>617</v>
      </c>
      <c r="E57" s="25" t="s">
        <v>68</v>
      </c>
      <c r="F57" s="24" t="s">
        <v>618</v>
      </c>
      <c r="G57" s="24" t="s">
        <v>619</v>
      </c>
    </row>
    <row r="58" spans="1:8" ht="15" x14ac:dyDescent="0.3">
      <c r="A58" s="24" t="s">
        <v>614</v>
      </c>
      <c r="B58" s="33" t="s">
        <v>620</v>
      </c>
      <c r="C58" s="25" t="s">
        <v>621</v>
      </c>
      <c r="D58" s="29" t="s">
        <v>617</v>
      </c>
      <c r="E58" s="25" t="s">
        <v>68</v>
      </c>
      <c r="F58" s="24" t="s">
        <v>618</v>
      </c>
      <c r="G58" s="24" t="s">
        <v>619</v>
      </c>
    </row>
    <row r="59" spans="1:8" ht="30" x14ac:dyDescent="0.3">
      <c r="A59" s="24" t="s">
        <v>622</v>
      </c>
      <c r="B59" s="33" t="s">
        <v>623</v>
      </c>
      <c r="C59" s="25" t="s">
        <v>624</v>
      </c>
      <c r="D59" s="29" t="s">
        <v>625</v>
      </c>
      <c r="E59" s="35" t="s">
        <v>533</v>
      </c>
      <c r="F59" s="24" t="s">
        <v>626</v>
      </c>
      <c r="G59" s="24"/>
    </row>
    <row r="60" spans="1:8" ht="30" x14ac:dyDescent="0.3">
      <c r="A60" s="24" t="s">
        <v>622</v>
      </c>
      <c r="B60" s="33" t="s">
        <v>627</v>
      </c>
      <c r="C60" s="25" t="s">
        <v>628</v>
      </c>
      <c r="D60" s="29" t="s">
        <v>625</v>
      </c>
      <c r="E60" s="35" t="s">
        <v>533</v>
      </c>
      <c r="F60" s="24" t="s">
        <v>626</v>
      </c>
      <c r="G60" s="24"/>
    </row>
    <row r="61" spans="1:8" ht="26.4" x14ac:dyDescent="0.3">
      <c r="A61" s="24" t="s">
        <v>622</v>
      </c>
      <c r="B61" s="33" t="s">
        <v>629</v>
      </c>
      <c r="C61" s="25" t="s">
        <v>310</v>
      </c>
      <c r="D61" s="29" t="s">
        <v>630</v>
      </c>
      <c r="E61" s="35" t="s">
        <v>533</v>
      </c>
      <c r="F61" s="24" t="s">
        <v>631</v>
      </c>
      <c r="G61" s="24"/>
    </row>
    <row r="62" spans="1:8" ht="60" x14ac:dyDescent="0.3">
      <c r="A62" s="24" t="s">
        <v>632</v>
      </c>
      <c r="B62" s="33" t="s">
        <v>633</v>
      </c>
      <c r="C62" s="25" t="s">
        <v>634</v>
      </c>
      <c r="D62" s="29" t="s">
        <v>635</v>
      </c>
      <c r="E62" s="25" t="s">
        <v>548</v>
      </c>
      <c r="F62" s="24" t="s">
        <v>636</v>
      </c>
      <c r="G62" s="24" t="s">
        <v>637</v>
      </c>
    </row>
    <row r="63" spans="1:8" ht="30" x14ac:dyDescent="0.3">
      <c r="A63" s="24" t="s">
        <v>638</v>
      </c>
      <c r="B63" s="33" t="s">
        <v>639</v>
      </c>
      <c r="C63" s="25" t="s">
        <v>640</v>
      </c>
      <c r="D63" s="29" t="s">
        <v>641</v>
      </c>
      <c r="E63" s="34" t="s">
        <v>515</v>
      </c>
      <c r="F63" s="24" t="s">
        <v>642</v>
      </c>
      <c r="G63" s="24" t="s">
        <v>643</v>
      </c>
    </row>
    <row r="64" spans="1:8" ht="45" x14ac:dyDescent="0.3">
      <c r="A64" s="24" t="s">
        <v>638</v>
      </c>
      <c r="B64" s="33" t="s">
        <v>644</v>
      </c>
      <c r="C64" s="25" t="s">
        <v>275</v>
      </c>
      <c r="D64" s="29" t="s">
        <v>641</v>
      </c>
      <c r="E64" s="34" t="s">
        <v>515</v>
      </c>
      <c r="F64" s="24" t="s">
        <v>642</v>
      </c>
      <c r="G64" s="24" t="s">
        <v>645</v>
      </c>
    </row>
    <row r="65" spans="1:8" ht="30" x14ac:dyDescent="0.3">
      <c r="A65" s="24" t="s">
        <v>646</v>
      </c>
      <c r="B65" s="33" t="s">
        <v>647</v>
      </c>
      <c r="C65" s="25" t="s">
        <v>648</v>
      </c>
      <c r="D65" s="29" t="s">
        <v>649</v>
      </c>
      <c r="E65" s="34" t="s">
        <v>515</v>
      </c>
      <c r="F65" s="24" t="s">
        <v>626</v>
      </c>
      <c r="G65" s="24" t="s">
        <v>650</v>
      </c>
    </row>
    <row r="66" spans="1:8" ht="30" x14ac:dyDescent="0.3">
      <c r="A66" s="24" t="s">
        <v>646</v>
      </c>
      <c r="B66" s="33" t="s">
        <v>651</v>
      </c>
      <c r="C66" s="25" t="s">
        <v>652</v>
      </c>
      <c r="D66" s="29" t="s">
        <v>653</v>
      </c>
      <c r="E66" s="34" t="s">
        <v>515</v>
      </c>
      <c r="F66" s="24" t="s">
        <v>642</v>
      </c>
      <c r="G66" s="24" t="s">
        <v>654</v>
      </c>
    </row>
    <row r="67" spans="1:8" ht="15" x14ac:dyDescent="0.3">
      <c r="A67" s="24" t="s">
        <v>646</v>
      </c>
      <c r="B67" s="33" t="s">
        <v>655</v>
      </c>
      <c r="C67" s="25" t="s">
        <v>656</v>
      </c>
      <c r="D67" s="29" t="s">
        <v>657</v>
      </c>
      <c r="E67" s="25" t="s">
        <v>548</v>
      </c>
      <c r="F67" s="24" t="s">
        <v>658</v>
      </c>
      <c r="G67" s="24" t="s">
        <v>659</v>
      </c>
    </row>
    <row r="69" spans="1:8" x14ac:dyDescent="0.3">
      <c r="A69" s="53" t="s">
        <v>660</v>
      </c>
      <c r="B69" s="50"/>
      <c r="C69" s="50"/>
      <c r="D69" s="50"/>
      <c r="E69" s="50"/>
      <c r="F69" s="50"/>
      <c r="G69" s="50"/>
      <c r="H69" s="51"/>
    </row>
  </sheetData>
  <mergeCells count="12">
    <mergeCell ref="A69:H69"/>
    <mergeCell ref="A2:H2"/>
    <mergeCell ref="A51:H51"/>
    <mergeCell ref="A52:H52"/>
    <mergeCell ref="A1:H1"/>
    <mergeCell ref="A23:H23"/>
    <mergeCell ref="A34:H34"/>
    <mergeCell ref="A50:H50"/>
    <mergeCell ref="A4:H4"/>
    <mergeCell ref="A53:H53"/>
    <mergeCell ref="A55:H55"/>
    <mergeCell ref="A15:H15"/>
  </mergeCells>
  <conditionalFormatting sqref="D5:D12">
    <cfRule type="containsText" dxfId="51" priority="1" operator="containsText" text="PASS">
      <formula>NOT(ISERROR(SEARCH("PASS",D5)))</formula>
    </cfRule>
  </conditionalFormatting>
  <conditionalFormatting sqref="D5:D12">
    <cfRule type="containsText" dxfId="50" priority="2" operator="containsText" text="DONE">
      <formula>NOT(ISERROR(SEARCH("DONE",D5)))</formula>
    </cfRule>
  </conditionalFormatting>
  <conditionalFormatting sqref="D5:D12">
    <cfRule type="containsText" dxfId="49" priority="3" operator="containsText" text="HEALTHY">
      <formula>NOT(ISERROR(SEARCH("HEALTHY",D5)))</formula>
    </cfRule>
  </conditionalFormatting>
  <conditionalFormatting sqref="D5:D12">
    <cfRule type="containsText" dxfId="48" priority="4" operator="containsText" text="READY">
      <formula>NOT(ISERROR(SEARCH("READY",D5)))</formula>
    </cfRule>
  </conditionalFormatting>
  <conditionalFormatting sqref="D5:D12">
    <cfRule type="containsText" dxfId="47" priority="5" operator="containsText" text="RADIANT">
      <formula>NOT(ISERROR(SEARCH("RADIANT",D5)))</formula>
    </cfRule>
  </conditionalFormatting>
  <conditionalFormatting sqref="D5:D12">
    <cfRule type="containsText" dxfId="46" priority="6" operator="containsText" text="CLEAN">
      <formula>NOT(ISERROR(SEARCH("CLEAN",D5)))</formula>
    </cfRule>
  </conditionalFormatting>
  <conditionalFormatting sqref="D5:D12">
    <cfRule type="containsText" dxfId="45" priority="7" operator="containsText" text="WARN">
      <formula>NOT(ISERROR(SEARCH("WARN",D5)))</formula>
    </cfRule>
  </conditionalFormatting>
  <conditionalFormatting sqref="D5:D12">
    <cfRule type="containsText" dxfId="44" priority="8" operator="containsText" text="PARTIAL">
      <formula>NOT(ISERROR(SEARCH("PARTIAL",D5)))</formula>
    </cfRule>
  </conditionalFormatting>
  <conditionalFormatting sqref="D5:D12">
    <cfRule type="containsText" dxfId="43" priority="9" operator="containsText" text="REQUIRES">
      <formula>NOT(ISERROR(SEARCH("REQUIRES",D5)))</formula>
    </cfRule>
  </conditionalFormatting>
  <conditionalFormatting sqref="D5:D12">
    <cfRule type="containsText" dxfId="42" priority="10" operator="containsText" text="IN PROGRESS">
      <formula>NOT(ISERROR(SEARCH("IN PROGRESS",D5)))</formula>
    </cfRule>
  </conditionalFormatting>
  <conditionalFormatting sqref="D5:D12">
    <cfRule type="containsText" dxfId="41" priority="11" operator="containsText" text="UPCOMING">
      <formula>NOT(ISERROR(SEARCH("UPCOMING",D5)))</formula>
    </cfRule>
  </conditionalFormatting>
  <conditionalFormatting sqref="D5:D12">
    <cfRule type="containsText" dxfId="40" priority="12" operator="containsText" text="NOT DONE">
      <formula>NOT(ISERROR(SEARCH("NOT DONE",D5)))</formula>
    </cfRule>
  </conditionalFormatting>
  <conditionalFormatting sqref="D5:D12">
    <cfRule type="containsText" dxfId="39" priority="13" operator="containsText" text="NOT STARTED">
      <formula>NOT(ISERROR(SEARCH("NOT STARTED",D5)))</formula>
    </cfRule>
  </conditionalFormatting>
  <conditionalFormatting sqref="D5:D12">
    <cfRule type="containsText" dxfId="38" priority="14" operator="containsText" text="BLOCKED">
      <formula>NOT(ISERROR(SEARCH("BLOCKED",D5)))</formula>
    </cfRule>
  </conditionalFormatting>
  <conditionalFormatting sqref="D5:D12">
    <cfRule type="containsText" dxfId="37" priority="15" operator="containsText" text="CRITICAL">
      <formula>NOT(ISERROR(SEARCH("CRITICAL",D5)))</formula>
    </cfRule>
  </conditionalFormatting>
  <conditionalFormatting sqref="D17:D21">
    <cfRule type="containsText" dxfId="36" priority="16" operator="containsText" text="PASS">
      <formula>NOT(ISERROR(SEARCH("PASS",D17)))</formula>
    </cfRule>
  </conditionalFormatting>
  <conditionalFormatting sqref="D17:D21">
    <cfRule type="containsText" dxfId="35" priority="17" operator="containsText" text="DONE">
      <formula>NOT(ISERROR(SEARCH("DONE",D17)))</formula>
    </cfRule>
  </conditionalFormatting>
  <conditionalFormatting sqref="D17:D21">
    <cfRule type="containsText" dxfId="34" priority="18" operator="containsText" text="HEALTHY">
      <formula>NOT(ISERROR(SEARCH("HEALTHY",D17)))</formula>
    </cfRule>
  </conditionalFormatting>
  <conditionalFormatting sqref="D17:D21">
    <cfRule type="containsText" dxfId="33" priority="19" operator="containsText" text="READY">
      <formula>NOT(ISERROR(SEARCH("READY",D17)))</formula>
    </cfRule>
  </conditionalFormatting>
  <conditionalFormatting sqref="D17:D21">
    <cfRule type="containsText" dxfId="32" priority="20" operator="containsText" text="RADIANT">
      <formula>NOT(ISERROR(SEARCH("RADIANT",D17)))</formula>
    </cfRule>
  </conditionalFormatting>
  <conditionalFormatting sqref="D17:D21">
    <cfRule type="containsText" dxfId="31" priority="21" operator="containsText" text="CLEAN">
      <formula>NOT(ISERROR(SEARCH("CLEAN",D17)))</formula>
    </cfRule>
  </conditionalFormatting>
  <conditionalFormatting sqref="D17:D21">
    <cfRule type="containsText" dxfId="30" priority="22" operator="containsText" text="WARN">
      <formula>NOT(ISERROR(SEARCH("WARN",D17)))</formula>
    </cfRule>
  </conditionalFormatting>
  <conditionalFormatting sqref="D17:D21">
    <cfRule type="containsText" dxfId="29" priority="23" operator="containsText" text="PARTIAL">
      <formula>NOT(ISERROR(SEARCH("PARTIAL",D17)))</formula>
    </cfRule>
  </conditionalFormatting>
  <conditionalFormatting sqref="D17:D21">
    <cfRule type="containsText" dxfId="28" priority="24" operator="containsText" text="REQUIRES">
      <formula>NOT(ISERROR(SEARCH("REQUIRES",D17)))</formula>
    </cfRule>
  </conditionalFormatting>
  <conditionalFormatting sqref="D17:D21">
    <cfRule type="containsText" dxfId="27" priority="25" operator="containsText" text="IN PROGRESS">
      <formula>NOT(ISERROR(SEARCH("IN PROGRESS",D17)))</formula>
    </cfRule>
  </conditionalFormatting>
  <conditionalFormatting sqref="D17:D21">
    <cfRule type="containsText" dxfId="26" priority="26" operator="containsText" text="UPCOMING">
      <formula>NOT(ISERROR(SEARCH("UPCOMING",D17)))</formula>
    </cfRule>
  </conditionalFormatting>
  <conditionalFormatting sqref="D17:D21">
    <cfRule type="containsText" dxfId="25" priority="27" operator="containsText" text="NOT DONE">
      <formula>NOT(ISERROR(SEARCH("NOT DONE",D17)))</formula>
    </cfRule>
  </conditionalFormatting>
  <conditionalFormatting sqref="D17:D21">
    <cfRule type="containsText" dxfId="24" priority="28" operator="containsText" text="NOT STARTED">
      <formula>NOT(ISERROR(SEARCH("NOT STARTED",D17)))</formula>
    </cfRule>
  </conditionalFormatting>
  <conditionalFormatting sqref="D17:D21">
    <cfRule type="containsText" dxfId="23" priority="29" operator="containsText" text="BLOCKED">
      <formula>NOT(ISERROR(SEARCH("BLOCKED",D17)))</formula>
    </cfRule>
  </conditionalFormatting>
  <conditionalFormatting sqref="D17:D21">
    <cfRule type="containsText" dxfId="22" priority="30" operator="containsText" text="CRITICAL">
      <formula>NOT(ISERROR(SEARCH("CRITICAL",D17)))</formula>
    </cfRule>
  </conditionalFormatting>
  <conditionalFormatting sqref="F25:F32">
    <cfRule type="containsText" dxfId="21" priority="31" operator="containsText" text="PASS">
      <formula>NOT(ISERROR(SEARCH("PASS",F25)))</formula>
    </cfRule>
  </conditionalFormatting>
  <conditionalFormatting sqref="F25:F32">
    <cfRule type="containsText" dxfId="20" priority="32" operator="containsText" text="DONE">
      <formula>NOT(ISERROR(SEARCH("DONE",F25)))</formula>
    </cfRule>
  </conditionalFormatting>
  <conditionalFormatting sqref="F25:F32">
    <cfRule type="containsText" dxfId="19" priority="33" operator="containsText" text="HEALTHY">
      <formula>NOT(ISERROR(SEARCH("HEALTHY",F25)))</formula>
    </cfRule>
  </conditionalFormatting>
  <conditionalFormatting sqref="F25:F32">
    <cfRule type="containsText" dxfId="18" priority="34" operator="containsText" text="READY">
      <formula>NOT(ISERROR(SEARCH("READY",F25)))</formula>
    </cfRule>
  </conditionalFormatting>
  <conditionalFormatting sqref="F25:F32">
    <cfRule type="containsText" dxfId="17" priority="35" operator="containsText" text="RADIANT">
      <formula>NOT(ISERROR(SEARCH("RADIANT",F25)))</formula>
    </cfRule>
  </conditionalFormatting>
  <conditionalFormatting sqref="F25:F32">
    <cfRule type="containsText" dxfId="16" priority="36" operator="containsText" text="CLEAN">
      <formula>NOT(ISERROR(SEARCH("CLEAN",F25)))</formula>
    </cfRule>
  </conditionalFormatting>
  <conditionalFormatting sqref="F25:F32">
    <cfRule type="containsText" dxfId="15" priority="37" operator="containsText" text="WARN">
      <formula>NOT(ISERROR(SEARCH("WARN",F25)))</formula>
    </cfRule>
  </conditionalFormatting>
  <conditionalFormatting sqref="F25:F32">
    <cfRule type="containsText" dxfId="14" priority="38" operator="containsText" text="PARTIAL">
      <formula>NOT(ISERROR(SEARCH("PARTIAL",F25)))</formula>
    </cfRule>
  </conditionalFormatting>
  <conditionalFormatting sqref="F25:F32">
    <cfRule type="containsText" dxfId="13" priority="39" operator="containsText" text="REQUIRES">
      <formula>NOT(ISERROR(SEARCH("REQUIRES",F25)))</formula>
    </cfRule>
  </conditionalFormatting>
  <conditionalFormatting sqref="F25:F32">
    <cfRule type="containsText" dxfId="12" priority="40" operator="containsText" text="IN PROGRESS">
      <formula>NOT(ISERROR(SEARCH("IN PROGRESS",F25)))</formula>
    </cfRule>
  </conditionalFormatting>
  <conditionalFormatting sqref="F25:F32">
    <cfRule type="containsText" dxfId="11" priority="41" operator="containsText" text="UPCOMING">
      <formula>NOT(ISERROR(SEARCH("UPCOMING",F25)))</formula>
    </cfRule>
  </conditionalFormatting>
  <conditionalFormatting sqref="F25:F32">
    <cfRule type="containsText" dxfId="10" priority="42" operator="containsText" text="NOT DONE">
      <formula>NOT(ISERROR(SEARCH("NOT DONE",F25)))</formula>
    </cfRule>
  </conditionalFormatting>
  <conditionalFormatting sqref="F25:F32">
    <cfRule type="containsText" dxfId="9" priority="43" operator="containsText" text="NOT STARTED">
      <formula>NOT(ISERROR(SEARCH("NOT STARTED",F25)))</formula>
    </cfRule>
  </conditionalFormatting>
  <conditionalFormatting sqref="F25:F32">
    <cfRule type="containsText" dxfId="8" priority="44" operator="containsText" text="BLOCKED">
      <formula>NOT(ISERROR(SEARCH("BLOCKED",F25)))</formula>
    </cfRule>
  </conditionalFormatting>
  <conditionalFormatting sqref="F25:F32">
    <cfRule type="containsText" dxfId="7" priority="45" operator="containsText" text="CRITICAL">
      <formula>NOT(ISERROR(SEARCH("CRITICAL",F25)))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Priority Actions</vt:lpstr>
      <vt:lpstr>60 Elements</vt:lpstr>
      <vt:lpstr>Test Tracker</vt:lpstr>
      <vt:lpstr>Thesis Evidence</vt:lpstr>
      <vt:lpstr>Codebase Inventory</vt:lpstr>
      <vt:lpstr>Session Log</vt:lpstr>
      <vt:lpstr>CEN Deliverables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Deimantas</cp:lastModifiedBy>
  <dcterms:created xsi:type="dcterms:W3CDTF">2026-04-11T09:54:21Z</dcterms:created>
  <dcterms:modified xsi:type="dcterms:W3CDTF">2026-04-16T16:11:13Z</dcterms:modified>
</cp:coreProperties>
</file>