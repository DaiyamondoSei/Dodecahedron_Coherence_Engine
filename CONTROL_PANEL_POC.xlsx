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7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iority Actions" sheetId="2" state="visible" r:id="rId2"/>
    <sheet xmlns:r="http://schemas.openxmlformats.org/officeDocument/2006/relationships" name="60 Elements" sheetId="3" state="visible" r:id="rId3"/>
    <sheet xmlns:r="http://schemas.openxmlformats.org/officeDocument/2006/relationships" name="Test Tracker" sheetId="4" state="visible" r:id="rId4"/>
    <sheet xmlns:r="http://schemas.openxmlformats.org/officeDocument/2006/relationships" name="Thesis Evidence" sheetId="5" state="visible" r:id="rId5"/>
    <sheet xmlns:r="http://schemas.openxmlformats.org/officeDocument/2006/relationships" name="Codebase Inventory" sheetId="6" state="visible" r:id="rId6"/>
    <sheet xmlns:r="http://schemas.openxmlformats.org/officeDocument/2006/relationships" name="Session Log" sheetId="7" state="visible" r:id="rId7"/>
    <sheet xmlns:r="http://schemas.openxmlformats.org/officeDocument/2006/relationships" name="CEN Deliverables" sheetId="8" state="visible" r:id="rId8"/>
    <sheet xmlns:r="http://schemas.openxmlformats.org/officeDocument/2006/relationships" name="Module Details" sheetId="9" state="visible" r:id="rId9"/>
    <sheet xmlns:r="http://schemas.openxmlformats.org/officeDocument/2006/relationships" name="Update Flow" sheetId="10" state="visible" r:id="rId10"/>
  </sheets>
  <definedNames>
    <definedName name="_xlnm._FilterDatabase" localSheetId="4" hidden="1">'Thesis Evidence'!$A$3:$J$13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\ &quot;days&quot;"/>
    <numFmt numFmtId="165" formatCode="0\ &quot;of 15&quot;"/>
    <numFmt numFmtId="166" formatCode="yyyy\-mm\-dd"/>
    <numFmt numFmtId="167" formatCode="0.0"/>
  </numFmts>
  <fonts count="75">
    <font>
      <name val="Calibri"/>
      <family val="2"/>
      <color theme="1"/>
      <sz val="11"/>
      <scheme val="minor"/>
    </font>
    <font>
      <name val="Segoe UI"/>
      <b val="1"/>
      <color rgb="FF00838F"/>
      <sz val="16"/>
    </font>
    <font>
      <name val="Segoe UI"/>
      <b val="1"/>
      <color rgb="FF263238"/>
      <sz val="12"/>
    </font>
    <font>
      <name val="Segoe UI"/>
      <b val="1"/>
      <color rgb="FF263238"/>
      <sz val="10"/>
    </font>
    <font>
      <name val="Segoe UI"/>
      <color rgb="FF263238"/>
      <sz val="10"/>
    </font>
    <font>
      <name val="Segoe UI"/>
      <b val="1"/>
      <color rgb="FF00838F"/>
      <sz val="14"/>
    </font>
    <font>
      <name val="Segoe UI"/>
      <b val="1"/>
      <color rgb="FFFFFFFF"/>
      <sz val="11"/>
    </font>
    <font>
      <name val="Segoe UI"/>
      <i val="1"/>
      <color rgb="FF9E9E9E"/>
      <sz val="9"/>
    </font>
    <font>
      <name val="Segoe UI"/>
      <b val="1"/>
      <color rgb="FF00838F"/>
      <sz val="10"/>
    </font>
    <font>
      <name val="Segoe UI"/>
      <b val="1"/>
      <color rgb="FFFFFFFF"/>
      <sz val="10"/>
    </font>
    <font>
      <name val="Segoe UI"/>
      <b val="1"/>
      <color rgb="FFD32F2F"/>
      <sz val="10"/>
    </font>
    <font>
      <name val="Segoe UI"/>
      <b val="1"/>
      <color rgb="FFD32F2F"/>
      <sz val="12"/>
    </font>
    <font>
      <name val="Segoe UI"/>
      <b val="1"/>
      <color rgb="FF00838F"/>
      <sz val="14"/>
    </font>
    <font>
      <name val="Segoe UI"/>
      <color rgb="FF263238"/>
      <sz val="10"/>
    </font>
    <font>
      <name val="Segoe UI"/>
      <b val="1"/>
      <color rgb="FF00838F"/>
      <sz val="16"/>
    </font>
    <font>
      <name val="Segoe UI"/>
      <i val="1"/>
      <color rgb="FF9E9E9E"/>
      <sz val="9"/>
    </font>
    <font>
      <name val="Segoe UI"/>
      <b val="1"/>
      <color rgb="FF00838F"/>
      <sz val="11"/>
    </font>
    <font>
      <name val="Segoe UI"/>
      <b val="1"/>
      <color rgb="FFFFFFFF"/>
      <sz val="11"/>
    </font>
    <font>
      <name val="Segoe UI"/>
      <b val="1"/>
      <color rgb="FF263238"/>
      <sz val="10"/>
    </font>
    <font>
      <name val="Segoe UI"/>
      <b val="1"/>
      <color rgb="FFD32F2F"/>
      <sz val="10"/>
    </font>
    <font>
      <name val="Segoe UI"/>
      <b val="1"/>
      <color rgb="FFFF6F00"/>
      <sz val="10"/>
    </font>
    <font>
      <name val="Segoe UI"/>
      <b val="1"/>
      <color rgb="FFFFFFFF"/>
      <sz val="10"/>
    </font>
    <font>
      <name val="Segoe UI"/>
      <b val="1"/>
      <color rgb="FF388E3C"/>
      <sz val="12"/>
    </font>
    <font>
      <name val="Segoe UI"/>
      <b val="1"/>
      <color rgb="FFF57C00"/>
      <sz val="12"/>
    </font>
    <font>
      <name val="Segoe UI"/>
      <b val="1"/>
      <color rgb="FF757575"/>
      <sz val="12"/>
    </font>
    <font>
      <name val="Segoe UI"/>
      <b val="1"/>
      <color rgb="FF00838F"/>
      <sz val="12"/>
    </font>
    <font>
      <name val="Segoe UI"/>
      <b val="1"/>
      <color rgb="FFFFFFFF"/>
      <sz val="9"/>
    </font>
    <font>
      <name val="Segoe UI"/>
      <color rgb="FF757575"/>
      <sz val="9"/>
    </font>
    <font>
      <name val="Segoe UI"/>
      <i val="1"/>
      <color rgb="FF757575"/>
      <sz val="9"/>
    </font>
    <font>
      <name val="Calibri"/>
      <family val="2"/>
      <color theme="1"/>
      <sz val="13"/>
      <scheme val="minor"/>
    </font>
    <font>
      <name val="Segoe UI"/>
      <b val="1"/>
      <color rgb="FFFFFFFF"/>
      <sz val="12"/>
    </font>
    <font>
      <name val="Segoe UI"/>
      <b val="1"/>
      <color rgb="FF880E4F"/>
      <sz val="10"/>
    </font>
    <font>
      <name val="Segoe UI"/>
      <color theme="1"/>
      <sz val="10"/>
    </font>
    <font>
      <name val="Segoe UI"/>
      <b val="1"/>
      <color rgb="FFC62828"/>
      <sz val="10"/>
    </font>
    <font>
      <name val="Segoe UI"/>
      <b val="1"/>
      <color rgb="FFE65100"/>
      <sz val="10"/>
    </font>
    <font>
      <name val="Segoe UI"/>
      <charset val="186"/>
      <family val="2"/>
      <b val="1"/>
      <color rgb="FF263238"/>
      <sz val="10"/>
    </font>
    <font>
      <name val="Segoe UI"/>
      <charset val="186"/>
      <family val="2"/>
      <color rgb="FF2E7D32"/>
      <sz val="10"/>
    </font>
    <font>
      <name val="Segoe UI"/>
      <charset val="186"/>
      <family val="2"/>
      <color rgb="FFE65100"/>
      <sz val="10"/>
    </font>
    <font>
      <name val="Segoe UI"/>
      <charset val="186"/>
      <family val="2"/>
      <b val="1"/>
      <color rgb="FFFFFFFF"/>
      <sz val="11"/>
    </font>
    <font>
      <name val="Segoe UI"/>
      <charset val="186"/>
      <family val="2"/>
      <color rgb="FF263238"/>
      <sz val="10"/>
    </font>
    <font>
      <name val="Segoe UI"/>
      <charset val="186"/>
      <family val="2"/>
      <b val="1"/>
      <color rgb="FFC62828"/>
      <sz val="10"/>
    </font>
    <font>
      <name val="Segoe UI"/>
      <charset val="186"/>
      <family val="2"/>
      <color rgb="FFC62828"/>
      <sz val="10"/>
    </font>
    <font>
      <name val="Segoe UI"/>
      <charset val="186"/>
      <family val="2"/>
      <b val="1"/>
      <color rgb="FFFFFFFF"/>
      <sz val="10"/>
    </font>
    <font>
      <name val="Segoe UI"/>
      <charset val="186"/>
      <family val="2"/>
      <b val="1"/>
      <color rgb="FFFFFFFF"/>
      <sz val="12"/>
    </font>
    <font>
      <name val="Segoe UI"/>
      <charset val="186"/>
      <family val="2"/>
      <color theme="1"/>
      <sz val="10"/>
    </font>
    <font>
      <name val="Segoe UI"/>
      <charset val="186"/>
      <family val="2"/>
      <color rgb="FF757575"/>
      <sz val="9"/>
    </font>
    <font>
      <name val="Segoe UI"/>
      <charset val="186"/>
      <family val="2"/>
      <color theme="1"/>
      <sz val="9"/>
    </font>
    <font>
      <name val="Segoe UI"/>
      <charset val="186"/>
      <family val="2"/>
      <b val="1"/>
      <color rgb="FFE65100"/>
      <sz val="9"/>
    </font>
    <font>
      <name val="Segoe UI"/>
      <charset val="186"/>
      <family val="2"/>
      <color rgb="FFBDBDBD"/>
      <sz val="8"/>
    </font>
    <font>
      <name val="Segoe UI"/>
      <charset val="186"/>
      <family val="2"/>
      <color rgb="FF9E9E9E"/>
      <sz val="9"/>
    </font>
    <font>
      <name val="Segoe UI"/>
      <charset val="186"/>
      <family val="2"/>
      <color rgb="FFFFFFFF"/>
      <sz val="11"/>
    </font>
    <font>
      <name val="Segoe UI"/>
      <charset val="186"/>
      <family val="2"/>
      <b val="1"/>
      <color rgb="FFFFFFFF"/>
      <sz val="9"/>
    </font>
    <font>
      <name val="Segoe UI"/>
      <charset val="186"/>
      <family val="2"/>
      <i val="1"/>
      <color rgb="FFFFFFFF"/>
      <sz val="9"/>
    </font>
    <font>
      <name val="Segoe UI"/>
      <charset val="186"/>
      <family val="2"/>
      <b val="1"/>
      <color rgb="FF00838F"/>
      <sz val="12"/>
    </font>
    <font>
      <name val="Segoe UI"/>
      <charset val="186"/>
      <family val="2"/>
      <b val="1"/>
      <color rgb="FFE65100"/>
      <sz val="13"/>
    </font>
    <font>
      <name val="Segoe UI"/>
      <charset val="186"/>
      <family val="2"/>
      <b val="1"/>
      <color rgb="FF6A1B9A"/>
      <sz val="12"/>
    </font>
    <font>
      <name val="Segoe UI"/>
      <charset val="186"/>
      <family val="2"/>
      <i val="1"/>
      <color rgb="FF9E9E9E"/>
      <sz val="10"/>
    </font>
    <font>
      <name val="Calibri"/>
      <family val="2"/>
      <b val="1"/>
      <color rgb="FFFFFFFF"/>
      <sz val="9"/>
      <scheme val="minor"/>
    </font>
    <font>
      <name val="Segoe UI"/>
      <charset val="186"/>
      <family val="2"/>
      <b val="1"/>
      <color rgb="FF4A148C"/>
      <sz val="10"/>
    </font>
    <font>
      <name val="Segoe UI"/>
      <charset val="186"/>
      <family val="2"/>
      <b val="1"/>
      <color rgb="FF1B5E20"/>
      <sz val="10"/>
    </font>
    <font>
      <name val="Segoe UI"/>
      <charset val="186"/>
      <family val="2"/>
      <b val="1"/>
      <color rgb="FF0D47A1"/>
      <sz val="10"/>
    </font>
    <font>
      <name val="Segoe UI"/>
      <charset val="186"/>
      <family val="2"/>
      <b val="1"/>
      <color rgb="FF4A148C"/>
      <sz val="9"/>
    </font>
    <font>
      <name val="Segoe UI"/>
      <charset val="186"/>
      <family val="2"/>
      <b val="1"/>
      <color rgb="FF6A1B9A"/>
      <sz val="9"/>
    </font>
    <font>
      <name val="Segoe UI"/>
      <charset val="186"/>
      <family val="2"/>
      <b val="1"/>
      <color rgb="FF6A1B9A"/>
      <sz val="14"/>
    </font>
    <font>
      <name val="Segoe UI"/>
      <charset val="186"/>
      <family val="2"/>
      <b val="1"/>
      <color rgb="FFC62828"/>
      <sz val="9"/>
    </font>
    <font>
      <name val="Segoe UI"/>
      <charset val="186"/>
      <family val="2"/>
      <b val="1"/>
      <color rgb="FFC62828"/>
      <sz val="14"/>
    </font>
    <font>
      <name val="Segoe UI"/>
      <charset val="186"/>
      <family val="2"/>
      <color rgb="FFF57C00"/>
      <sz val="10"/>
    </font>
    <font>
      <name val="Calibri"/>
      <b val="1"/>
      <sz val="11"/>
    </font>
    <font>
      <name val="Calibri"/>
      <color rgb="FF0563C1"/>
      <sz val="11"/>
      <u val="single"/>
    </font>
    <font>
      <name val="Calibri"/>
      <b val="1"/>
      <sz val="11"/>
    </font>
    <font>
      <name val="Segoe UI"/>
      <charset val="186"/>
      <family val="2"/>
      <b val="1"/>
      <color rgb="FF880E4F"/>
      <sz val="9"/>
    </font>
    <font>
      <name val="Segoe UI"/>
      <charset val="186"/>
      <family val="2"/>
      <b val="1"/>
      <color rgb="FF757575"/>
      <sz val="9"/>
    </font>
    <font>
      <sz val="9"/>
    </font>
    <font>
      <name val="Calibri"/>
      <sz val="10"/>
    </font>
    <font>
      <name val="Calibri"/>
      <b val="1"/>
      <color rgb="00006100"/>
      <sz val="10"/>
    </font>
  </fonts>
  <fills count="45">
    <fill>
      <patternFill/>
    </fill>
    <fill>
      <patternFill patternType="gray125"/>
    </fill>
    <fill>
      <patternFill patternType="solid">
        <fgColor rgb="FF00838F"/>
        <bgColor rgb="FF00838F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AFAFA"/>
        <bgColor rgb="FFFAFAFA"/>
      </patternFill>
    </fill>
    <fill>
      <patternFill patternType="solid">
        <fgColor rgb="FF00BCD4"/>
        <bgColor rgb="FF00BCD4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FF8E1"/>
        <bgColor rgb="FFFFF8E1"/>
      </patternFill>
    </fill>
    <fill>
      <patternFill patternType="solid">
        <fgColor rgb="FF00838F"/>
        <bgColor rgb="FF00838F"/>
      </patternFill>
    </fill>
    <fill>
      <patternFill patternType="solid">
        <fgColor rgb="FFFFEBEE"/>
        <bgColor rgb="FFFFEBEE"/>
      </patternFill>
    </fill>
    <fill>
      <patternFill patternType="solid">
        <fgColor rgb="FF00BCD4"/>
        <bgColor rgb="FF00BCD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80E4F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546E7A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F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 style="thin">
        <color rgb="FF90A4AE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225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0" pivotButton="0" quotePrefix="0" xfId="0"/>
    <xf numFmtId="0" fontId="1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164" fontId="12" fillId="0" borderId="0" pivotButton="0" quotePrefix="0" xfId="0"/>
    <xf numFmtId="165" fontId="13" fillId="0" borderId="0" pivotButton="0" quotePrefix="0" xfId="0"/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0" borderId="0" pivotButton="0" quotePrefix="0" xfId="0"/>
    <xf numFmtId="0" fontId="17" fillId="1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top" wrapText="1"/>
    </xf>
    <xf numFmtId="0" fontId="13" fillId="0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15" fillId="0" borderId="2" applyAlignment="1" pivotButton="0" quotePrefix="0" xfId="0">
      <alignment vertical="top" wrapText="1"/>
    </xf>
    <xf numFmtId="0" fontId="20" fillId="9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vertical="top" wrapText="1"/>
    </xf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0" fontId="24" fillId="15" borderId="0" applyAlignment="1" pivotButton="0" quotePrefix="0" xfId="0">
      <alignment horizontal="center"/>
    </xf>
    <xf numFmtId="0" fontId="25" fillId="16" borderId="0" applyAlignment="1" pivotButton="0" quotePrefix="0" xfId="0">
      <alignment horizontal="center"/>
    </xf>
    <xf numFmtId="0" fontId="26" fillId="17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17" borderId="5" applyAlignment="1" pivotButton="0" quotePrefix="0" xfId="0">
      <alignment horizontal="center" vertical="center" wrapText="1"/>
    </xf>
    <xf numFmtId="0" fontId="29" fillId="13" borderId="0" applyAlignment="1" pivotButton="0" quotePrefix="0" xfId="0">
      <alignment horizontal="center"/>
    </xf>
    <xf numFmtId="0" fontId="29" fillId="14" borderId="0" applyAlignment="1" pivotButton="0" quotePrefix="0" xfId="0">
      <alignment horizontal="center"/>
    </xf>
    <xf numFmtId="0" fontId="1" fillId="19" borderId="0" pivotButton="0" quotePrefix="0" xfId="0"/>
    <xf numFmtId="0" fontId="30" fillId="20" borderId="0" pivotButton="0" quotePrefix="0" xfId="0"/>
    <xf numFmtId="0" fontId="0" fillId="20" borderId="0" pivotButton="0" quotePrefix="0" xfId="0"/>
    <xf numFmtId="0" fontId="9" fillId="21" borderId="0" pivotButton="0" quotePrefix="0" xfId="0"/>
    <xf numFmtId="0" fontId="31" fillId="22" borderId="0" pivotButton="0" quotePrefix="0" xfId="0"/>
    <xf numFmtId="0" fontId="32" fillId="0" borderId="0" applyAlignment="1" pivotButton="0" quotePrefix="0" xfId="0">
      <alignment horizontal="center"/>
    </xf>
    <xf numFmtId="0" fontId="33" fillId="23" borderId="0" pivotButton="0" quotePrefix="0" xfId="0"/>
    <xf numFmtId="0" fontId="34" fillId="24" borderId="0" pivotButton="0" quotePrefix="0" xfId="0"/>
    <xf numFmtId="0" fontId="0" fillId="25" borderId="0" pivotButton="0" quotePrefix="0" xfId="0"/>
    <xf numFmtId="0" fontId="0" fillId="27" borderId="0" pivotButton="0" quotePrefix="0" xfId="0"/>
    <xf numFmtId="0" fontId="0" fillId="29" borderId="0" pivotButton="0" quotePrefix="0" xfId="0"/>
    <xf numFmtId="0" fontId="0" fillId="17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9" fillId="21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0" fontId="27" fillId="0" borderId="0" applyAlignment="1" pivotButton="0" quotePrefix="0" xfId="0">
      <alignment wrapText="1"/>
    </xf>
    <xf numFmtId="0" fontId="35" fillId="0" borderId="1" applyAlignment="1" pivotButton="0" quotePrefix="0" xfId="0">
      <alignment horizontal="right" vertical="center"/>
    </xf>
    <xf numFmtId="0" fontId="38" fillId="2" borderId="1" applyAlignment="1" pivotButton="0" quotePrefix="0" xfId="0">
      <alignment horizontal="center" vertical="center" wrapText="1"/>
    </xf>
    <xf numFmtId="0" fontId="39" fillId="0" borderId="5" applyAlignment="1" pivotButton="0" quotePrefix="0" xfId="0">
      <alignment vertical="top" wrapText="1"/>
    </xf>
    <xf numFmtId="0" fontId="43" fillId="25" borderId="0" pivotButton="0" quotePrefix="0" xfId="0"/>
    <xf numFmtId="0" fontId="42" fillId="26" borderId="0" pivotButton="0" quotePrefix="0" xfId="0"/>
    <xf numFmtId="0" fontId="42" fillId="26" borderId="0" applyAlignment="1" pivotButton="0" quotePrefix="0" xfId="0">
      <alignment wrapText="1"/>
    </xf>
    <xf numFmtId="0" fontId="44" fillId="0" borderId="0" applyAlignment="1" pivotButton="0" quotePrefix="0" xfId="0">
      <alignment horizontal="center"/>
    </xf>
    <xf numFmtId="0" fontId="42" fillId="26" borderId="0" applyAlignment="1" pivotButton="0" quotePrefix="0" xfId="0">
      <alignment horizontal="center"/>
    </xf>
    <xf numFmtId="0" fontId="40" fillId="23" borderId="0" pivotButton="0" quotePrefix="0" xfId="0"/>
    <xf numFmtId="0" fontId="46" fillId="33" borderId="0" applyAlignment="1" pivotButton="0" quotePrefix="0" xfId="0">
      <alignment wrapText="1"/>
    </xf>
    <xf numFmtId="0" fontId="46" fillId="19" borderId="0" applyAlignment="1" pivotButton="0" quotePrefix="0" xfId="0">
      <alignment wrapText="1"/>
    </xf>
    <xf numFmtId="166" fontId="46" fillId="33" borderId="0" applyAlignment="1" pivotButton="0" quotePrefix="0" xfId="0">
      <alignment wrapText="1"/>
    </xf>
    <xf numFmtId="166" fontId="46" fillId="19" borderId="0" applyAlignment="1" pivotButton="0" quotePrefix="0" xfId="0">
      <alignment wrapText="1"/>
    </xf>
    <xf numFmtId="0" fontId="47" fillId="33" borderId="0" applyAlignment="1" pivotButton="0" quotePrefix="0" xfId="0">
      <alignment wrapText="1"/>
    </xf>
    <xf numFmtId="0" fontId="47" fillId="19" borderId="0" applyAlignment="1" pivotButton="0" quotePrefix="0" xfId="0">
      <alignment wrapText="1"/>
    </xf>
    <xf numFmtId="0" fontId="48" fillId="33" borderId="0" applyAlignment="1" pivotButton="0" quotePrefix="0" xfId="0">
      <alignment horizontal="right" wrapText="1"/>
    </xf>
    <xf numFmtId="0" fontId="48" fillId="19" borderId="0" applyAlignment="1" pivotButton="0" quotePrefix="0" xfId="0">
      <alignment horizontal="right" wrapText="1"/>
    </xf>
    <xf numFmtId="0" fontId="43" fillId="27" borderId="0" pivotButton="0" quotePrefix="0" xfId="0"/>
    <xf numFmtId="0" fontId="42" fillId="28" borderId="0" pivotButton="0" quotePrefix="0" xfId="0"/>
    <xf numFmtId="0" fontId="41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37" fillId="0" borderId="0" pivotButton="0" quotePrefix="0" xfId="0"/>
    <xf numFmtId="0" fontId="43" fillId="29" borderId="0" pivotButton="0" quotePrefix="0" xfId="0"/>
    <xf numFmtId="0" fontId="42" fillId="30" borderId="0" pivotButton="0" quotePrefix="0" xfId="0"/>
    <xf numFmtId="0" fontId="0" fillId="30" borderId="0" pivotButton="0" quotePrefix="0" xfId="0"/>
    <xf numFmtId="0" fontId="46" fillId="15" borderId="0" applyAlignment="1" pivotButton="0" quotePrefix="0" xfId="0">
      <alignment wrapText="1"/>
    </xf>
    <xf numFmtId="0" fontId="46" fillId="34" borderId="0" applyAlignment="1" pivotButton="0" quotePrefix="0" xfId="0">
      <alignment wrapText="1"/>
    </xf>
    <xf numFmtId="0" fontId="49" fillId="15" borderId="0" applyAlignment="1" pivotButton="0" quotePrefix="0" xfId="0">
      <alignment horizontal="center" wrapText="1"/>
    </xf>
    <xf numFmtId="0" fontId="49" fillId="34" borderId="0" applyAlignment="1" pivotButton="0" quotePrefix="0" xfId="0">
      <alignment horizontal="center" wrapText="1"/>
    </xf>
    <xf numFmtId="0" fontId="48" fillId="15" borderId="0" applyAlignment="1" pivotButton="0" quotePrefix="0" xfId="0">
      <alignment horizontal="right" wrapText="1"/>
    </xf>
    <xf numFmtId="0" fontId="48" fillId="34" borderId="0" applyAlignment="1" pivotButton="0" quotePrefix="0" xfId="0">
      <alignment horizontal="right" wrapText="1"/>
    </xf>
    <xf numFmtId="0" fontId="38" fillId="17" borderId="0" pivotButton="0" quotePrefix="0" xfId="0"/>
    <xf numFmtId="0" fontId="51" fillId="17" borderId="0" applyAlignment="1" pivotButton="0" quotePrefix="0" xfId="0">
      <alignment horizontal="center"/>
    </xf>
    <xf numFmtId="0" fontId="51" fillId="35" borderId="0" applyAlignment="1" pivotButton="0" quotePrefix="0" xfId="0">
      <alignment horizontal="center"/>
    </xf>
    <xf numFmtId="0" fontId="0" fillId="35" borderId="0" pivotButton="0" quotePrefix="0" xfId="0"/>
    <xf numFmtId="0" fontId="42" fillId="17" borderId="0" pivotButton="0" quotePrefix="0" xfId="0"/>
    <xf numFmtId="0" fontId="52" fillId="17" borderId="5" applyAlignment="1" pivotButton="0" quotePrefix="0" xfId="0">
      <alignment vertical="top" wrapText="1"/>
    </xf>
    <xf numFmtId="0" fontId="4" fillId="32" borderId="1" applyAlignment="1" pivotButton="0" quotePrefix="0" xfId="0">
      <alignment horizontal="center" vertical="center"/>
    </xf>
    <xf numFmtId="0" fontId="4" fillId="3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top" wrapText="1"/>
    </xf>
    <xf numFmtId="0" fontId="4" fillId="7" borderId="6" applyAlignment="1" pivotButton="0" quotePrefix="0" xfId="0">
      <alignment vertical="top" wrapText="1"/>
    </xf>
    <xf numFmtId="0" fontId="6" fillId="2" borderId="7" applyAlignment="1" pivotButton="0" quotePrefix="0" xfId="0">
      <alignment horizontal="center" vertical="center" wrapText="1"/>
    </xf>
    <xf numFmtId="0" fontId="4" fillId="32" borderId="8" applyAlignment="1" pivotButton="0" quotePrefix="0" xfId="0">
      <alignment horizontal="center" vertical="center"/>
    </xf>
    <xf numFmtId="0" fontId="4" fillId="0" borderId="8" applyAlignment="1" pivotButton="0" quotePrefix="0" xfId="0">
      <alignment vertical="top" wrapText="1"/>
    </xf>
    <xf numFmtId="0" fontId="4" fillId="8" borderId="8" applyAlignment="1" pivotButton="0" quotePrefix="0" xfId="0">
      <alignment vertical="top" wrapText="1"/>
    </xf>
    <xf numFmtId="0" fontId="4" fillId="18" borderId="1" applyAlignment="1" pivotButton="0" quotePrefix="0" xfId="0">
      <alignment horizontal="center" vertical="center"/>
    </xf>
    <xf numFmtId="0" fontId="4" fillId="18" borderId="6" applyAlignment="1" pivotButton="0" quotePrefix="0" xfId="0">
      <alignment horizontal="center" vertical="center"/>
    </xf>
    <xf numFmtId="0" fontId="4" fillId="5" borderId="6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4" fillId="32" borderId="7" applyAlignment="1" pivotButton="0" quotePrefix="0" xfId="0">
      <alignment horizontal="center" vertical="center"/>
    </xf>
    <xf numFmtId="0" fontId="4" fillId="0" borderId="7" applyAlignment="1" pivotButton="0" quotePrefix="0" xfId="0">
      <alignment vertical="top" wrapText="1"/>
    </xf>
    <xf numFmtId="0" fontId="4" fillId="8" borderId="7" applyAlignment="1" pivotButton="0" quotePrefix="0" xfId="0">
      <alignment vertical="top" wrapText="1"/>
    </xf>
    <xf numFmtId="0" fontId="4" fillId="18" borderId="8" applyAlignment="1" pivotButton="0" quotePrefix="0" xfId="0">
      <alignment horizontal="center" vertical="center"/>
    </xf>
    <xf numFmtId="0" fontId="4" fillId="5" borderId="8" applyAlignment="1" pivotButton="0" quotePrefix="0" xfId="0">
      <alignment vertical="top" wrapText="1"/>
    </xf>
    <xf numFmtId="0" fontId="4" fillId="7" borderId="8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center"/>
    </xf>
    <xf numFmtId="0" fontId="4" fillId="13" borderId="6" applyAlignment="1" pivotButton="0" quotePrefix="0" xfId="0">
      <alignment horizontal="center" vertical="center"/>
    </xf>
    <xf numFmtId="0" fontId="4" fillId="9" borderId="6" applyAlignment="1" pivotButton="0" quotePrefix="0" xfId="0">
      <alignment vertical="top" wrapText="1"/>
    </xf>
    <xf numFmtId="0" fontId="4" fillId="18" borderId="7" applyAlignment="1" pivotButton="0" quotePrefix="0" xfId="0">
      <alignment horizontal="center" vertical="center"/>
    </xf>
    <xf numFmtId="0" fontId="4" fillId="5" borderId="7" applyAlignment="1" pivotButton="0" quotePrefix="0" xfId="0">
      <alignment vertical="top" wrapText="1"/>
    </xf>
    <xf numFmtId="0" fontId="4" fillId="13" borderId="8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3" borderId="7" applyAlignment="1" pivotButton="0" quotePrefix="0" xfId="0">
      <alignment horizontal="center" vertical="center"/>
    </xf>
    <xf numFmtId="0" fontId="4" fillId="7" borderId="7" applyAlignment="1" pivotButton="0" quotePrefix="0" xfId="0">
      <alignment vertical="top" wrapText="1"/>
    </xf>
    <xf numFmtId="0" fontId="4" fillId="14" borderId="8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2" borderId="6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0" fontId="4" fillId="22" borderId="8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6" applyAlignment="1" pivotButton="0" quotePrefix="0" xfId="0">
      <alignment horizontal="center" vertical="center"/>
    </xf>
    <xf numFmtId="0" fontId="4" fillId="22" borderId="7" applyAlignment="1" pivotButton="0" quotePrefix="0" xfId="0">
      <alignment horizontal="center" vertical="center"/>
    </xf>
    <xf numFmtId="0" fontId="4" fillId="16" borderId="8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4" fillId="36" borderId="6" applyAlignment="1" pivotButton="0" quotePrefix="0" xfId="0">
      <alignment horizontal="center" vertical="center"/>
    </xf>
    <xf numFmtId="0" fontId="4" fillId="16" borderId="7" applyAlignment="1" pivotButton="0" quotePrefix="0" xfId="0">
      <alignment horizontal="center" vertical="center"/>
    </xf>
    <xf numFmtId="0" fontId="4" fillId="36" borderId="8" applyAlignment="1" pivotButton="0" quotePrefix="0" xfId="0">
      <alignment horizontal="center" vertical="center"/>
    </xf>
    <xf numFmtId="0" fontId="4" fillId="37" borderId="1" applyAlignment="1" pivotButton="0" quotePrefix="0" xfId="0">
      <alignment horizontal="center" vertical="center"/>
    </xf>
    <xf numFmtId="0" fontId="4" fillId="37" borderId="6" applyAlignment="1" pivotButton="0" quotePrefix="0" xfId="0">
      <alignment horizontal="center" vertical="center"/>
    </xf>
    <xf numFmtId="0" fontId="4" fillId="36" borderId="7" applyAlignment="1" pivotButton="0" quotePrefix="0" xfId="0">
      <alignment horizontal="center" vertical="center"/>
    </xf>
    <xf numFmtId="0" fontId="4" fillId="37" borderId="8" applyAlignment="1" pivotButton="0" quotePrefix="0" xfId="0">
      <alignment horizontal="center" vertical="center"/>
    </xf>
    <xf numFmtId="0" fontId="4" fillId="38" borderId="1" applyAlignment="1" pivotButton="0" quotePrefix="0" xfId="0">
      <alignment horizontal="center" vertical="center"/>
    </xf>
    <xf numFmtId="0" fontId="4" fillId="38" borderId="6" applyAlignment="1" pivotButton="0" quotePrefix="0" xfId="0">
      <alignment horizontal="center" vertical="center"/>
    </xf>
    <xf numFmtId="0" fontId="4" fillId="37" borderId="7" applyAlignment="1" pivotButton="0" quotePrefix="0" xfId="0">
      <alignment horizontal="center" vertical="center"/>
    </xf>
    <xf numFmtId="0" fontId="4" fillId="38" borderId="8" applyAlignment="1" pivotButton="0" quotePrefix="0" xfId="0">
      <alignment horizontal="center" vertical="center"/>
    </xf>
    <xf numFmtId="0" fontId="4" fillId="39" borderId="1" applyAlignment="1" pivotButton="0" quotePrefix="0" xfId="0">
      <alignment horizontal="center" vertical="center"/>
    </xf>
    <xf numFmtId="0" fontId="4" fillId="39" borderId="6" applyAlignment="1" pivotButton="0" quotePrefix="0" xfId="0">
      <alignment horizontal="center" vertical="center"/>
    </xf>
    <xf numFmtId="0" fontId="4" fillId="38" borderId="7" applyAlignment="1" pivotButton="0" quotePrefix="0" xfId="0">
      <alignment horizontal="center" vertical="center"/>
    </xf>
    <xf numFmtId="0" fontId="4" fillId="9" borderId="7" applyAlignment="1" pivotButton="0" quotePrefix="0" xfId="0">
      <alignment vertical="top" wrapText="1"/>
    </xf>
    <xf numFmtId="0" fontId="4" fillId="39" borderId="8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0" fontId="4" fillId="40" borderId="6" applyAlignment="1" pivotButton="0" quotePrefix="0" xfId="0">
      <alignment horizontal="center" vertical="center"/>
    </xf>
    <xf numFmtId="0" fontId="4" fillId="39" borderId="7" applyAlignment="1" pivotButton="0" quotePrefix="0" xfId="0">
      <alignment horizontal="center" vertical="center"/>
    </xf>
    <xf numFmtId="0" fontId="4" fillId="40" borderId="8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4" borderId="6" applyAlignment="1" pivotButton="0" quotePrefix="0" xfId="0">
      <alignment horizontal="center" vertical="center"/>
    </xf>
    <xf numFmtId="0" fontId="4" fillId="40" borderId="7" applyAlignment="1" pivotButton="0" quotePrefix="0" xfId="0">
      <alignment horizontal="center" vertical="center"/>
    </xf>
    <xf numFmtId="0" fontId="4" fillId="24" borderId="8" applyAlignment="1" pivotButton="0" quotePrefix="0" xfId="0">
      <alignment horizontal="center" vertical="center"/>
    </xf>
    <xf numFmtId="0" fontId="42" fillId="17" borderId="9" applyAlignment="1" pivotButton="0" quotePrefix="0" xfId="0">
      <alignment horizontal="center" vertical="center" wrapText="1"/>
    </xf>
    <xf numFmtId="0" fontId="35" fillId="0" borderId="9" applyAlignment="1" pivotButton="0" quotePrefix="0" xfId="0">
      <alignment vertical="top" wrapText="1"/>
    </xf>
    <xf numFmtId="0" fontId="53" fillId="0" borderId="0" pivotButton="0" quotePrefix="0" xfId="0"/>
    <xf numFmtId="0" fontId="39" fillId="0" borderId="0" pivotButton="0" quotePrefix="0" xfId="0"/>
    <xf numFmtId="164" fontId="54" fillId="0" borderId="0" pivotButton="0" quotePrefix="0" xfId="0"/>
    <xf numFmtId="164" fontId="55" fillId="0" borderId="0" pivotButton="0" quotePrefix="0" xfId="0"/>
    <xf numFmtId="0" fontId="56" fillId="0" borderId="0" pivotButton="0" quotePrefix="0" xfId="0"/>
    <xf numFmtId="166" fontId="13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6" fontId="0" fillId="0" borderId="0" pivotButton="0" quotePrefix="0" xfId="0"/>
    <xf numFmtId="167" fontId="39" fillId="0" borderId="0" pivotButton="0" quotePrefix="0" xfId="0"/>
    <xf numFmtId="0" fontId="57" fillId="17" borderId="0" pivotButton="0" quotePrefix="0" xfId="0"/>
    <xf numFmtId="0" fontId="42" fillId="41" borderId="5" applyAlignment="1" pivotButton="0" quotePrefix="0" xfId="0">
      <alignment horizontal="center" vertical="center" wrapText="1"/>
    </xf>
    <xf numFmtId="0" fontId="58" fillId="38" borderId="5" applyAlignment="1" pivotButton="0" quotePrefix="0" xfId="0">
      <alignment horizontal="center" vertical="top" wrapText="1"/>
    </xf>
    <xf numFmtId="0" fontId="59" fillId="13" borderId="9" applyAlignment="1" pivotButton="0" quotePrefix="0" xfId="0">
      <alignment horizontal="center" vertical="top" wrapText="1"/>
    </xf>
    <xf numFmtId="0" fontId="60" fillId="32" borderId="9" applyAlignment="1" pivotButton="0" quotePrefix="0" xfId="0">
      <alignment horizontal="center" vertical="top" wrapText="1"/>
    </xf>
    <xf numFmtId="0" fontId="58" fillId="38" borderId="9" applyAlignment="1" pivotButton="0" quotePrefix="0" xfId="0">
      <alignment horizontal="center" vertical="top" wrapText="1"/>
    </xf>
    <xf numFmtId="0" fontId="61" fillId="0" borderId="0" applyAlignment="1" pivotButton="0" quotePrefix="0" xfId="0">
      <alignment horizontal="center"/>
    </xf>
    <xf numFmtId="0" fontId="42" fillId="42" borderId="5" applyAlignment="1" pivotButton="0" quotePrefix="0" xfId="0">
      <alignment horizontal="center" vertical="center" wrapText="1"/>
    </xf>
    <xf numFmtId="0" fontId="62" fillId="18" borderId="0" applyAlignment="1" pivotButton="0" quotePrefix="0" xfId="0">
      <alignment horizontal="center"/>
    </xf>
    <xf numFmtId="164" fontId="63" fillId="18" borderId="0" applyAlignment="1" pivotButton="0" quotePrefix="0" xfId="0">
      <alignment horizontal="center"/>
    </xf>
    <xf numFmtId="0" fontId="64" fillId="23" borderId="0" applyAlignment="1" pivotButton="0" quotePrefix="0" xfId="0">
      <alignment horizontal="center"/>
    </xf>
    <xf numFmtId="0" fontId="65" fillId="23" borderId="0" applyAlignment="1" pivotButton="0" quotePrefix="0" xfId="0">
      <alignment horizontal="center"/>
    </xf>
    <xf numFmtId="0" fontId="38" fillId="17" borderId="0" applyAlignment="1" pivotButton="0" quotePrefix="0" xfId="0">
      <alignment horizontal="center"/>
    </xf>
    <xf numFmtId="0" fontId="50" fillId="17" borderId="0" applyAlignment="1" pivotButton="0" quotePrefix="0" xfId="0">
      <alignment horizontal="center"/>
    </xf>
    <xf numFmtId="0" fontId="36" fillId="13" borderId="0" applyAlignment="1" pivotButton="0" quotePrefix="0" xfId="0">
      <alignment horizontal="center"/>
    </xf>
    <xf numFmtId="0" fontId="66" fillId="14" borderId="0" applyAlignment="1" pivotButton="0" quotePrefix="0" xfId="0">
      <alignment horizontal="center"/>
    </xf>
    <xf numFmtId="0" fontId="41" fillId="23" borderId="0" applyAlignment="1" pivotButton="0" quotePrefix="0" xfId="0">
      <alignment horizontal="center"/>
    </xf>
    <xf numFmtId="0" fontId="67" fillId="43" borderId="0" pivotButton="0" quotePrefix="0" xfId="0"/>
    <xf numFmtId="0" fontId="0" fillId="0" borderId="0" applyAlignment="1" pivotButton="0" quotePrefix="0" xfId="0">
      <alignment vertical="top" wrapText="1"/>
    </xf>
    <xf numFmtId="0" fontId="68" fillId="0" borderId="0" pivotButton="0" quotePrefix="0" xfId="0"/>
    <xf numFmtId="0" fontId="69" fillId="43" borderId="0" pivotButton="0" quotePrefix="0" xfId="0"/>
    <xf numFmtId="0" fontId="4" fillId="0" borderId="5" applyAlignment="1" pivotButton="0" quotePrefix="0" xfId="0">
      <alignment vertical="top" wrapText="1"/>
    </xf>
    <xf numFmtId="0" fontId="7" fillId="0" borderId="0" pivotButton="0" quotePrefix="0" xfId="0"/>
    <xf numFmtId="0" fontId="0" fillId="0" borderId="0" pivotButton="0" quotePrefix="0" xfId="0"/>
    <xf numFmtId="0" fontId="9" fillId="6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1" fillId="0" borderId="0" pivotButton="0" quotePrefix="0" xfId="0"/>
    <xf numFmtId="0" fontId="8" fillId="0" borderId="0" pivotButton="0" quotePrefix="0" xfId="0"/>
    <xf numFmtId="0" fontId="15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6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5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62" fillId="18" borderId="0" applyAlignment="1" pivotButton="0" quotePrefix="0" xfId="0">
      <alignment wrapText="1"/>
    </xf>
    <xf numFmtId="0" fontId="51" fillId="31" borderId="0" applyAlignment="1" pivotButton="0" quotePrefix="0" xfId="0">
      <alignment horizontal="center" vertical="center"/>
    </xf>
    <xf numFmtId="0" fontId="70" fillId="22" borderId="0" applyAlignment="1" pivotButton="0" quotePrefix="0" xfId="0">
      <alignment horizontal="center" vertical="center"/>
    </xf>
    <xf numFmtId="0" fontId="71" fillId="15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top" wrapText="1"/>
    </xf>
    <xf numFmtId="0" fontId="73" fillId="0" borderId="0" applyAlignment="1" pivotButton="0" quotePrefix="0" xfId="0">
      <alignment vertical="top" wrapText="1"/>
    </xf>
    <xf numFmtId="0" fontId="74" fillId="44" borderId="0" applyAlignment="1" pivotButton="0" quotePrefix="0" xfId="0">
      <alignment vertical="top" wrapText="1"/>
    </xf>
  </cellXfs>
  <cellStyles count="1">
    <cellStyle name="Normal" xfId="0" builtinId="0"/>
  </cellStyles>
  <dxfs count="114">
    <dxf>
      <font>
        <color rgb="FF880E4F"/>
      </font>
      <fill>
        <patternFill patternType="solid">
          <fgColor indexed="64"/>
          <bgColor rgb="FFFCE4EC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1565C0"/>
      </font>
      <fill>
        <patternFill patternType="solid">
          <fgColor indexed="64"/>
          <bgColor rgb="FFE3F2FD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880E4F"/>
      </font>
      <fill>
        <patternFill patternType="solid">
          <fgColor indexed="64"/>
          <bgColor rgb="FFFCE4EC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1565C0"/>
      </font>
      <fill>
        <patternFill patternType="solid">
          <fgColor indexed="64"/>
          <bgColor rgb="FFE3F2FD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880E4F"/>
      </font>
      <fill>
        <patternFill patternType="solid">
          <fgColor indexed="64"/>
          <bgColor rgb="FFFCE4EC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1565C0"/>
      </font>
      <fill>
        <patternFill patternType="solid">
          <fgColor indexed="64"/>
          <bgColor rgb="FFE3F2FD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880E4F"/>
      </font>
      <fill>
        <patternFill patternType="solid">
          <fgColor indexed="64"/>
          <bgColor rgb="FFFCE4EC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1565C0"/>
      </font>
      <fill>
        <patternFill patternType="solid">
          <fgColor indexed="64"/>
          <bgColor rgb="FFE3F2FD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b val="1"/>
        <color rgb="FF4A148C"/>
      </font>
      <fill>
        <patternFill patternType="solid">
          <fgColor indexed="64"/>
          <bgColor rgb="FFEDE7F6"/>
        </patternFill>
      </fill>
    </dxf>
    <dxf>
      <font>
        <b val="1"/>
        <color rgb="FF0D47A1"/>
      </font>
      <fill>
        <patternFill patternType="solid">
          <fgColor indexed="64"/>
          <bgColor rgb="FFE3F2FD"/>
        </patternFill>
      </fill>
    </dxf>
    <dxf>
      <font>
        <b val="1"/>
        <color rgb="FF1B5E20"/>
      </font>
      <fill>
        <patternFill patternType="solid">
          <fgColor indexed="64"/>
          <bgColor rgb="FFE8F5E9"/>
        </patternFill>
      </fill>
    </dxf>
    <dxf>
      <font>
        <color rgb="FF880E4F"/>
      </font>
      <fill>
        <patternFill patternType="solid">
          <fgColor indexed="64"/>
          <bgColor rgb="FFFCE4EC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1565C0"/>
      </font>
      <fill>
        <patternFill patternType="solid">
          <fgColor indexed="64"/>
          <bgColor rgb="FFE3F2FD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880E4F"/>
      </font>
      <fill>
        <patternFill patternType="solid">
          <fgColor indexed="64"/>
          <bgColor rgb="FFFCE4EC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1565C0"/>
      </font>
      <fill>
        <patternFill patternType="solid">
          <fgColor indexed="64"/>
          <bgColor rgb="FFE3F2FD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880E4F"/>
      </font>
      <fill>
        <patternFill patternType="solid">
          <fgColor indexed="64"/>
          <bgColor rgb="FFFCE4EC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1565C0"/>
      </font>
      <fill>
        <patternFill patternType="solid">
          <fgColor indexed="64"/>
          <bgColor rgb="FFE3F2FD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b val="1"/>
        <color rgb="FF2E7D32"/>
      </font>
      <fill>
        <patternFill patternType="solid">
          <fgColor indexed="64"/>
          <bgColor rgb="FFE8F5E9"/>
        </patternFill>
      </fill>
    </dxf>
    <dxf>
      <font>
        <b val="1"/>
        <color rgb="FFF57C00"/>
      </font>
      <fill>
        <patternFill patternType="solid">
          <fgColor indexed="64"/>
          <bgColor rgb="FFFFF8E1"/>
        </patternFill>
      </fill>
    </dxf>
    <dxf>
      <font>
        <b val="1"/>
        <color rgb="FFE65100"/>
      </font>
      <fill>
        <patternFill patternType="solid">
          <fgColor indexed="64"/>
          <bgColor rgb="FFFFF3E0"/>
        </patternFill>
      </fill>
    </dxf>
    <dxf>
      <font>
        <b val="1"/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8E1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 Velocity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Cumulative Sessions</v>
          </tx>
          <spPr>
            <a:ln xmlns:a="http://schemas.openxmlformats.org/drawingml/2006/main" w="28575" cap="rnd">
              <a:solidFill>
                <a:srgbClr val="00838F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'Session Log'!$L$2:$L$10</f>
              <numCache>
                <formatCode>yyyy\-mm\-dd</formatCode>
                <ptCount val="9"/>
                <pt idx="0">
                  <v>46053</v>
                </pt>
                <pt idx="1">
                  <v>46054</v>
                </pt>
                <pt idx="2">
                  <v>46061</v>
                </pt>
                <pt idx="3">
                  <v>46069</v>
                </pt>
                <pt idx="4">
                  <v>46095</v>
                </pt>
                <pt idx="5">
                  <v>46095</v>
                </pt>
                <pt idx="6">
                  <v>46119</v>
                </pt>
                <pt idx="7">
                  <v>46123</v>
                </pt>
                <pt idx="8">
                  <v>46127</v>
                </pt>
              </numCache>
            </numRef>
          </cat>
          <val>
            <numRef>
              <f>'Session Log'!$N$2:$N$10</f>
              <numCache>
                <formatCode>General</formatCode>
                <ptCount val="9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69290304"/>
        <axId val="1469290784"/>
      </lineChart>
      <dateAx>
        <axId val="1469290304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69290784"/>
        <crosses val="autoZero"/>
        <lblOffset val="100"/>
        <baseTimeUnit val="days"/>
      </dateAx>
      <valAx>
        <axId val="14692907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6929030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 Velocity — Cumulative Sessions Over Time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Sessions</v>
          </tx>
          <spPr>
            <a:ln xmlns:a="http://schemas.openxmlformats.org/drawingml/2006/main" w="28575" cap="rnd">
              <a:solidFill>
                <a:srgbClr val="00838F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'Session Log'!$L$2:$L$10</f>
              <numCache>
                <formatCode>yyyy\-mm\-dd</formatCode>
                <ptCount val="9"/>
                <pt idx="0">
                  <v>46053</v>
                </pt>
                <pt idx="1">
                  <v>46054</v>
                </pt>
                <pt idx="2">
                  <v>46061</v>
                </pt>
                <pt idx="3">
                  <v>46069</v>
                </pt>
                <pt idx="4">
                  <v>46095</v>
                </pt>
                <pt idx="5">
                  <v>46095</v>
                </pt>
                <pt idx="6">
                  <v>46119</v>
                </pt>
                <pt idx="7">
                  <v>46123</v>
                </pt>
                <pt idx="8">
                  <v>46127</v>
                </pt>
              </numCache>
            </numRef>
          </cat>
          <val>
            <numRef>
              <f>'Session Log'!$N$2:$N$10</f>
              <numCache>
                <formatCode>General</formatCode>
                <ptCount val="9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31060224"/>
        <axId val="731060704"/>
      </lineChart>
      <dateAx>
        <axId val="731060224"/>
        <scaling>
          <orientation val="minMax"/>
        </scaling>
        <delete val="0"/>
        <axPos val="b"/>
        <numFmt formatCode="yyyy\-mm\-dd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31060704"/>
        <crosses val="autoZero"/>
        <lblOffset val="100"/>
        <baseTimeUnit val="days"/>
      </dateAx>
      <valAx>
        <axId val="7310607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3106022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13</col>
      <colOff>309824</colOff>
      <row>10</row>
      <rowOff>142352</rowOff>
    </from>
    <to>
      <col>21</col>
      <colOff>45218</colOff>
      <row>24</row>
      <rowOff>13259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427055</colOff>
      <row>13</row>
      <rowOff>75362</rowOff>
    </from>
    <to>
      <col>13</col>
      <colOff>949569</colOff>
      <row>26</row>
      <rowOff>155609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docs/modules/core.md" TargetMode="External" Id="rId1"/><Relationship Type="http://schemas.openxmlformats.org/officeDocument/2006/relationships/hyperlink" Target="docs/modules/main.md" TargetMode="External" Id="rId2"/><Relationship Type="http://schemas.openxmlformats.org/officeDocument/2006/relationships/hyperlink" Target="docs/modules/advanced.md" TargetMode="External" Id="rId3"/><Relationship Type="http://schemas.openxmlformats.org/officeDocument/2006/relationships/hyperlink" Target="docs/modules/constants.md" TargetMode="External" Id="rId4"/><Relationship Type="http://schemas.openxmlformats.org/officeDocument/2006/relationships/hyperlink" Target="docs/modules/data-system.md" TargetMode="External" Id="rId5"/><Relationship Type="http://schemas.openxmlformats.org/officeDocument/2006/relationships/hyperlink" Target="docs/modules/simulator.md" TargetMode="External" Id="rId6"/><Relationship Type="http://schemas.openxmlformats.org/officeDocument/2006/relationships/hyperlink" Target="docs/modules/edge.md" TargetMode="External" Id="rId7"/><Relationship Type="http://schemas.openxmlformats.org/officeDocument/2006/relationships/hyperlink" Target="docs/modules/shadow.md" TargetMode="External" Id="rId8"/><Relationship Type="http://schemas.openxmlformats.org/officeDocument/2006/relationships/hyperlink" Target="docs/modules/orchestrator.md" TargetMode="External" Id="rId9"/><Relationship Type="http://schemas.openxmlformats.org/officeDocument/2006/relationships/hyperlink" Target="docs/modules/ai.md" TargetMode="External" Id="rId10"/><Relationship Type="http://schemas.openxmlformats.org/officeDocument/2006/relationships/hyperlink" Target="docs/modules/pages.md" TargetMode="External" Id="rId11"/><Relationship Type="http://schemas.openxmlformats.org/officeDocument/2006/relationships/hyperlink" Target="docs/modules/tests.md" TargetMode="External" Id="rId12"/><Relationship Type="http://schemas.openxmlformats.org/officeDocument/2006/relationships/hyperlink" Target="docs/modules/companies.md" TargetMode="External" Id="rId13"/><Relationship Type="http://schemas.openxmlformats.org/officeDocument/2006/relationships/hyperlink" Target="docs/modules/documentation.md" TargetMode="External" Id="rId14"/><Relationship Type="http://schemas.openxmlformats.org/officeDocument/2006/relationships/hyperlink" Target="docs/modules/math-docs.md" TargetMode="External" Id="rId15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BCD4"/>
    <outlinePr summaryBelow="1" summaryRight="1"/>
    <pageSetUpPr/>
  </sheetPr>
  <dimension ref="A1:H26"/>
  <sheetViews>
    <sheetView zoomScale="90" workbookViewId="0">
      <pane ySplit="9" topLeftCell="A10" activePane="bottomLeft" state="frozen"/>
      <selection pane="bottomLeft" activeCell="D4" sqref="D4"/>
    </sheetView>
  </sheetViews>
  <sheetFormatPr baseColWidth="8" defaultRowHeight="14.4"/>
  <cols>
    <col width="45.21875" bestFit="1" customWidth="1" style="204" min="1" max="1"/>
    <col width="27.5546875" bestFit="1" customWidth="1" style="204" min="2" max="2"/>
    <col width="23.44140625" bestFit="1" customWidth="1" style="204" min="3" max="3"/>
    <col width="34.109375" bestFit="1" customWidth="1" style="204" min="4" max="4"/>
    <col width="34.77734375" bestFit="1" customWidth="1" style="204" min="5" max="5"/>
    <col width="18.5546875" bestFit="1" customWidth="1" style="204" min="6" max="6"/>
    <col width="39.6640625" bestFit="1" customWidth="1" style="204" min="7" max="7"/>
    <col width="10.21875" customWidth="1" style="204" min="8" max="8"/>
  </cols>
  <sheetData>
    <row r="1" ht="24.6" customHeight="1" s="204">
      <c r="A1" s="207" t="inlineStr">
        <is>
          <t>QUANNEX POC — CONTROL PANEL</t>
        </is>
      </c>
    </row>
    <row r="3" ht="19.2" customHeight="1" s="204">
      <c r="A3" s="206" t="inlineStr">
        <is>
          <t>THESIS DEFENSE COUNTDOWN</t>
        </is>
      </c>
      <c r="D3" s="104" t="inlineStr">
        <is>
          <t>CEN STATUS</t>
        </is>
      </c>
      <c r="E3" s="105" t="n"/>
      <c r="F3" s="103" t="inlineStr">
        <is>
          <t>Count</t>
        </is>
      </c>
      <c r="G3" s="103" t="inlineStr">
        <is>
          <t>ELEMENTS</t>
        </is>
      </c>
      <c r="H3" s="105" t="n"/>
    </row>
    <row r="4" ht="20.4" customHeight="1" s="204">
      <c r="A4" s="1" t="inlineStr">
        <is>
          <t>Days Remaining</t>
        </is>
      </c>
      <c r="B4" s="16">
        <f>DATE(2026,6,1)-TODAY()</f>
        <v/>
      </c>
      <c r="D4" s="189" t="inlineStr">
        <is>
          <t>Days to meeting</t>
        </is>
      </c>
      <c r="E4" s="189">
        <f>"Apr 17 "&amp;IF(DATE(2026,4,17)-TODAY()=0,"TODAY",IF(DATE(2026,4,17)-TODAY()=1,"TOMORROW",IF(DATE(2026,4,17)-TODAY()&lt;0,"PAST","")))</f>
        <v/>
      </c>
      <c r="F4" s="41">
        <f>COUNTIF('60 Elements'!E2:E61,"PASS")</f>
        <v/>
      </c>
      <c r="G4" s="45" t="inlineStr">
        <is>
          <t>Element Health</t>
        </is>
      </c>
    </row>
    <row r="5" ht="15" customHeight="1" s="204">
      <c r="A5" s="1" t="inlineStr">
        <is>
          <t>Current Week</t>
        </is>
      </c>
      <c r="B5" s="17">
        <f>15-INT((DATE(2026,6,1)-TODAY())/7)</f>
        <v/>
      </c>
      <c r="D5" s="190">
        <f>DATE(2026,4,17)-TODAY()</f>
        <v/>
      </c>
      <c r="E5" s="189" t="inlineStr">
        <is>
          <t>until CEN</t>
        </is>
      </c>
      <c r="F5" s="42">
        <f>COUNTIF('60 Elements'!E2:E61,"WARN")</f>
        <v/>
      </c>
      <c r="G5" s="46" t="inlineStr">
        <is>
          <t>60 total checks</t>
        </is>
      </c>
    </row>
    <row r="6" ht="15" customHeight="1" s="204">
      <c r="A6" s="1" t="inlineStr">
        <is>
          <t>Hard Deadline</t>
        </is>
      </c>
      <c r="B6" s="3" t="inlineStr">
        <is>
          <t>June 1, 2026 (noon)</t>
        </is>
      </c>
      <c r="D6" s="191" t="inlineStr">
        <is>
          <t>Blockers</t>
        </is>
      </c>
      <c r="E6" s="191" t="inlineStr">
        <is>
          <t>packaging actions</t>
        </is>
      </c>
      <c r="F6" s="43">
        <f>COUNTIF('60 Elements'!E2:E61,"—")</f>
        <v/>
      </c>
      <c r="G6" s="47" t="inlineStr">
        <is>
          <t>↑ live counts</t>
        </is>
      </c>
    </row>
    <row r="7" ht="15" customHeight="1" s="204">
      <c r="A7" s="1" t="inlineStr">
        <is>
          <t>Next Milestone</t>
        </is>
      </c>
      <c r="B7" s="21" t="inlineStr">
        <is>
          <t>Phase 3 validation — ~April 17</t>
        </is>
      </c>
      <c r="D7" s="192">
        <f>COUNTIF('CEN Deliverables'!F25:F32,"NOT DONE")+COUNTIF('CEN Deliverables'!F25:F32,"NOT STARTED")+COUNTIF('CEN Deliverables'!F25:F32,"BLOCKED")</f>
        <v/>
      </c>
      <c r="E7" s="191">
        <f>"of "&amp;COUNTA('CEN Deliverables'!F25:F32)&amp;" total"</f>
        <v/>
      </c>
      <c r="F7" s="44">
        <f>TEXT((60-COUNTIF('60 Elements'!E2:E61,"—"))/60,"0%")</f>
        <v/>
      </c>
      <c r="G7" s="48" t="inlineStr">
        <is>
          <t>from 60 Elements</t>
        </is>
      </c>
    </row>
    <row r="9" ht="16.8" customHeight="1" s="204">
      <c r="A9" s="4" t="inlineStr">
        <is>
          <t>Face #</t>
        </is>
      </c>
      <c r="B9" s="4" t="inlineStr">
        <is>
          <t>Name</t>
        </is>
      </c>
      <c r="C9" s="4" t="inlineStr">
        <is>
          <t>Dimension</t>
        </is>
      </c>
      <c r="D9" s="4" t="inlineStr">
        <is>
          <t>Status</t>
        </is>
      </c>
      <c r="E9" s="4" t="inlineStr">
        <is>
          <t>Key Metric</t>
        </is>
      </c>
      <c r="F9" s="4" t="inlineStr">
        <is>
          <t>Last Assessed</t>
        </is>
      </c>
      <c r="G9" s="4" t="inlineStr">
        <is>
          <t>Notes</t>
        </is>
      </c>
      <c r="H9" s="49" t="inlineStr">
        <is>
          <t>Health</t>
        </is>
      </c>
    </row>
    <row r="10" ht="15" customHeight="1" s="204">
      <c r="A10" s="70" t="n">
        <v>1</v>
      </c>
      <c r="B10" s="6" t="inlineStr">
        <is>
          <t>Survival</t>
        </is>
      </c>
      <c r="C10" s="6" t="inlineStr">
        <is>
          <t>Correctness</t>
        </is>
      </c>
      <c r="D10" s="7">
        <f>IF(COUNTIFS('60 Elements'!$A$2:$A$61,$A10,'60 Elements'!$E$2:$E$61,"WARN")&gt;0,"WARN",IF(COUNTIFS('60 Elements'!$A$2:$A$61,$A10,'60 Elements'!$E$2:$E$61,"PASS")&gt;0,"PASS","—"))</f>
        <v/>
      </c>
      <c r="E10" s="6" t="inlineStr">
        <is>
          <t>0 syntax errors</t>
        </is>
      </c>
      <c r="F10" s="6">
        <f t="array" ref="F10">IFERROR(IF(SUMPRODUCT(('60 Elements'!$A$2:$A$61=$A10)*('60 Elements'!$G$2:$G$61&lt;&gt;""))=0,"—",TEXT(MAX(IF(('60 Elements'!$A$2:$A$61=$A10)*('60 Elements'!$G$2:$G$61&lt;&gt;""),DATEVALUE('60 Elements'!$G$2:$G$61))),"yyyy-mm-dd")),"—")</f>
        <v/>
      </c>
      <c r="G10" s="6" t="n"/>
      <c r="H10" s="50">
        <f>IF(D10="PASS","✅",IF(D10="WARN","⚠️","❌"))</f>
        <v/>
      </c>
    </row>
    <row r="11" ht="15" customHeight="1" s="204">
      <c r="A11" s="70" t="n">
        <v>2</v>
      </c>
      <c r="B11" s="6" t="inlineStr">
        <is>
          <t>Foundation</t>
        </is>
      </c>
      <c r="C11" s="6" t="inlineStr">
        <is>
          <t>Structural Integrity</t>
        </is>
      </c>
      <c r="D11" s="7">
        <f>IF(COUNTIFS('60 Elements'!$A$2:$A$61,$A11,'60 Elements'!$E$2:$E$61,"WARN")&gt;0,"WARN",IF(COUNTIFS('60 Elements'!$A$2:$A$61,$A11,'60 Elements'!$E$2:$E$61,"PASS")&gt;0,"PASS","—"))</f>
        <v/>
      </c>
      <c r="E11" s="6" t="inlineStr">
        <is>
          <t>PhiHarmonics consistent</t>
        </is>
      </c>
      <c r="F11" s="6">
        <f t="array" ref="F11">IFERROR(IF(SUMPRODUCT(('60 Elements'!$A$2:$A$61=$A11)*('60 Elements'!$G$2:$G$61&lt;&gt;""))=0,"—",TEXT(MAX(IF(('60 Elements'!$A$2:$A$61=$A11)*('60 Elements'!$G$2:$G$61&lt;&gt;""),DATEVALUE('60 Elements'!$G$2:$G$61))),"yyyy-mm-dd")),"—")</f>
        <v/>
      </c>
      <c r="G11" s="6" t="n"/>
      <c r="H11" s="50">
        <f>IF(D11="PASS","✅",IF(D11="WARN","⚠️","❌"))</f>
        <v/>
      </c>
    </row>
    <row r="12" ht="15" customHeight="1" s="204">
      <c r="A12" s="70" t="n">
        <v>3</v>
      </c>
      <c r="B12" s="6" t="inlineStr">
        <is>
          <t>Clarity</t>
        </is>
      </c>
      <c r="C12" s="6" t="inlineStr">
        <is>
          <t>Documentation</t>
        </is>
      </c>
      <c r="D12" s="7">
        <f>IF(COUNTIFS('60 Elements'!$A$2:$A$61,$A12,'60 Elements'!$E$2:$E$61,"WARN")&gt;0,"WARN",IF(COUNTIFS('60 Elements'!$A$2:$A$61,$A12,'60 Elements'!$E$2:$E$61,"PASS")&gt;0,"PASS","—"))</f>
        <v/>
      </c>
      <c r="E12" s="6" t="inlineStr">
        <is>
          <t>α-drift class patched</t>
        </is>
      </c>
      <c r="F12" s="6">
        <f t="array" ref="F12">IFERROR(IF(SUMPRODUCT(('60 Elements'!$A$2:$A$61=$A12)*('60 Elements'!$G$2:$G$61&lt;&gt;""))=0,"—",TEXT(MAX(IF(('60 Elements'!$A$2:$A$61=$A12)*('60 Elements'!$G$2:$G$61&lt;&gt;""),DATEVALUE('60 Elements'!$G$2:$G$61))),"yyyy-mm-dd")),"—")</f>
        <v/>
      </c>
      <c r="G12" s="6" t="inlineStr">
        <is>
          <t>Doc-drift risk ongoing</t>
        </is>
      </c>
      <c r="H12" s="51">
        <f>IF(D12="PASS","✅",IF(D12="WARN","⚠️","❌"))</f>
        <v/>
      </c>
    </row>
    <row r="13" ht="15" customHeight="1" s="204">
      <c r="A13" s="70" t="n">
        <v>4</v>
      </c>
      <c r="B13" s="6" t="inlineStr">
        <is>
          <t>Harmony</t>
        </is>
      </c>
      <c r="C13" s="6" t="inlineStr">
        <is>
          <t>DRY &amp; Hygiene</t>
        </is>
      </c>
      <c r="D13" s="7">
        <f>IF(COUNTIFS('60 Elements'!$A$2:$A$61,$A13,'60 Elements'!$E$2:$E$61,"WARN")&gt;0,"WARN",IF(COUNTIFS('60 Elements'!$A$2:$A$61,$A13,'60 Elements'!$E$2:$E$61,"PASS")&gt;0,"PASS","—"))</f>
        <v/>
      </c>
      <c r="E13" s="6" t="inlineStr">
        <is>
          <t>Logger migration done</t>
        </is>
      </c>
      <c r="F13" s="6">
        <f t="array" ref="F13">IFERROR(IF(SUMPRODUCT(('60 Elements'!$A$2:$A$61=$A13)*('60 Elements'!$G$2:$G$61&lt;&gt;""))=0,"—",TEXT(MAX(IF(('60 Elements'!$A$2:$A$61=$A13)*('60 Elements'!$G$2:$G$61&lt;&gt;""),DATEVALUE('60 Elements'!$G$2:$G$61))),"yyyy-mm-dd")),"—")</f>
        <v/>
      </c>
      <c r="G13" s="6" t="inlineStr">
        <is>
          <t>3 spectral files = tech debt</t>
        </is>
      </c>
      <c r="H13" s="50">
        <f>IF(D13="PASS","✅",IF(D13="WARN","⚠️","❌"))</f>
        <v/>
      </c>
    </row>
    <row r="14" ht="15" customHeight="1" s="204">
      <c r="A14" s="70" t="n">
        <v>5</v>
      </c>
      <c r="B14" s="6" t="inlineStr">
        <is>
          <t>Signal</t>
        </is>
      </c>
      <c r="C14" s="6" t="inlineStr">
        <is>
          <t>Honest Output</t>
        </is>
      </c>
      <c r="D14" s="7">
        <f>IF(COUNTIFS('60 Elements'!$A$2:$A$61,$A14,'60 Elements'!$E$2:$E$61,"WARN")&gt;0,"WARN",IF(COUNTIFS('60 Elements'!$A$2:$A$61,$A14,'60 Elements'!$E$2:$E$61,"PASS")&gt;0,"PASS","—"))</f>
        <v/>
      </c>
      <c r="E14" s="6" t="inlineStr">
        <is>
          <t>Test honesty verified</t>
        </is>
      </c>
      <c r="F14" s="6">
        <f t="array" ref="F14">IFERROR(IF(SUMPRODUCT(('60 Elements'!$A$2:$A$61=$A14)*('60 Elements'!$G$2:$G$61&lt;&gt;""))=0,"—",TEXT(MAX(IF(('60 Elements'!$A$2:$A$61=$A14)*('60 Elements'!$G$2:$G$61&lt;&gt;""),DATEVALUE('60 Elements'!$G$2:$G$61))),"yyyy-mm-dd")),"—")</f>
        <v/>
      </c>
      <c r="G14" s="6" t="inlineStr">
        <is>
          <t>Stress test was once dishonest</t>
        </is>
      </c>
      <c r="H14" s="50">
        <f>IF(D14="PASS","✅",IF(D14="WARN","⚠️","❌"))</f>
        <v/>
      </c>
    </row>
    <row r="15" ht="15" customHeight="1" s="204">
      <c r="A15" s="70" t="n">
        <v>6</v>
      </c>
      <c r="B15" s="6" t="inlineStr">
        <is>
          <t>Consciousness</t>
        </is>
      </c>
      <c r="C15" s="6" t="inlineStr">
        <is>
          <t>Intelligence Interop</t>
        </is>
      </c>
      <c r="D15" s="7">
        <f>IF(COUNTIFS('60 Elements'!$A$2:$A$61,$A15,'60 Elements'!$E$2:$E$61,"WARN")&gt;0,"WARN",IF(COUNTIFS('60 Elements'!$A$2:$A$61,$A15,'60 Elements'!$E$2:$E$61,"PASS")&gt;0,"PASS","—"))</f>
        <v/>
      </c>
      <c r="E15" s="6" t="inlineStr">
        <is>
          <t>CLAUDE.md + hooks active</t>
        </is>
      </c>
      <c r="F15" s="6">
        <f t="array" ref="F15">IFERROR(IF(SUMPRODUCT(('60 Elements'!$A$2:$A$61=$A15)*('60 Elements'!$G$2:$G$61&lt;&gt;""))=0,"—",TEXT(MAX(IF(('60 Elements'!$A$2:$A$61=$A15)*('60 Elements'!$G$2:$G$61&lt;&gt;""),DATEVALUE('60 Elements'!$G$2:$G$61))),"yyyy-mm-dd")),"—")</f>
        <v/>
      </c>
      <c r="G15" s="6" t="n"/>
      <c r="H15" s="50">
        <f>IF(D15="PASS","✅",IF(D15="WARN","⚠️","❌"))</f>
        <v/>
      </c>
    </row>
    <row r="16" ht="15" customHeight="1" s="204">
      <c r="A16" s="70" t="n">
        <v>7</v>
      </c>
      <c r="B16" s="6" t="inlineStr">
        <is>
          <t>Coherence</t>
        </is>
      </c>
      <c r="C16" s="6" t="inlineStr">
        <is>
          <t>Pattern Alignment</t>
        </is>
      </c>
      <c r="D16" s="7">
        <f>IF(COUNTIFS('60 Elements'!$A$2:$A$61,$A16,'60 Elements'!$E$2:$E$61,"WARN")&gt;0,"WARN",IF(COUNTIFS('60 Elements'!$A$2:$A$61,$A16,'60 Elements'!$E$2:$E$61,"PASS")&gt;0,"PASS","—"))</f>
        <v/>
      </c>
      <c r="E16" s="6" t="inlineStr">
        <is>
          <t>5-pass engine intact</t>
        </is>
      </c>
      <c r="F16" s="6">
        <f t="array" ref="F16">IFERROR(IF(SUMPRODUCT(('60 Elements'!$A$2:$A$61=$A16)*('60 Elements'!$G$2:$G$61&lt;&gt;""))=0,"—",TEXT(MAX(IF(('60 Elements'!$A$2:$A$61=$A16)*('60 Elements'!$G$2:$G$61&lt;&gt;""),DATEVALUE('60 Elements'!$G$2:$G$61))),"yyyy-mm-dd")),"—")</f>
        <v/>
      </c>
      <c r="G16" s="6" t="n"/>
      <c r="H16" s="50">
        <f>IF(D16="PASS","✅",IF(D16="WARN","⚠️","❌"))</f>
        <v/>
      </c>
    </row>
    <row r="17" ht="15" customHeight="1" s="204">
      <c r="A17" s="70" t="n">
        <v>8</v>
      </c>
      <c r="B17" s="6" t="inlineStr">
        <is>
          <t>Resilience</t>
        </is>
      </c>
      <c r="C17" s="6" t="inlineStr">
        <is>
          <t>Risk &amp; Security</t>
        </is>
      </c>
      <c r="D17" s="7">
        <f>IF(COUNTIFS('60 Elements'!$A$2:$A$61,$A17,'60 Elements'!$E$2:$E$61,"WARN")&gt;0,"WARN",IF(COUNTIFS('60 Elements'!$A$2:$A$61,$A17,'60 Elements'!$E$2:$E$61,"PASS")&gt;0,"PASS","—"))</f>
        <v/>
      </c>
      <c r="E17" s="6" t="inlineStr">
        <is>
          <t>Circuit breaker active</t>
        </is>
      </c>
      <c r="F17" s="6">
        <f t="array" ref="F17">IFERROR(IF(SUMPRODUCT(('60 Elements'!$A$2:$A$61=$A17)*('60 Elements'!$G$2:$G$61&lt;&gt;""))=0,"—",TEXT(MAX(IF(('60 Elements'!$A$2:$A$61=$A17)*('60 Elements'!$G$2:$G$61&lt;&gt;""),DATEVALUE('60 Elements'!$G$2:$G$61))),"yyyy-mm-dd")),"—")</f>
        <v/>
      </c>
      <c r="G17" s="6" t="inlineStr">
        <is>
          <t>Edge cases need re-testing</t>
        </is>
      </c>
      <c r="H17" s="51">
        <f>IF(D17="PASS","✅",IF(D17="WARN","⚠️","❌"))</f>
        <v/>
      </c>
    </row>
    <row r="18" ht="15" customHeight="1" s="204">
      <c r="A18" s="70" t="n">
        <v>9</v>
      </c>
      <c r="B18" s="6" t="inlineStr">
        <is>
          <t>Growth</t>
        </is>
      </c>
      <c r="C18" s="6" t="inlineStr">
        <is>
          <t>Regenerative Quality</t>
        </is>
      </c>
      <c r="D18" s="7">
        <f>IF(COUNTIFS('60 Elements'!$A$2:$A$61,$A18,'60 Elements'!$E$2:$E$61,"WARN")&gt;0,"WARN",IF(COUNTIFS('60 Elements'!$A$2:$A$61,$A18,'60 Elements'!$E$2:$E$61,"PASS")&gt;0,"PASS","—"))</f>
        <v/>
      </c>
      <c r="E18" s="6" t="inlineStr">
        <is>
          <t>Self-dev pattern installed</t>
        </is>
      </c>
      <c r="F18" s="6">
        <f t="array" ref="F18">IFERROR(IF(SUMPRODUCT(('60 Elements'!$A$2:$A$61=$A18)*('60 Elements'!$G$2:$G$61&lt;&gt;""))=0,"—",TEXT(MAX(IF(('60 Elements'!$A$2:$A$61=$A18)*('60 Elements'!$G$2:$G$61&lt;&gt;""),DATEVALUE('60 Elements'!$G$2:$G$61))),"yyyy-mm-dd")),"—")</f>
        <v/>
      </c>
      <c r="G18" s="6" t="inlineStr">
        <is>
          <t>13 growth ideas pending</t>
        </is>
      </c>
      <c r="H18" s="50">
        <f>IF(D18="PASS","✅",IF(D18="WARN","⚠️","❌"))</f>
        <v/>
      </c>
    </row>
    <row r="19" ht="15" customHeight="1" s="204">
      <c r="A19" s="70" t="n">
        <v>10</v>
      </c>
      <c r="B19" s="6" t="inlineStr">
        <is>
          <t>Integrity</t>
        </is>
      </c>
      <c r="C19" s="6" t="inlineStr">
        <is>
          <t>Test Coverage</t>
        </is>
      </c>
      <c r="D19" s="7">
        <f>IF(COUNTIFS('60 Elements'!$A$2:$A$61,$A19,'60 Elements'!$E$2:$E$61,"WARN")&gt;0,"WARN",IF(COUNTIFS('60 Elements'!$A$2:$A$61,$A19,'60 Elements'!$E$2:$E$61,"PASS")&gt;0,"PASS","—"))</f>
        <v/>
      </c>
      <c r="E19" s="6" t="inlineStr">
        <is>
          <t>306/306 green</t>
        </is>
      </c>
      <c r="F19" s="6">
        <f t="array" ref="F19">IFERROR(IF(SUMPRODUCT(('60 Elements'!$A$2:$A$61=$A19)*('60 Elements'!$G$2:$G$61&lt;&gt;""))=0,"—",TEXT(MAX(IF(('60 Elements'!$A$2:$A$61=$A19)*('60 Elements'!$G$2:$G$61&lt;&gt;""),DATEVALUE('60 Elements'!$G$2:$G$61))),"yyyy-mm-dd")),"—")</f>
        <v/>
      </c>
      <c r="G19" s="6" t="inlineStr">
        <is>
          <t>Smoke test needs HTTP server</t>
        </is>
      </c>
      <c r="H19" s="50">
        <f>IF(D19="PASS","✅",IF(D19="WARN","⚠️","❌"))</f>
        <v/>
      </c>
    </row>
    <row r="20" ht="15" customHeight="1" s="204">
      <c r="A20" s="70" t="n">
        <v>11</v>
      </c>
      <c r="B20" s="6" t="inlineStr">
        <is>
          <t>Discovery</t>
        </is>
      </c>
      <c r="C20" s="6" t="inlineStr">
        <is>
          <t>Research &amp; Creativity</t>
        </is>
      </c>
      <c r="D20" s="7">
        <f>IF(COUNTIFS('60 Elements'!$A$2:$A$61,$A20,'60 Elements'!$E$2:$E$61,"WARN")&gt;0,"WARN",IF(COUNTIFS('60 Elements'!$A$2:$A$61,$A20,'60 Elements'!$E$2:$E$61,"PASS")&gt;0,"PASS","—"))</f>
        <v/>
      </c>
      <c r="E20" s="6" t="inlineStr">
        <is>
          <t>11 emergent truths found</t>
        </is>
      </c>
      <c r="F20" s="6">
        <f t="array" ref="F20">IFERROR(IF(SUMPRODUCT(('60 Elements'!$A$2:$A$61=$A20)*('60 Elements'!$G$2:$G$61&lt;&gt;""))=0,"—",TEXT(MAX(IF(('60 Elements'!$A$2:$A$61=$A20)*('60 Elements'!$G$2:$G$61&lt;&gt;""),DATEVALUE('60 Elements'!$G$2:$G$61))),"yyyy-mm-dd")),"—")</f>
        <v/>
      </c>
      <c r="G20" s="6" t="n"/>
      <c r="H20" s="50">
        <f>IF(D20="PASS","✅",IF(D20="WARN","⚠️","❌"))</f>
        <v/>
      </c>
    </row>
    <row r="21" ht="15" customHeight="1" s="204">
      <c r="A21" s="70" t="n">
        <v>12</v>
      </c>
      <c r="B21" s="6" t="inlineStr">
        <is>
          <t>Radiance</t>
        </is>
      </c>
      <c r="C21" s="6" t="inlineStr">
        <is>
          <t>Sustainable Exponentiality</t>
        </is>
      </c>
      <c r="D21" s="7">
        <f>IF(COUNTIFS('60 Elements'!$A$2:$A$61,$A21,'60 Elements'!$E$2:$E$61,"WARN")&gt;0,"WARN",IF(COUNTIFS('60 Elements'!$A$2:$A$61,$A21,'60 Elements'!$E$2:$E$61,"PASS")&gt;0,"PASS","—"))</f>
        <v/>
      </c>
      <c r="E21" s="6" t="inlineStr">
        <is>
          <t>Spiral loop self-applying</t>
        </is>
      </c>
      <c r="F21" s="6">
        <f t="array" ref="F21">IFERROR(IF(SUMPRODUCT(('60 Elements'!$A$2:$A$61=$A21)*('60 Elements'!$G$2:$G$61&lt;&gt;""))=0,"—",TEXT(MAX(IF(('60 Elements'!$A$2:$A$61=$A21)*('60 Elements'!$G$2:$G$61&lt;&gt;""),DATEVALUE('60 Elements'!$G$2:$G$61))),"yyyy-mm-dd")),"—")</f>
        <v/>
      </c>
      <c r="G21" s="6" t="inlineStr">
        <is>
          <t>Law 1 inscribed</t>
        </is>
      </c>
      <c r="H21" s="50">
        <f>IF(D21="PASS","✅",IF(D21="WARN","⚠️","❌"))</f>
        <v/>
      </c>
    </row>
    <row r="23" ht="20.4" customHeight="1" s="204">
      <c r="A23" t="inlineStr">
        <is>
          <t>Spiral Octave Songbook v1 (Phase 4 Commitment)</t>
        </is>
      </c>
      <c r="B23" t="inlineStr">
        <is>
          <t>Phase 4</t>
        </is>
      </c>
      <c r="C23" t="inlineStr">
        <is>
          <t>2026-04-15</t>
        </is>
      </c>
      <c r="D23" t="inlineStr">
        <is>
          <t>RADIANT</t>
        </is>
      </c>
      <c r="E23" t="inlineStr">
        <is>
          <t>9.25/10</t>
        </is>
      </c>
      <c r="F23" t="inlineStr">
        <is>
          <t>12/12 faces &gt;= 9/10</t>
        </is>
      </c>
      <c r="G23" t="inlineStr">
        <is>
          <t>Artifact committed, May package scheduled</t>
        </is>
      </c>
    </row>
    <row r="24" ht="20.4" customHeight="1" s="204">
      <c r="A24" s="206" t="inlineStr">
        <is>
          <t>OVERALL VERDICT</t>
        </is>
      </c>
      <c r="D24" s="2">
        <f>IF(AND(COUNTIF('CEN Deliverables'!F25:F32,"NOT DONE")+COUNTIF('CEN Deliverables'!F25:F32,"NOT STARTED")+COUNTIF('CEN Deliverables'!F25:F32,"BLOCKED")&gt;0,(DATE(2026,4,17)-TODAY())&lt;=3),"🔴 CEN MEETING AT RISK",IF(OR(COUNTIF(D10:D21,"WARN")&gt;=3,COUNTIF('60 Elements'!E2:E61,"—")/60&gt;0.4),"🟠 ATTENTION NEEDED",IF(OR(COUNTIF(D10:D21,"WARN")&gt;=1,COUNTIF('60 Elements'!E2:E61,"—")/60&gt;0.2),"🟡 MONITORING","🟢 CLEAN")))</f>
        <v/>
      </c>
      <c r="E24" s="173">
        <f>IF(LEFT(D24,1)="🔴",""&amp;COUNTIF('CEN Deliverables'!F25:F32,"NOT DONE")+COUNTIF('CEN Deliverables'!F25:F32,"NOT STARTED")+COUNTIF('CEN Deliverables'!F25:F32,"BLOCKED")&amp;" CEN actions not done, "&amp;(DATE(2026,4,17)-TODAY())&amp;"d to meeting",IF(LEFT(D24,1)="🟠",COUNTIF(D10:D21,"WARN")&amp;" WARN faces, "&amp;TEXT(COUNTIF('60 Elements'!E2:E61,"—")/60,"0%")&amp;" unassessed",IF(LEFT(D24,1)="🟡",COUNTIF(D10:D21,"WARN")&amp;" WARN faces, "&amp;TEXT(COUNTIF('60 Elements'!E2:E61,"—")/60,"0%")&amp;" unassessed","All faces PASS, CEN on track")))</f>
        <v/>
      </c>
    </row>
    <row r="25" ht="15" customHeight="1" s="204">
      <c r="A25" s="173" t="inlineStr">
        <is>
          <t>IFC BACHELOR SCOPE</t>
        </is>
      </c>
      <c r="B25" s="195">
        <f>COUNTIF('Thesis Evidence'!I4:I13,"Bachelor")&amp;" in scope"</f>
        <v/>
      </c>
      <c r="C25" s="196">
        <f>COUNTIF('Thesis Evidence'!I4:I13,"Master")&amp;" stretch (MSc)"</f>
        <v/>
      </c>
      <c r="D25" s="197">
        <f>COUNTIF('Thesis Evidence'!I4:I13,"PhD")&amp;" out of scope (PhD)"</f>
        <v/>
      </c>
      <c r="E25" s="91" t="inlineStr">
        <is>
          <t>← focus here for IFC bachelor</t>
        </is>
      </c>
    </row>
    <row r="26">
      <c r="A26" s="203" t="inlineStr">
        <is>
          <t>Law 1: "Substrate failures are invisible until asked about. Therefore: ask about them on a schedule, not on suspicion."</t>
        </is>
      </c>
    </row>
  </sheetData>
  <mergeCells count="4">
    <mergeCell ref="A26:G26"/>
    <mergeCell ref="A3:B3"/>
    <mergeCell ref="A24:C24"/>
    <mergeCell ref="A1:G1"/>
  </mergeCells>
  <conditionalFormatting sqref="D10:D21">
    <cfRule type="containsText" priority="1" operator="containsText" dxfId="9" text="PASS">
      <formula>NOT(ISERROR(SEARCH("PASS",D10)))</formula>
    </cfRule>
    <cfRule type="containsText" priority="2" operator="containsText" dxfId="5" text="WARN">
      <formula>NOT(ISERROR(SEARCH("WARN",D10)))</formula>
    </cfRule>
  </conditionalFormatting>
  <conditionalFormatting sqref="D24">
    <cfRule type="expression" priority="3" dxfId="111">
      <formula>LEFT($D$24,1)="🔴"</formula>
    </cfRule>
    <cfRule type="expression" priority="4" dxfId="110">
      <formula>LEFT($D$24,1)="🟠"</formula>
    </cfRule>
    <cfRule type="expression" priority="5" dxfId="109">
      <formula>LEFT($D$24,1)="🟡"</formula>
    </cfRule>
    <cfRule type="expression" priority="6" dxfId="108">
      <formula>LEFT($D$24,1)="🟢"</formula>
    </cfRule>
  </conditionalFormatting>
  <dataValidations count="1">
    <dataValidation sqref="D10:D21" showDropDown="0" showInputMessage="0" showErrorMessage="0" allowBlank="1" errorTitle="Invalid Status" error="Please select PASS, WARN, FAIL, N/A, or —" type="list">
      <formula1>"PASS,WARN,FAIL,N/A,—"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topLeftCell="A25" workbookViewId="0">
      <selection activeCell="G15" sqref="G15"/>
    </sheetView>
  </sheetViews>
  <sheetFormatPr baseColWidth="8" defaultRowHeight="14.4"/>
  <cols>
    <col width="16.6640625" customWidth="1" style="204" min="1" max="1"/>
    <col width="44.44140625" customWidth="1" style="204" min="2" max="2"/>
    <col width="51.88671875" customWidth="1" style="204" min="3" max="3"/>
    <col width="38.6640625" bestFit="1" customWidth="1" style="204" min="4" max="4"/>
    <col width="22.21875" customWidth="1" style="204" min="5" max="5"/>
    <col width="12" customWidth="1" style="204" min="6" max="6"/>
    <col width="11.109375" customWidth="1" style="204" min="7" max="7"/>
  </cols>
  <sheetData>
    <row r="1" ht="28.05" customHeight="1" s="204">
      <c r="A1" s="52" t="inlineStr">
        <is>
          <t>QUANNEX POC — PRIORITY ACTIONS</t>
        </is>
      </c>
      <c r="B1" s="64" t="n"/>
      <c r="C1" s="64" t="n"/>
    </row>
    <row r="2">
      <c r="A2" s="203" t="inlineStr">
        <is>
          <t>Auto-generated view: WARNs · Unassessed elements · CEN blockers · Thesis blockers</t>
        </is>
      </c>
      <c r="B2" s="65">
        <f>"Last refreshed: "&amp;TEXT(TODAY(),"MMM D, YYYY")</f>
        <v/>
      </c>
      <c r="C2" s="64" t="n"/>
    </row>
    <row r="3">
      <c r="B3" s="64" t="n"/>
      <c r="C3" s="64" t="n"/>
    </row>
    <row r="4" ht="24" customHeight="1" s="204">
      <c r="A4" s="53" t="inlineStr">
        <is>
          <t>🚨  SECTION 1: CEN CRITICAL ACTIONS (April 17 meeting — TOMORROW)</t>
        </is>
      </c>
      <c r="B4" s="66" t="n"/>
      <c r="C4" s="66" t="n"/>
      <c r="D4" s="54" t="n"/>
      <c r="E4" s="54" t="n"/>
    </row>
    <row r="5" ht="15" customHeight="1" s="204">
      <c r="A5" s="55" t="inlineStr">
        <is>
          <t>Priority</t>
        </is>
      </c>
      <c r="B5" s="67" t="inlineStr">
        <is>
          <t>Action</t>
        </is>
      </c>
      <c r="C5" s="67" t="inlineStr">
        <is>
          <t>Source / Notes</t>
        </is>
      </c>
      <c r="D5" s="55" t="inlineStr">
        <is>
          <t>Effort</t>
        </is>
      </c>
      <c r="E5" s="55" t="inlineStr">
        <is>
          <t>Status</t>
        </is>
      </c>
    </row>
    <row r="6" ht="27" customHeight="1" s="204">
      <c r="A6" s="56" t="inlineStr">
        <is>
          <t>CRITICAL</t>
        </is>
      </c>
      <c r="B6" s="68" t="inlineStr">
        <is>
          <t>Create CEN company template for POC</t>
        </is>
      </c>
      <c r="C6" s="69" t="inlineStr">
        <is>
          <t>RawScores_Frozen.md — normalized arrays ready. Unlocks 3D viz + shadow analysis</t>
        </is>
      </c>
      <c r="D6" s="57" t="inlineStr">
        <is>
          <t>~2 hrs</t>
        </is>
      </c>
      <c r="E6" s="58" t="inlineStr">
        <is>
          <t>NOT DONE</t>
        </is>
      </c>
    </row>
    <row r="7" ht="27" customHeight="1" s="204">
      <c r="A7" s="56" t="inlineStr">
        <is>
          <t>CRITICAL</t>
        </is>
      </c>
      <c r="B7" s="68" t="inlineStr">
        <is>
          <t>Create Phase 3 validation presentation (PPTX)</t>
        </is>
      </c>
      <c r="C7" s="69" t="inlineStr">
        <is>
          <t>Phase 2 evidence package (C1-C4 docs) — coherence portrait + key findings</t>
        </is>
      </c>
      <c r="D7" s="57" t="inlineStr">
        <is>
          <t>~3 hrs</t>
        </is>
      </c>
      <c r="E7" s="58" t="inlineStr">
        <is>
          <t>NOT DONE</t>
        </is>
      </c>
    </row>
    <row r="8" ht="30" customHeight="1" s="204">
      <c r="A8" s="56" t="inlineStr">
        <is>
          <t>CRITICAL</t>
        </is>
      </c>
      <c r="B8" s="68" t="inlineStr">
        <is>
          <t>Create CEN-facing coherence summary (PDF, 2-4 pages)</t>
        </is>
      </c>
      <c r="C8" s="69" t="inlineStr">
        <is>
          <t>C1 Vector Diagnostics + C2 Breath + C3 Divergence — executive leave-behind</t>
        </is>
      </c>
      <c r="D8" s="57" t="inlineStr">
        <is>
          <t>~2 hrs</t>
        </is>
      </c>
      <c r="E8" s="58" t="inlineStr">
        <is>
          <t>NOT DONE</t>
        </is>
      </c>
    </row>
    <row r="9" ht="30" customHeight="1" s="204">
      <c r="A9" s="59" t="inlineStr">
        <is>
          <t>HIGH</t>
        </is>
      </c>
      <c r="B9" s="68" t="inlineStr">
        <is>
          <t>Package Phase 1 deliverables (overdue since March)</t>
        </is>
      </c>
      <c r="C9" s="69" t="inlineStr">
        <is>
          <t>Interview synthesis (57KB) + face mapping (33KB) — Deliverables/Phase 1/ EMPTY</t>
        </is>
      </c>
      <c r="D9" s="57" t="inlineStr">
        <is>
          <t>~1 hr</t>
        </is>
      </c>
      <c r="E9" s="58" t="inlineStr">
        <is>
          <t>NOT DONE</t>
        </is>
      </c>
    </row>
    <row r="10" ht="27" customHeight="1" s="204">
      <c r="A10" s="59" t="inlineStr">
        <is>
          <t>HIGH</t>
        </is>
      </c>
      <c r="B10" s="68" t="inlineStr">
        <is>
          <t>Package Phase 2 deliverables (overdue since April)</t>
        </is>
      </c>
      <c r="C10" s="69" t="inlineStr">
        <is>
          <t>Evidence package C1-C4 + BSC + breath analysis — Deliverables/Phase 2/ EMPTY</t>
        </is>
      </c>
      <c r="D10" s="57" t="inlineStr">
        <is>
          <t>~2 hrs</t>
        </is>
      </c>
      <c r="E10" s="58" t="inlineStr">
        <is>
          <t>NOT DONE</t>
        </is>
      </c>
    </row>
    <row r="11" ht="19.2" customHeight="1" s="204">
      <c r="A11" s="73" t="inlineStr">
        <is>
          <t>⚠️  SECTION 2: POC WARN FACES — live from 60 Elements</t>
        </is>
      </c>
      <c r="B11" s="60" t="n"/>
      <c r="C11" s="60" t="n"/>
      <c r="D11" s="60" t="n"/>
      <c r="E11" s="60" t="n"/>
      <c r="F11" s="60" t="n"/>
      <c r="G11" s="60" t="n"/>
    </row>
    <row r="12" ht="24" customHeight="1" s="204">
      <c r="A12" s="74" t="inlineStr">
        <is>
          <t>Face</t>
        </is>
      </c>
      <c r="B12" s="75" t="inlineStr">
        <is>
          <t>Element</t>
        </is>
      </c>
      <c r="C12" s="75" t="inlineStr">
        <is>
          <t>Check Description</t>
        </is>
      </c>
      <c r="D12" s="77" t="inlineStr">
        <is>
          <t>Evidence / Notes</t>
        </is>
      </c>
      <c r="E12" s="74" t="inlineStr">
        <is>
          <t>Last Checked</t>
        </is>
      </c>
      <c r="F12" s="74" t="inlineStr">
        <is>
          <t>Status</t>
        </is>
      </c>
      <c r="G12" s="74" t="inlineStr">
        <is>
          <t>Source row #</t>
        </is>
      </c>
    </row>
    <row r="13" ht="26.4" customHeight="1" s="204">
      <c r="A13" s="79">
        <f t="array" ref="A13">IFERROR(INDEX('60 Elements'!B:B,SMALL(IF('60 Elements'!E$2:E$61="WARN",ROW('60 Elements'!E$2:E$61)),1)),"")</f>
        <v/>
      </c>
      <c r="B13" s="79">
        <f t="array" ref="B13">IFERROR(INDEX('60 Elements'!C:C,SMALL(IF('60 Elements'!E$2:E$61="WARN",ROW('60 Elements'!E$2:E$61)),1)),"")</f>
        <v/>
      </c>
      <c r="C13" s="79">
        <f t="array" ref="C13">IFERROR(INDEX('60 Elements'!D:D,SMALL(IF('60 Elements'!E$2:E$61="WARN",ROW('60 Elements'!E$2:E$61)),1)),"")</f>
        <v/>
      </c>
      <c r="D13" s="79">
        <f t="array" ref="D13">IFERROR(INDEX('60 Elements'!F:F,SMALL(IF('60 Elements'!E$2:E$61="WARN",ROW('60 Elements'!E$2:E$61)),1)),"")</f>
        <v/>
      </c>
      <c r="E13" s="81">
        <f t="array" ref="E13">IFERROR(INDEX('60 Elements'!G:G,SMALL(IF('60 Elements'!E$2:E$61="WARN",ROW('60 Elements'!E$2:E$61)),1)),"")</f>
        <v/>
      </c>
      <c r="F13" s="83">
        <f t="array" ref="F13">IFERROR(INDEX('60 Elements'!E:E,SMALL(IF('60 Elements'!E$2:E$61="WARN",ROW('60 Elements'!E$2:E$61)),1)),"")</f>
        <v/>
      </c>
      <c r="G13" s="85">
        <f t="array" ref="G13">IFERROR(SMALL(IF('60 Elements'!E$2:E$61="WARN",ROW('60 Elements'!E$2:E$61)-ROW('60 Elements'!E$2)+2),1),"")</f>
        <v/>
      </c>
    </row>
    <row r="14" ht="26.4" customHeight="1" s="204">
      <c r="A14" s="80">
        <f t="array" ref="A14">IFERROR(INDEX('60 Elements'!B:B,SMALL(IF('60 Elements'!E$2:E$61="WARN",ROW('60 Elements'!E$2:E$61)),2)),"")</f>
        <v/>
      </c>
      <c r="B14" s="80">
        <f t="array" ref="B14">IFERROR(INDEX('60 Elements'!C:C,SMALL(IF('60 Elements'!E$2:E$61="WARN",ROW('60 Elements'!E$2:E$61)),2)),"")</f>
        <v/>
      </c>
      <c r="C14" s="80">
        <f t="array" ref="C14">IFERROR(INDEX('60 Elements'!D:D,SMALL(IF('60 Elements'!E$2:E$61="WARN",ROW('60 Elements'!E$2:E$61)),2)),"")</f>
        <v/>
      </c>
      <c r="D14" s="80">
        <f t="array" ref="D14">IFERROR(INDEX('60 Elements'!F:F,SMALL(IF('60 Elements'!E$2:E$61="WARN",ROW('60 Elements'!E$2:E$61)),2)),"")</f>
        <v/>
      </c>
      <c r="E14" s="82">
        <f t="array" ref="E14">IFERROR(INDEX('60 Elements'!G:G,SMALL(IF('60 Elements'!E$2:E$61="WARN",ROW('60 Elements'!E$2:E$61)),2)),"")</f>
        <v/>
      </c>
      <c r="F14" s="84">
        <f t="array" ref="F14">IFERROR(INDEX('60 Elements'!E:E,SMALL(IF('60 Elements'!E$2:E$61="WARN",ROW('60 Elements'!E$2:E$61)),2)),"")</f>
        <v/>
      </c>
      <c r="G14" s="86">
        <f t="array" ref="G14">IFERROR(SMALL(IF('60 Elements'!E$2:E$61="WARN",ROW('60 Elements'!E$2:E$61)-ROW('60 Elements'!E$2)+2),2),"")</f>
        <v/>
      </c>
    </row>
    <row r="15">
      <c r="A15" s="79">
        <f t="array" ref="A15">IFERROR(INDEX('60 Elements'!B:B,SMALL(IF('60 Elements'!E$2:E$61="WARN",ROW('60 Elements'!E$2:E$61)),3)),"")</f>
        <v/>
      </c>
      <c r="B15" s="79">
        <f t="array" ref="B15">IFERROR(INDEX('60 Elements'!C:C,SMALL(IF('60 Elements'!E$2:E$61="WARN",ROW('60 Elements'!E$2:E$61)),3)),"")</f>
        <v/>
      </c>
      <c r="C15" s="79">
        <f t="array" ref="C15">IFERROR(INDEX('60 Elements'!D:D,SMALL(IF('60 Elements'!E$2:E$61="WARN",ROW('60 Elements'!E$2:E$61)),3)),"")</f>
        <v/>
      </c>
      <c r="D15" s="79">
        <f t="array" ref="D15">IFERROR(INDEX('60 Elements'!F:F,SMALL(IF('60 Elements'!E$2:E$61="WARN",ROW('60 Elements'!E$2:E$61)),3)),"")</f>
        <v/>
      </c>
      <c r="E15" s="81">
        <f t="array" ref="E15">IFERROR(INDEX('60 Elements'!G:G,SMALL(IF('60 Elements'!E$2:E$61="WARN",ROW('60 Elements'!E$2:E$61)),3)),"")</f>
        <v/>
      </c>
      <c r="F15" s="83">
        <f t="array" ref="F15">IFERROR(INDEX('60 Elements'!E:E,SMALL(IF('60 Elements'!E$2:E$61="WARN",ROW('60 Elements'!E$2:E$61)),3)),"")</f>
        <v/>
      </c>
      <c r="G15" s="85">
        <f t="array" ref="G15">IFERROR(SMALL(IF('60 Elements'!E$2:E$61="WARN",ROW('60 Elements'!E$2:E$61)-ROW('60 Elements'!E$2)+2),3),"")</f>
        <v/>
      </c>
    </row>
    <row r="16" ht="26.4" customHeight="1" s="204">
      <c r="A16" s="80">
        <f t="array" ref="A16">IFERROR(INDEX('60 Elements'!B:B,SMALL(IF('60 Elements'!E$2:E$61="WARN",ROW('60 Elements'!E$2:E$61)),4)),"")</f>
        <v/>
      </c>
      <c r="B16" s="80">
        <f t="array" ref="B16">IFERROR(INDEX('60 Elements'!C:C,SMALL(IF('60 Elements'!E$2:E$61="WARN",ROW('60 Elements'!E$2:E$61)),4)),"")</f>
        <v/>
      </c>
      <c r="C16" s="80">
        <f t="array" ref="C16">IFERROR(INDEX('60 Elements'!D:D,SMALL(IF('60 Elements'!E$2:E$61="WARN",ROW('60 Elements'!E$2:E$61)),4)),"")</f>
        <v/>
      </c>
      <c r="D16" s="80">
        <f t="array" ref="D16">IFERROR(INDEX('60 Elements'!F:F,SMALL(IF('60 Elements'!E$2:E$61="WARN",ROW('60 Elements'!E$2:E$61)),4)),"")</f>
        <v/>
      </c>
      <c r="E16" s="82">
        <f t="array" ref="E16">IFERROR(INDEX('60 Elements'!G:G,SMALL(IF('60 Elements'!E$2:E$61="WARN",ROW('60 Elements'!E$2:E$61)),4)),"")</f>
        <v/>
      </c>
      <c r="F16" s="84">
        <f t="array" ref="F16">IFERROR(INDEX('60 Elements'!E:E,SMALL(IF('60 Elements'!E$2:E$61="WARN",ROW('60 Elements'!E$2:E$61)),4)),"")</f>
        <v/>
      </c>
      <c r="G16" s="86">
        <f t="array" ref="G16">IFERROR(SMALL(IF('60 Elements'!E$2:E$61="WARN",ROW('60 Elements'!E$2:E$61)-ROW('60 Elements'!E$2)+2),4),"")</f>
        <v/>
      </c>
    </row>
    <row r="17" ht="24" customHeight="1" s="204">
      <c r="A17" s="79">
        <f t="array" ref="A17">IFERROR(INDEX('60 Elements'!B:B,SMALL(IF('60 Elements'!E$2:E$61="WARN",ROW('60 Elements'!E$2:E$61)),5)),"")</f>
        <v/>
      </c>
      <c r="B17" s="79">
        <f t="array" ref="B17">IFERROR(INDEX('60 Elements'!C:C,SMALL(IF('60 Elements'!E$2:E$61="WARN",ROW('60 Elements'!E$2:E$61)),5)),"")</f>
        <v/>
      </c>
      <c r="C17" s="79">
        <f t="array" ref="C17">IFERROR(INDEX('60 Elements'!D:D,SMALL(IF('60 Elements'!E$2:E$61="WARN",ROW('60 Elements'!E$2:E$61)),5)),"")</f>
        <v/>
      </c>
      <c r="D17" s="79">
        <f t="array" ref="D17">IFERROR(INDEX('60 Elements'!F:F,SMALL(IF('60 Elements'!E$2:E$61="WARN",ROW('60 Elements'!E$2:E$61)),5)),"")</f>
        <v/>
      </c>
      <c r="E17" s="81">
        <f t="array" ref="E17">IFERROR(INDEX('60 Elements'!G:G,SMALL(IF('60 Elements'!E$2:E$61="WARN",ROW('60 Elements'!E$2:E$61)),5)),"")</f>
        <v/>
      </c>
      <c r="F17" s="83">
        <f t="array" ref="F17">IFERROR(INDEX('60 Elements'!E:E,SMALL(IF('60 Elements'!E$2:E$61="WARN",ROW('60 Elements'!E$2:E$61)),5)),"")</f>
        <v/>
      </c>
      <c r="G17" s="85">
        <f t="array" ref="G17">IFERROR(SMALL(IF('60 Elements'!E$2:E$61="WARN",ROW('60 Elements'!E$2:E$61)-ROW('60 Elements'!E$2)+2),5),"")</f>
        <v/>
      </c>
    </row>
    <row r="18">
      <c r="A18" s="80">
        <f t="array" ref="A18">IFERROR(INDEX('60 Elements'!B:B,SMALL(IF('60 Elements'!E$2:E$61="WARN",ROW('60 Elements'!E$2:E$61)),6)),"")</f>
        <v/>
      </c>
      <c r="B18" s="80">
        <f t="array" ref="B18">IFERROR(INDEX('60 Elements'!C:C,SMALL(IF('60 Elements'!E$2:E$61="WARN",ROW('60 Elements'!E$2:E$61)),6)),"")</f>
        <v/>
      </c>
      <c r="C18" s="80">
        <f t="array" ref="C18">IFERROR(INDEX('60 Elements'!D:D,SMALL(IF('60 Elements'!E$2:E$61="WARN",ROW('60 Elements'!E$2:E$61)),6)),"")</f>
        <v/>
      </c>
      <c r="D18" s="80">
        <f t="array" ref="D18">IFERROR(INDEX('60 Elements'!F:F,SMALL(IF('60 Elements'!E$2:E$61="WARN",ROW('60 Elements'!E$2:E$61)),6)),"")</f>
        <v/>
      </c>
      <c r="E18" s="82">
        <f t="array" ref="E18">IFERROR(INDEX('60 Elements'!G:G,SMALL(IF('60 Elements'!E$2:E$61="WARN",ROW('60 Elements'!E$2:E$61)),6)),"")</f>
        <v/>
      </c>
      <c r="F18" s="84">
        <f t="array" ref="F18">IFERROR(INDEX('60 Elements'!E:E,SMALL(IF('60 Elements'!E$2:E$61="WARN",ROW('60 Elements'!E$2:E$61)),6)),"")</f>
        <v/>
      </c>
      <c r="G18" s="86">
        <f t="array" ref="G18">IFERROR(SMALL(IF('60 Elements'!E$2:E$61="WARN",ROW('60 Elements'!E$2:E$61)-ROW('60 Elements'!E$2)+2),6),"")</f>
        <v/>
      </c>
    </row>
    <row r="19">
      <c r="A19" s="79">
        <f t="array" ref="A19">IFERROR(INDEX('60 Elements'!B:B,SMALL(IF('60 Elements'!E$2:E$61="WARN",ROW('60 Elements'!E$2:E$61)),7)),"")</f>
        <v/>
      </c>
      <c r="B19" s="79">
        <f t="array" ref="B19">IFERROR(INDEX('60 Elements'!C:C,SMALL(IF('60 Elements'!E$2:E$61="WARN",ROW('60 Elements'!E$2:E$61)),7)),"")</f>
        <v/>
      </c>
      <c r="C19" s="79">
        <f t="array" ref="C19">IFERROR(INDEX('60 Elements'!D:D,SMALL(IF('60 Elements'!E$2:E$61="WARN",ROW('60 Elements'!E$2:E$61)),7)),"")</f>
        <v/>
      </c>
      <c r="D19" s="79">
        <f t="array" ref="D19">IFERROR(INDEX('60 Elements'!F:F,SMALL(IF('60 Elements'!E$2:E$61="WARN",ROW('60 Elements'!E$2:E$61)),7)),"")</f>
        <v/>
      </c>
      <c r="E19" s="81">
        <f t="array" ref="E19">IFERROR(INDEX('60 Elements'!G:G,SMALL(IF('60 Elements'!E$2:E$61="WARN",ROW('60 Elements'!E$2:E$61)),7)),"")</f>
        <v/>
      </c>
      <c r="F19" s="83">
        <f t="array" ref="F19">IFERROR(INDEX('60 Elements'!E:E,SMALL(IF('60 Elements'!E$2:E$61="WARN",ROW('60 Elements'!E$2:E$61)),7)),"")</f>
        <v/>
      </c>
      <c r="G19" s="85">
        <f t="array" ref="G19">IFERROR(SMALL(IF('60 Elements'!E$2:E$61="WARN",ROW('60 Elements'!E$2:E$61)-ROW('60 Elements'!E$2)+2),7),"")</f>
        <v/>
      </c>
    </row>
    <row r="20">
      <c r="A20" s="80">
        <f t="array" ref="A20">IFERROR(INDEX('60 Elements'!B:B,SMALL(IF('60 Elements'!E$2:E$61="WARN",ROW('60 Elements'!E$2:E$61)),8)),"")</f>
        <v/>
      </c>
      <c r="B20" s="80">
        <f t="array" ref="B20">IFERROR(INDEX('60 Elements'!C:C,SMALL(IF('60 Elements'!E$2:E$61="WARN",ROW('60 Elements'!E$2:E$61)),8)),"")</f>
        <v/>
      </c>
      <c r="C20" s="80">
        <f t="array" ref="C20">IFERROR(INDEX('60 Elements'!D:D,SMALL(IF('60 Elements'!E$2:E$61="WARN",ROW('60 Elements'!E$2:E$61)),8)),"")</f>
        <v/>
      </c>
      <c r="D20" s="80">
        <f t="array" ref="D20">IFERROR(INDEX('60 Elements'!F:F,SMALL(IF('60 Elements'!E$2:E$61="WARN",ROW('60 Elements'!E$2:E$61)),8)),"")</f>
        <v/>
      </c>
      <c r="E20" s="82">
        <f t="array" ref="E20">IFERROR(INDEX('60 Elements'!G:G,SMALL(IF('60 Elements'!E$2:E$61="WARN",ROW('60 Elements'!E$2:E$61)),8)),"")</f>
        <v/>
      </c>
      <c r="F20" s="84">
        <f t="array" ref="F20">IFERROR(INDEX('60 Elements'!E:E,SMALL(IF('60 Elements'!E$2:E$61="WARN",ROW('60 Elements'!E$2:E$61)),8)),"")</f>
        <v/>
      </c>
      <c r="G20" s="86">
        <f t="array" ref="G20">IFERROR(SMALL(IF('60 Elements'!E$2:E$61="WARN",ROW('60 Elements'!E$2:E$61)-ROW('60 Elements'!E$2)+2),8),"")</f>
        <v/>
      </c>
    </row>
    <row r="21">
      <c r="A21" s="79">
        <f t="array" ref="A21">IFERROR(INDEX('60 Elements'!B:B,SMALL(IF('60 Elements'!E$2:E$61="WARN",ROW('60 Elements'!E$2:E$61)),9)),"")</f>
        <v/>
      </c>
      <c r="B21" s="79">
        <f t="array" ref="B21">IFERROR(INDEX('60 Elements'!C:C,SMALL(IF('60 Elements'!E$2:E$61="WARN",ROW('60 Elements'!E$2:E$61)),9)),"")</f>
        <v/>
      </c>
      <c r="C21" s="79">
        <f t="array" ref="C21">IFERROR(INDEX('60 Elements'!D:D,SMALL(IF('60 Elements'!E$2:E$61="WARN",ROW('60 Elements'!E$2:E$61)),9)),"")</f>
        <v/>
      </c>
      <c r="D21" s="79">
        <f t="array" ref="D21">IFERROR(INDEX('60 Elements'!F:F,SMALL(IF('60 Elements'!E$2:E$61="WARN",ROW('60 Elements'!E$2:E$61)),9)),"")</f>
        <v/>
      </c>
      <c r="E21" s="81">
        <f t="array" ref="E21">IFERROR(INDEX('60 Elements'!G:G,SMALL(IF('60 Elements'!E$2:E$61="WARN",ROW('60 Elements'!E$2:E$61)),9)),"")</f>
        <v/>
      </c>
      <c r="F21" s="83">
        <f t="array" ref="F21">IFERROR(INDEX('60 Elements'!E:E,SMALL(IF('60 Elements'!E$2:E$61="WARN",ROW('60 Elements'!E$2:E$61)),9)),"")</f>
        <v/>
      </c>
      <c r="G21" s="85">
        <f t="array" ref="G21">IFERROR(SMALL(IF('60 Elements'!E$2:E$61="WARN",ROW('60 Elements'!E$2:E$61)-ROW('60 Elements'!E$2)+2),9),"")</f>
        <v/>
      </c>
    </row>
    <row r="22" ht="24" customHeight="1" s="204">
      <c r="A22" s="80">
        <f t="array" ref="A22">IFERROR(INDEX('60 Elements'!B:B,SMALL(IF('60 Elements'!E$2:E$61="WARN",ROW('60 Elements'!E$2:E$61)),10)),"")</f>
        <v/>
      </c>
      <c r="B22" s="80">
        <f t="array" ref="B22">IFERROR(INDEX('60 Elements'!C:C,SMALL(IF('60 Elements'!E$2:E$61="WARN",ROW('60 Elements'!E$2:E$61)),10)),"")</f>
        <v/>
      </c>
      <c r="C22" s="80">
        <f t="array" ref="C22">IFERROR(INDEX('60 Elements'!D:D,SMALL(IF('60 Elements'!E$2:E$61="WARN",ROW('60 Elements'!E$2:E$61)),10)),"")</f>
        <v/>
      </c>
      <c r="D22" s="80">
        <f t="array" ref="D22">IFERROR(INDEX('60 Elements'!F:F,SMALL(IF('60 Elements'!E$2:E$61="WARN",ROW('60 Elements'!E$2:E$61)),10)),"")</f>
        <v/>
      </c>
      <c r="E22" s="82">
        <f t="array" ref="E22">IFERROR(INDEX('60 Elements'!G:G,SMALL(IF('60 Elements'!E$2:E$61="WARN",ROW('60 Elements'!E$2:E$61)),10)),"")</f>
        <v/>
      </c>
      <c r="F22" s="84">
        <f t="array" ref="F22">IFERROR(INDEX('60 Elements'!E:E,SMALL(IF('60 Elements'!E$2:E$61="WARN",ROW('60 Elements'!E$2:E$61)),10)),"")</f>
        <v/>
      </c>
      <c r="G22" s="86">
        <f t="array" ref="G22">IFERROR(SMALL(IF('60 Elements'!E$2:E$61="WARN",ROW('60 Elements'!E$2:E$61)-ROW('60 Elements'!E$2)+2),10),"")</f>
        <v/>
      </c>
    </row>
    <row r="24" ht="19.2" customHeight="1" s="204">
      <c r="A24" s="87" t="inlineStr">
        <is>
          <t>🔬  SECTION 3: THESIS BLOCKERS</t>
        </is>
      </c>
      <c r="B24" s="61" t="n"/>
      <c r="C24" s="61" t="n"/>
      <c r="D24" s="61" t="n"/>
      <c r="E24" s="61" t="n"/>
      <c r="F24" s="61" t="n"/>
      <c r="G24" s="61" t="n"/>
    </row>
    <row r="25" ht="15" customHeight="1" s="204">
      <c r="A25" s="88" t="inlineStr">
        <is>
          <t>Blocker</t>
        </is>
      </c>
      <c r="B25" s="88" t="inlineStr">
        <is>
          <t>Detail</t>
        </is>
      </c>
      <c r="C25" s="88" t="inlineStr">
        <is>
          <t>Blocked On</t>
        </is>
      </c>
      <c r="D25" s="88" t="inlineStr">
        <is>
          <t>Chapter(s)</t>
        </is>
      </c>
      <c r="E25" s="88" t="inlineStr">
        <is>
          <t>Resolve By</t>
        </is>
      </c>
    </row>
    <row r="26" ht="15" customHeight="1" s="204">
      <c r="A26" s="78" t="inlineStr">
        <is>
          <t>BLOCKED</t>
        </is>
      </c>
      <c r="B26" s="90">
        <f>'Thesis Evidence'!A26</f>
        <v/>
      </c>
      <c r="C26" s="91">
        <f>'Thesis Evidence'!B26</f>
        <v/>
      </c>
      <c r="D26" s="76" t="inlineStr">
        <is>
          <t>Ch 2-5</t>
        </is>
      </c>
      <c r="E26" s="89" t="inlineStr">
        <is>
          <t>Before May 1 writing window</t>
        </is>
      </c>
    </row>
    <row r="27" ht="15" customHeight="1" s="204">
      <c r="A27" s="78" t="inlineStr">
        <is>
          <t>BLOCKED</t>
        </is>
      </c>
      <c r="B27" s="90">
        <f>'Thesis Evidence'!A27</f>
        <v/>
      </c>
      <c r="C27" s="91">
        <f>'Thesis Evidence'!B27</f>
        <v/>
      </c>
      <c r="D27" s="76" t="inlineStr">
        <is>
          <t>Ch 5</t>
        </is>
      </c>
      <c r="E27" s="92" t="inlineStr">
        <is>
          <t>Unblocked once CEN template created</t>
        </is>
      </c>
    </row>
    <row r="29" ht="19.2" customHeight="1" s="204">
      <c r="A29" s="93" t="inlineStr">
        <is>
          <t>🔬  SECTION 4: UNASSESSED ELEMENTS — live from 60 Elements</t>
        </is>
      </c>
      <c r="B29" s="62" t="n"/>
      <c r="C29" s="62" t="n"/>
      <c r="D29" s="62" t="n"/>
      <c r="E29" s="62" t="n"/>
      <c r="F29" s="62" t="n"/>
      <c r="G29" s="62" t="n"/>
    </row>
    <row r="30" ht="15" customHeight="1" s="204">
      <c r="A30" s="94" t="inlineStr">
        <is>
          <t>Face</t>
        </is>
      </c>
      <c r="B30" s="94" t="inlineStr">
        <is>
          <t>Element</t>
        </is>
      </c>
      <c r="C30" s="94" t="inlineStr">
        <is>
          <t>Check Description</t>
        </is>
      </c>
      <c r="D30" s="94" t="inlineStr">
        <is>
          <t>Evidence / Notes</t>
        </is>
      </c>
      <c r="E30" s="94" t="inlineStr">
        <is>
          <t>Status</t>
        </is>
      </c>
      <c r="F30" s="94" t="inlineStr">
        <is>
          <t>Source row #</t>
        </is>
      </c>
      <c r="G30" s="95" t="n"/>
    </row>
    <row r="31">
      <c r="A31" s="96">
        <f t="array" ref="A31">IFERROR(INDEX('60 Elements'!B:B,SMALL(IF('60 Elements'!E$2:E$61="—",ROW('60 Elements'!E$2:E$61)),1)),"")</f>
        <v/>
      </c>
      <c r="B31" s="96">
        <f t="array" ref="B31">IFERROR(INDEX('60 Elements'!C:C,SMALL(IF('60 Elements'!E$2:E$61="—",ROW('60 Elements'!E$2:E$61)),1)),"")</f>
        <v/>
      </c>
      <c r="C31" s="96">
        <f t="array" ref="C31">IFERROR(INDEX('60 Elements'!D:D,SMALL(IF('60 Elements'!E$2:E$61="—",ROW('60 Elements'!E$2:E$61)),1)),"")</f>
        <v/>
      </c>
      <c r="D31" s="96">
        <f t="array" ref="D31">IFERROR(INDEX('60 Elements'!F:F,SMALL(IF('60 Elements'!E$2:E$61="—",ROW('60 Elements'!E$2:E$61)),1)),"")</f>
        <v/>
      </c>
      <c r="E31" s="98">
        <f t="array" ref="E31">IFERROR(INDEX('60 Elements'!E:E,SMALL(IF('60 Elements'!E$2:E$61="—",ROW('60 Elements'!E$2:E$61)),1)),"")</f>
        <v/>
      </c>
      <c r="F31" s="100">
        <f t="array" ref="F31">IFERROR(SMALL(IF('60 Elements'!E$2:E$61="—",ROW('60 Elements'!E$2:E$61)-ROW('60 Elements'!E$2)+2),1),"")</f>
        <v/>
      </c>
      <c r="G31" s="96" t="n"/>
    </row>
    <row r="32" ht="26.4" customHeight="1" s="204">
      <c r="A32" s="97">
        <f t="array" ref="A32">IFERROR(INDEX('60 Elements'!B:B,SMALL(IF('60 Elements'!E$2:E$61="—",ROW('60 Elements'!E$2:E$61)),2)),"")</f>
        <v/>
      </c>
      <c r="B32" s="97">
        <f t="array" ref="B32">IFERROR(INDEX('60 Elements'!C:C,SMALL(IF('60 Elements'!E$2:E$61="—",ROW('60 Elements'!E$2:E$61)),2)),"")</f>
        <v/>
      </c>
      <c r="C32" s="97">
        <f t="array" ref="C32">IFERROR(INDEX('60 Elements'!D:D,SMALL(IF('60 Elements'!E$2:E$61="—",ROW('60 Elements'!E$2:E$61)),2)),"")</f>
        <v/>
      </c>
      <c r="D32" s="97">
        <f t="array" ref="D32">IFERROR(INDEX('60 Elements'!F:F,SMALL(IF('60 Elements'!E$2:E$61="—",ROW('60 Elements'!E$2:E$61)),2)),"")</f>
        <v/>
      </c>
      <c r="E32" s="99">
        <f t="array" ref="E32">IFERROR(INDEX('60 Elements'!E:E,SMALL(IF('60 Elements'!E$2:E$61="—",ROW('60 Elements'!E$2:E$61)),2)),"")</f>
        <v/>
      </c>
      <c r="F32" s="101">
        <f t="array" ref="F32">IFERROR(SMALL(IF('60 Elements'!E$2:E$61="—",ROW('60 Elements'!E$2:E$61)-ROW('60 Elements'!E$2)+2),2),"")</f>
        <v/>
      </c>
      <c r="G32" s="97" t="n"/>
    </row>
    <row r="33">
      <c r="A33" s="96">
        <f t="array" ref="A33">IFERROR(INDEX('60 Elements'!B:B,SMALL(IF('60 Elements'!E$2:E$61="—",ROW('60 Elements'!E$2:E$61)),3)),"")</f>
        <v/>
      </c>
      <c r="B33" s="96">
        <f t="array" ref="B33">IFERROR(INDEX('60 Elements'!C:C,SMALL(IF('60 Elements'!E$2:E$61="—",ROW('60 Elements'!E$2:E$61)),3)),"")</f>
        <v/>
      </c>
      <c r="C33" s="96">
        <f t="array" ref="C33">IFERROR(INDEX('60 Elements'!D:D,SMALL(IF('60 Elements'!E$2:E$61="—",ROW('60 Elements'!E$2:E$61)),3)),"")</f>
        <v/>
      </c>
      <c r="D33" s="96">
        <f t="array" ref="D33">IFERROR(INDEX('60 Elements'!F:F,SMALL(IF('60 Elements'!E$2:E$61="—",ROW('60 Elements'!E$2:E$61)),3)),"")</f>
        <v/>
      </c>
      <c r="E33" s="98">
        <f t="array" ref="E33">IFERROR(INDEX('60 Elements'!E:E,SMALL(IF('60 Elements'!E$2:E$61="—",ROW('60 Elements'!E$2:E$61)),3)),"")</f>
        <v/>
      </c>
      <c r="F33" s="100">
        <f t="array" ref="F33">IFERROR(SMALL(IF('60 Elements'!E$2:E$61="—",ROW('60 Elements'!E$2:E$61)-ROW('60 Elements'!E$2)+2),3),"")</f>
        <v/>
      </c>
      <c r="G33" s="96" t="n"/>
    </row>
    <row r="34" ht="26.4" customHeight="1" s="204">
      <c r="A34" s="97">
        <f t="array" ref="A34">IFERROR(INDEX('60 Elements'!B:B,SMALL(IF('60 Elements'!E$2:E$61="—",ROW('60 Elements'!E$2:E$61)),4)),"")</f>
        <v/>
      </c>
      <c r="B34" s="97">
        <f t="array" ref="B34">IFERROR(INDEX('60 Elements'!C:C,SMALL(IF('60 Elements'!E$2:E$61="—",ROW('60 Elements'!E$2:E$61)),4)),"")</f>
        <v/>
      </c>
      <c r="C34" s="97">
        <f t="array" ref="C34">IFERROR(INDEX('60 Elements'!D:D,SMALL(IF('60 Elements'!E$2:E$61="—",ROW('60 Elements'!E$2:E$61)),4)),"")</f>
        <v/>
      </c>
      <c r="D34" s="97">
        <f t="array" ref="D34">IFERROR(INDEX('60 Elements'!F:F,SMALL(IF('60 Elements'!E$2:E$61="—",ROW('60 Elements'!E$2:E$61)),4)),"")</f>
        <v/>
      </c>
      <c r="E34" s="99">
        <f t="array" ref="E34">IFERROR(INDEX('60 Elements'!E:E,SMALL(IF('60 Elements'!E$2:E$61="—",ROW('60 Elements'!E$2:E$61)),4)),"")</f>
        <v/>
      </c>
      <c r="F34" s="101">
        <f t="array" ref="F34">IFERROR(SMALL(IF('60 Elements'!E$2:E$61="—",ROW('60 Elements'!E$2:E$61)-ROW('60 Elements'!E$2)+2),4),"")</f>
        <v/>
      </c>
      <c r="G34" s="97" t="n"/>
    </row>
    <row r="35">
      <c r="A35" s="96">
        <f t="array" ref="A35">IFERROR(INDEX('60 Elements'!B:B,SMALL(IF('60 Elements'!E$2:E$61="—",ROW('60 Elements'!E$2:E$61)),5)),"")</f>
        <v/>
      </c>
      <c r="B35" s="96">
        <f t="array" ref="B35">IFERROR(INDEX('60 Elements'!C:C,SMALL(IF('60 Elements'!E$2:E$61="—",ROW('60 Elements'!E$2:E$61)),5)),"")</f>
        <v/>
      </c>
      <c r="C35" s="96">
        <f t="array" ref="C35">IFERROR(INDEX('60 Elements'!D:D,SMALL(IF('60 Elements'!E$2:E$61="—",ROW('60 Elements'!E$2:E$61)),5)),"")</f>
        <v/>
      </c>
      <c r="D35" s="96">
        <f t="array" ref="D35">IFERROR(INDEX('60 Elements'!F:F,SMALL(IF('60 Elements'!E$2:E$61="—",ROW('60 Elements'!E$2:E$61)),5)),"")</f>
        <v/>
      </c>
      <c r="E35" s="98">
        <f t="array" ref="E35">IFERROR(INDEX('60 Elements'!E:E,SMALL(IF('60 Elements'!E$2:E$61="—",ROW('60 Elements'!E$2:E$61)),5)),"")</f>
        <v/>
      </c>
      <c r="F35" s="100">
        <f t="array" ref="F35">IFERROR(SMALL(IF('60 Elements'!E$2:E$61="—",ROW('60 Elements'!E$2:E$61)-ROW('60 Elements'!E$2)+2),5),"")</f>
        <v/>
      </c>
      <c r="G35" s="96" t="n"/>
    </row>
    <row r="36" ht="26.4" customHeight="1" s="204">
      <c r="A36" s="97">
        <f t="array" ref="A36">IFERROR(INDEX('60 Elements'!B:B,SMALL(IF('60 Elements'!E$2:E$61="—",ROW('60 Elements'!E$2:E$61)),6)),"")</f>
        <v/>
      </c>
      <c r="B36" s="97">
        <f t="array" ref="B36">IFERROR(INDEX('60 Elements'!C:C,SMALL(IF('60 Elements'!E$2:E$61="—",ROW('60 Elements'!E$2:E$61)),6)),"")</f>
        <v/>
      </c>
      <c r="C36" s="97">
        <f t="array" ref="C36">IFERROR(INDEX('60 Elements'!D:D,SMALL(IF('60 Elements'!E$2:E$61="—",ROW('60 Elements'!E$2:E$61)),6)),"")</f>
        <v/>
      </c>
      <c r="D36" s="97">
        <f t="array" ref="D36">IFERROR(INDEX('60 Elements'!F:F,SMALL(IF('60 Elements'!E$2:E$61="—",ROW('60 Elements'!E$2:E$61)),6)),"")</f>
        <v/>
      </c>
      <c r="E36" s="99">
        <f t="array" ref="E36">IFERROR(INDEX('60 Elements'!E:E,SMALL(IF('60 Elements'!E$2:E$61="—",ROW('60 Elements'!E$2:E$61)),6)),"")</f>
        <v/>
      </c>
      <c r="F36" s="101">
        <f t="array" ref="F36">IFERROR(SMALL(IF('60 Elements'!E$2:E$61="—",ROW('60 Elements'!E$2:E$61)-ROW('60 Elements'!E$2)+2),6),"")</f>
        <v/>
      </c>
      <c r="G36" s="97" t="n"/>
    </row>
    <row r="37" ht="26.4" customHeight="1" s="204">
      <c r="A37" s="96">
        <f t="array" ref="A37">IFERROR(INDEX('60 Elements'!B:B,SMALL(IF('60 Elements'!E$2:E$61="—",ROW('60 Elements'!E$2:E$61)),7)),"")</f>
        <v/>
      </c>
      <c r="B37" s="96">
        <f t="array" ref="B37">IFERROR(INDEX('60 Elements'!C:C,SMALL(IF('60 Elements'!E$2:E$61="—",ROW('60 Elements'!E$2:E$61)),7)),"")</f>
        <v/>
      </c>
      <c r="C37" s="96">
        <f t="array" ref="C37">IFERROR(INDEX('60 Elements'!D:D,SMALL(IF('60 Elements'!E$2:E$61="—",ROW('60 Elements'!E$2:E$61)),7)),"")</f>
        <v/>
      </c>
      <c r="D37" s="96">
        <f t="array" ref="D37">IFERROR(INDEX('60 Elements'!F:F,SMALL(IF('60 Elements'!E$2:E$61="—",ROW('60 Elements'!E$2:E$61)),7)),"")</f>
        <v/>
      </c>
      <c r="E37" s="98">
        <f t="array" ref="E37">IFERROR(INDEX('60 Elements'!E:E,SMALL(IF('60 Elements'!E$2:E$61="—",ROW('60 Elements'!E$2:E$61)),7)),"")</f>
        <v/>
      </c>
      <c r="F37" s="100">
        <f t="array" ref="F37">IFERROR(SMALL(IF('60 Elements'!E$2:E$61="—",ROW('60 Elements'!E$2:E$61)-ROW('60 Elements'!E$2)+2),7),"")</f>
        <v/>
      </c>
      <c r="G37" s="96" t="n"/>
    </row>
    <row r="38" ht="26.4" customHeight="1" s="204">
      <c r="A38" s="97">
        <f t="array" ref="A38">IFERROR(INDEX('60 Elements'!B:B,SMALL(IF('60 Elements'!E$2:E$61="—",ROW('60 Elements'!E$2:E$61)),8)),"")</f>
        <v/>
      </c>
      <c r="B38" s="97">
        <f t="array" ref="B38">IFERROR(INDEX('60 Elements'!C:C,SMALL(IF('60 Elements'!E$2:E$61="—",ROW('60 Elements'!E$2:E$61)),8)),"")</f>
        <v/>
      </c>
      <c r="C38" s="97">
        <f t="array" ref="C38">IFERROR(INDEX('60 Elements'!D:D,SMALL(IF('60 Elements'!E$2:E$61="—",ROW('60 Elements'!E$2:E$61)),8)),"")</f>
        <v/>
      </c>
      <c r="D38" s="97">
        <f t="array" ref="D38">IFERROR(INDEX('60 Elements'!F:F,SMALL(IF('60 Elements'!E$2:E$61="—",ROW('60 Elements'!E$2:E$61)),8)),"")</f>
        <v/>
      </c>
      <c r="E38" s="99">
        <f t="array" ref="E38">IFERROR(INDEX('60 Elements'!E:E,SMALL(IF('60 Elements'!E$2:E$61="—",ROW('60 Elements'!E$2:E$61)),8)),"")</f>
        <v/>
      </c>
      <c r="F38" s="101">
        <f t="array" ref="F38">IFERROR(SMALL(IF('60 Elements'!E$2:E$61="—",ROW('60 Elements'!E$2:E$61)-ROW('60 Elements'!E$2)+2),8),"")</f>
        <v/>
      </c>
      <c r="G38" s="97" t="n"/>
    </row>
    <row r="39" ht="26.4" customHeight="1" s="204">
      <c r="A39" s="96">
        <f t="array" ref="A39">IFERROR(INDEX('60 Elements'!B:B,SMALL(IF('60 Elements'!E$2:E$61="—",ROW('60 Elements'!E$2:E$61)),9)),"")</f>
        <v/>
      </c>
      <c r="B39" s="96">
        <f t="array" ref="B39">IFERROR(INDEX('60 Elements'!C:C,SMALL(IF('60 Elements'!E$2:E$61="—",ROW('60 Elements'!E$2:E$61)),9)),"")</f>
        <v/>
      </c>
      <c r="C39" s="96">
        <f t="array" ref="C39">IFERROR(INDEX('60 Elements'!D:D,SMALL(IF('60 Elements'!E$2:E$61="—",ROW('60 Elements'!E$2:E$61)),9)),"")</f>
        <v/>
      </c>
      <c r="D39" s="96">
        <f t="array" ref="D39">IFERROR(INDEX('60 Elements'!F:F,SMALL(IF('60 Elements'!E$2:E$61="—",ROW('60 Elements'!E$2:E$61)),9)),"")</f>
        <v/>
      </c>
      <c r="E39" s="98">
        <f t="array" ref="E39">IFERROR(INDEX('60 Elements'!E:E,SMALL(IF('60 Elements'!E$2:E$61="—",ROW('60 Elements'!E$2:E$61)),9)),"")</f>
        <v/>
      </c>
      <c r="F39" s="100">
        <f t="array" ref="F39">IFERROR(SMALL(IF('60 Elements'!E$2:E$61="—",ROW('60 Elements'!E$2:E$61)-ROW('60 Elements'!E$2)+2),9),"")</f>
        <v/>
      </c>
      <c r="G39" s="96" t="n"/>
    </row>
    <row r="40">
      <c r="A40" s="97">
        <f t="array" ref="A40">IFERROR(INDEX('60 Elements'!B:B,SMALL(IF('60 Elements'!E$2:E$61="—",ROW('60 Elements'!E$2:E$61)),10)),"")</f>
        <v/>
      </c>
      <c r="B40" s="97">
        <f t="array" ref="B40">IFERROR(INDEX('60 Elements'!C:C,SMALL(IF('60 Elements'!E$2:E$61="—",ROW('60 Elements'!E$2:E$61)),10)),"")</f>
        <v/>
      </c>
      <c r="C40" s="97">
        <f t="array" ref="C40">IFERROR(INDEX('60 Elements'!D:D,SMALL(IF('60 Elements'!E$2:E$61="—",ROW('60 Elements'!E$2:E$61)),10)),"")</f>
        <v/>
      </c>
      <c r="D40" s="97">
        <f t="array" ref="D40">IFERROR(INDEX('60 Elements'!F:F,SMALL(IF('60 Elements'!E$2:E$61="—",ROW('60 Elements'!E$2:E$61)),10)),"")</f>
        <v/>
      </c>
      <c r="E40" s="99">
        <f t="array" ref="E40">IFERROR(INDEX('60 Elements'!E:E,SMALL(IF('60 Elements'!E$2:E$61="—",ROW('60 Elements'!E$2:E$61)),10)),"")</f>
        <v/>
      </c>
      <c r="F40" s="101">
        <f t="array" ref="F40">IFERROR(SMALL(IF('60 Elements'!E$2:E$61="—",ROW('60 Elements'!E$2:E$61)-ROW('60 Elements'!E$2)+2),10),"")</f>
        <v/>
      </c>
      <c r="G40" s="97" t="n"/>
    </row>
    <row r="41" ht="26.4" customHeight="1" s="204">
      <c r="A41" s="96">
        <f t="array" ref="A41">IFERROR(INDEX('60 Elements'!B:B,SMALL(IF('60 Elements'!E$2:E$61="—",ROW('60 Elements'!E$2:E$61)),11)),"")</f>
        <v/>
      </c>
      <c r="B41" s="96">
        <f t="array" ref="B41">IFERROR(INDEX('60 Elements'!C:C,SMALL(IF('60 Elements'!E$2:E$61="—",ROW('60 Elements'!E$2:E$61)),11)),"")</f>
        <v/>
      </c>
      <c r="C41" s="96">
        <f t="array" ref="C41">IFERROR(INDEX('60 Elements'!D:D,SMALL(IF('60 Elements'!E$2:E$61="—",ROW('60 Elements'!E$2:E$61)),11)),"")</f>
        <v/>
      </c>
      <c r="D41" s="96">
        <f t="array" ref="D41">IFERROR(INDEX('60 Elements'!F:F,SMALL(IF('60 Elements'!E$2:E$61="—",ROW('60 Elements'!E$2:E$61)),11)),"")</f>
        <v/>
      </c>
      <c r="E41" s="98">
        <f t="array" ref="E41">IFERROR(INDEX('60 Elements'!E:E,SMALL(IF('60 Elements'!E$2:E$61="—",ROW('60 Elements'!E$2:E$61)),11)),"")</f>
        <v/>
      </c>
      <c r="F41" s="100">
        <f t="array" ref="F41">IFERROR(SMALL(IF('60 Elements'!E$2:E$61="—",ROW('60 Elements'!E$2:E$61)-ROW('60 Elements'!E$2)+2),11),"")</f>
        <v/>
      </c>
      <c r="G41" s="96" t="n"/>
    </row>
    <row r="42">
      <c r="A42" s="97">
        <f t="array" ref="A42">IFERROR(INDEX('60 Elements'!B:B,SMALL(IF('60 Elements'!E$2:E$61="—",ROW('60 Elements'!E$2:E$61)),12)),"")</f>
        <v/>
      </c>
      <c r="B42" s="97">
        <f t="array" ref="B42">IFERROR(INDEX('60 Elements'!C:C,SMALL(IF('60 Elements'!E$2:E$61="—",ROW('60 Elements'!E$2:E$61)),12)),"")</f>
        <v/>
      </c>
      <c r="C42" s="97">
        <f t="array" ref="C42">IFERROR(INDEX('60 Elements'!D:D,SMALL(IF('60 Elements'!E$2:E$61="—",ROW('60 Elements'!E$2:E$61)),12)),"")</f>
        <v/>
      </c>
      <c r="D42" s="97">
        <f t="array" ref="D42">IFERROR(INDEX('60 Elements'!F:F,SMALL(IF('60 Elements'!E$2:E$61="—",ROW('60 Elements'!E$2:E$61)),12)),"")</f>
        <v/>
      </c>
      <c r="E42" s="99">
        <f t="array" ref="E42">IFERROR(INDEX('60 Elements'!E:E,SMALL(IF('60 Elements'!E$2:E$61="—",ROW('60 Elements'!E$2:E$61)),12)),"")</f>
        <v/>
      </c>
      <c r="F42" s="101">
        <f t="array" ref="F42">IFERROR(SMALL(IF('60 Elements'!E$2:E$61="—",ROW('60 Elements'!E$2:E$61)-ROW('60 Elements'!E$2)+2),12),"")</f>
        <v/>
      </c>
      <c r="G42" s="97" t="n"/>
    </row>
    <row r="43">
      <c r="A43" s="96">
        <f t="array" ref="A43">IFERROR(INDEX('60 Elements'!B:B,SMALL(IF('60 Elements'!E$2:E$61="—",ROW('60 Elements'!E$2:E$61)),13)),"")</f>
        <v/>
      </c>
      <c r="B43" s="96">
        <f t="array" ref="B43">IFERROR(INDEX('60 Elements'!C:C,SMALL(IF('60 Elements'!E$2:E$61="—",ROW('60 Elements'!E$2:E$61)),13)),"")</f>
        <v/>
      </c>
      <c r="C43" s="96">
        <f t="array" ref="C43">IFERROR(INDEX('60 Elements'!D:D,SMALL(IF('60 Elements'!E$2:E$61="—",ROW('60 Elements'!E$2:E$61)),13)),"")</f>
        <v/>
      </c>
      <c r="D43" s="96">
        <f t="array" ref="D43">IFERROR(INDEX('60 Elements'!F:F,SMALL(IF('60 Elements'!E$2:E$61="—",ROW('60 Elements'!E$2:E$61)),13)),"")</f>
        <v/>
      </c>
      <c r="E43" s="98">
        <f t="array" ref="E43">IFERROR(INDEX('60 Elements'!E:E,SMALL(IF('60 Elements'!E$2:E$61="—",ROW('60 Elements'!E$2:E$61)),13)),"")</f>
        <v/>
      </c>
      <c r="F43" s="100">
        <f t="array" ref="F43">IFERROR(SMALL(IF('60 Elements'!E$2:E$61="—",ROW('60 Elements'!E$2:E$61)-ROW('60 Elements'!E$2)+2),13),"")</f>
        <v/>
      </c>
      <c r="G43" s="96" t="n"/>
    </row>
    <row r="44" ht="26.4" customHeight="1" s="204">
      <c r="A44" s="97">
        <f t="array" ref="A44">IFERROR(INDEX('60 Elements'!B:B,SMALL(IF('60 Elements'!E$2:E$61="—",ROW('60 Elements'!E$2:E$61)),14)),"")</f>
        <v/>
      </c>
      <c r="B44" s="97">
        <f t="array" ref="B44">IFERROR(INDEX('60 Elements'!C:C,SMALL(IF('60 Elements'!E$2:E$61="—",ROW('60 Elements'!E$2:E$61)),14)),"")</f>
        <v/>
      </c>
      <c r="C44" s="97">
        <f t="array" ref="C44">IFERROR(INDEX('60 Elements'!D:D,SMALL(IF('60 Elements'!E$2:E$61="—",ROW('60 Elements'!E$2:E$61)),14)),"")</f>
        <v/>
      </c>
      <c r="D44" s="97">
        <f t="array" ref="D44">IFERROR(INDEX('60 Elements'!F:F,SMALL(IF('60 Elements'!E$2:E$61="—",ROW('60 Elements'!E$2:E$61)),14)),"")</f>
        <v/>
      </c>
      <c r="E44" s="99">
        <f t="array" ref="E44">IFERROR(INDEX('60 Elements'!E:E,SMALL(IF('60 Elements'!E$2:E$61="—",ROW('60 Elements'!E$2:E$61)),14)),"")</f>
        <v/>
      </c>
      <c r="F44" s="101">
        <f t="array" ref="F44">IFERROR(SMALL(IF('60 Elements'!E$2:E$61="—",ROW('60 Elements'!E$2:E$61)-ROW('60 Elements'!E$2)+2),14),"")</f>
        <v/>
      </c>
      <c r="G44" s="97" t="n"/>
    </row>
    <row r="45" ht="26.4" customHeight="1" s="204">
      <c r="A45" s="96">
        <f t="array" ref="A45">IFERROR(INDEX('60 Elements'!B:B,SMALL(IF('60 Elements'!E$2:E$61="—",ROW('60 Elements'!E$2:E$61)),15)),"")</f>
        <v/>
      </c>
      <c r="B45" s="96">
        <f t="array" ref="B45">IFERROR(INDEX('60 Elements'!C:C,SMALL(IF('60 Elements'!E$2:E$61="—",ROW('60 Elements'!E$2:E$61)),15)),"")</f>
        <v/>
      </c>
      <c r="C45" s="96">
        <f t="array" ref="C45">IFERROR(INDEX('60 Elements'!D:D,SMALL(IF('60 Elements'!E$2:E$61="—",ROW('60 Elements'!E$2:E$61)),15)),"")</f>
        <v/>
      </c>
      <c r="D45" s="96">
        <f t="array" ref="D45">IFERROR(INDEX('60 Elements'!F:F,SMALL(IF('60 Elements'!E$2:E$61="—",ROW('60 Elements'!E$2:E$61)),15)),"")</f>
        <v/>
      </c>
      <c r="E45" s="98">
        <f t="array" ref="E45">IFERROR(INDEX('60 Elements'!E:E,SMALL(IF('60 Elements'!E$2:E$61="—",ROW('60 Elements'!E$2:E$61)),15)),"")</f>
        <v/>
      </c>
      <c r="F45" s="100">
        <f t="array" ref="F45">IFERROR(SMALL(IF('60 Elements'!E$2:E$61="—",ROW('60 Elements'!E$2:E$61)-ROW('60 Elements'!E$2)+2),15),"")</f>
        <v/>
      </c>
      <c r="G45" s="96" t="n"/>
    </row>
    <row r="46">
      <c r="A46" s="97">
        <f t="array" ref="A46">IFERROR(INDEX('60 Elements'!B:B,SMALL(IF('60 Elements'!E$2:E$61="—",ROW('60 Elements'!E$2:E$61)),16)),"")</f>
        <v/>
      </c>
      <c r="B46" s="97">
        <f t="array" ref="B46">IFERROR(INDEX('60 Elements'!C:C,SMALL(IF('60 Elements'!E$2:E$61="—",ROW('60 Elements'!E$2:E$61)),16)),"")</f>
        <v/>
      </c>
      <c r="C46" s="97">
        <f t="array" ref="C46">IFERROR(INDEX('60 Elements'!D:D,SMALL(IF('60 Elements'!E$2:E$61="—",ROW('60 Elements'!E$2:E$61)),16)),"")</f>
        <v/>
      </c>
      <c r="D46" s="97">
        <f t="array" ref="D46">IFERROR(INDEX('60 Elements'!F:F,SMALL(IF('60 Elements'!E$2:E$61="—",ROW('60 Elements'!E$2:E$61)),16)),"")</f>
        <v/>
      </c>
      <c r="E46" s="99">
        <f t="array" ref="E46">IFERROR(INDEX('60 Elements'!E:E,SMALL(IF('60 Elements'!E$2:E$61="—",ROW('60 Elements'!E$2:E$61)),16)),"")</f>
        <v/>
      </c>
      <c r="F46" s="101">
        <f t="array" ref="F46">IFERROR(SMALL(IF('60 Elements'!E$2:E$61="—",ROW('60 Elements'!E$2:E$61)-ROW('60 Elements'!E$2)+2),16),"")</f>
        <v/>
      </c>
      <c r="G46" s="97" t="n"/>
    </row>
    <row r="47" ht="26.4" customHeight="1" s="204">
      <c r="A47" s="96">
        <f t="array" ref="A47">IFERROR(INDEX('60 Elements'!B:B,SMALL(IF('60 Elements'!E$2:E$61="—",ROW('60 Elements'!E$2:E$61)),17)),"")</f>
        <v/>
      </c>
      <c r="B47" s="96">
        <f t="array" ref="B47">IFERROR(INDEX('60 Elements'!C:C,SMALL(IF('60 Elements'!E$2:E$61="—",ROW('60 Elements'!E$2:E$61)),17)),"")</f>
        <v/>
      </c>
      <c r="C47" s="96">
        <f t="array" ref="C47">IFERROR(INDEX('60 Elements'!D:D,SMALL(IF('60 Elements'!E$2:E$61="—",ROW('60 Elements'!E$2:E$61)),17)),"")</f>
        <v/>
      </c>
      <c r="D47" s="96">
        <f t="array" ref="D47">IFERROR(INDEX('60 Elements'!F:F,SMALL(IF('60 Elements'!E$2:E$61="—",ROW('60 Elements'!E$2:E$61)),17)),"")</f>
        <v/>
      </c>
      <c r="E47" s="98">
        <f t="array" ref="E47">IFERROR(INDEX('60 Elements'!E:E,SMALL(IF('60 Elements'!E$2:E$61="—",ROW('60 Elements'!E$2:E$61)),17)),"")</f>
        <v/>
      </c>
      <c r="F47" s="100">
        <f t="array" ref="F47">IFERROR(SMALL(IF('60 Elements'!E$2:E$61="—",ROW('60 Elements'!E$2:E$61)-ROW('60 Elements'!E$2)+2),17),"")</f>
        <v/>
      </c>
      <c r="G47" s="96" t="n"/>
    </row>
    <row r="48" ht="26.4" customHeight="1" s="204">
      <c r="A48" s="97">
        <f t="array" ref="A48">IFERROR(INDEX('60 Elements'!B:B,SMALL(IF('60 Elements'!E$2:E$61="—",ROW('60 Elements'!E$2:E$61)),18)),"")</f>
        <v/>
      </c>
      <c r="B48" s="97">
        <f t="array" ref="B48">IFERROR(INDEX('60 Elements'!C:C,SMALL(IF('60 Elements'!E$2:E$61="—",ROW('60 Elements'!E$2:E$61)),18)),"")</f>
        <v/>
      </c>
      <c r="C48" s="97">
        <f t="array" ref="C48">IFERROR(INDEX('60 Elements'!D:D,SMALL(IF('60 Elements'!E$2:E$61="—",ROW('60 Elements'!E$2:E$61)),18)),"")</f>
        <v/>
      </c>
      <c r="D48" s="97">
        <f t="array" ref="D48">IFERROR(INDEX('60 Elements'!F:F,SMALL(IF('60 Elements'!E$2:E$61="—",ROW('60 Elements'!E$2:E$61)),18)),"")</f>
        <v/>
      </c>
      <c r="E48" s="99">
        <f t="array" ref="E48">IFERROR(INDEX('60 Elements'!E:E,SMALL(IF('60 Elements'!E$2:E$61="—",ROW('60 Elements'!E$2:E$61)),18)),"")</f>
        <v/>
      </c>
      <c r="F48" s="101">
        <f t="array" ref="F48">IFERROR(SMALL(IF('60 Elements'!E$2:E$61="—",ROW('60 Elements'!E$2:E$61)-ROW('60 Elements'!E$2)+2),18),"")</f>
        <v/>
      </c>
      <c r="G48" s="97" t="n"/>
    </row>
    <row r="49">
      <c r="A49" s="96">
        <f t="array" ref="A49">IFERROR(INDEX('60 Elements'!B:B,SMALL(IF('60 Elements'!E$2:E$61="—",ROW('60 Elements'!E$2:E$61)),19)),"")</f>
        <v/>
      </c>
      <c r="B49" s="96">
        <f t="array" ref="B49">IFERROR(INDEX('60 Elements'!C:C,SMALL(IF('60 Elements'!E$2:E$61="—",ROW('60 Elements'!E$2:E$61)),19)),"")</f>
        <v/>
      </c>
      <c r="C49" s="96">
        <f t="array" ref="C49">IFERROR(INDEX('60 Elements'!D:D,SMALL(IF('60 Elements'!E$2:E$61="—",ROW('60 Elements'!E$2:E$61)),19)),"")</f>
        <v/>
      </c>
      <c r="D49" s="96">
        <f t="array" ref="D49">IFERROR(INDEX('60 Elements'!F:F,SMALL(IF('60 Elements'!E$2:E$61="—",ROW('60 Elements'!E$2:E$61)),19)),"")</f>
        <v/>
      </c>
      <c r="E49" s="98">
        <f t="array" ref="E49">IFERROR(INDEX('60 Elements'!E:E,SMALL(IF('60 Elements'!E$2:E$61="—",ROW('60 Elements'!E$2:E$61)),19)),"")</f>
        <v/>
      </c>
      <c r="F49" s="100">
        <f t="array" ref="F49">IFERROR(SMALL(IF('60 Elements'!E$2:E$61="—",ROW('60 Elements'!E$2:E$61)-ROW('60 Elements'!E$2)+2),19),"")</f>
        <v/>
      </c>
      <c r="G49" s="96" t="n"/>
    </row>
    <row r="50" ht="26.4" customHeight="1" s="204">
      <c r="A50" s="97">
        <f t="array" ref="A50">IFERROR(INDEX('60 Elements'!B:B,SMALL(IF('60 Elements'!E$2:E$61="—",ROW('60 Elements'!E$2:E$61)),20)),"")</f>
        <v/>
      </c>
      <c r="B50" s="97">
        <f t="array" ref="B50">IFERROR(INDEX('60 Elements'!C:C,SMALL(IF('60 Elements'!E$2:E$61="—",ROW('60 Elements'!E$2:E$61)),20)),"")</f>
        <v/>
      </c>
      <c r="C50" s="97">
        <f t="array" ref="C50">IFERROR(INDEX('60 Elements'!D:D,SMALL(IF('60 Elements'!E$2:E$61="—",ROW('60 Elements'!E$2:E$61)),20)),"")</f>
        <v/>
      </c>
      <c r="D50" s="97">
        <f t="array" ref="D50">IFERROR(INDEX('60 Elements'!F:F,SMALL(IF('60 Elements'!E$2:E$61="—",ROW('60 Elements'!E$2:E$61)),20)),"")</f>
        <v/>
      </c>
      <c r="E50" s="99">
        <f t="array" ref="E50">IFERROR(INDEX('60 Elements'!E:E,SMALL(IF('60 Elements'!E$2:E$61="—",ROW('60 Elements'!E$2:E$61)),20)),"")</f>
        <v/>
      </c>
      <c r="F50" s="101">
        <f t="array" ref="F50">IFERROR(SMALL(IF('60 Elements'!E$2:E$61="—",ROW('60 Elements'!E$2:E$61)-ROW('60 Elements'!E$2)+2),20),"")</f>
        <v/>
      </c>
      <c r="G50" s="97" t="n"/>
    </row>
    <row r="51" ht="26.4" customHeight="1" s="204">
      <c r="A51" s="96">
        <f t="array" ref="A51">IFERROR(INDEX('60 Elements'!B:B,SMALL(IF('60 Elements'!E$2:E$61="—",ROW('60 Elements'!E$2:E$61)),21)),"")</f>
        <v/>
      </c>
      <c r="B51" s="96">
        <f t="array" ref="B51">IFERROR(INDEX('60 Elements'!C:C,SMALL(IF('60 Elements'!E$2:E$61="—",ROW('60 Elements'!E$2:E$61)),21)),"")</f>
        <v/>
      </c>
      <c r="C51" s="96">
        <f t="array" ref="C51">IFERROR(INDEX('60 Elements'!D:D,SMALL(IF('60 Elements'!E$2:E$61="—",ROW('60 Elements'!E$2:E$61)),21)),"")</f>
        <v/>
      </c>
      <c r="D51" s="96">
        <f t="array" ref="D51">IFERROR(INDEX('60 Elements'!F:F,SMALL(IF('60 Elements'!E$2:E$61="—",ROW('60 Elements'!E$2:E$61)),21)),"")</f>
        <v/>
      </c>
      <c r="E51" s="98">
        <f t="array" ref="E51">IFERROR(INDEX('60 Elements'!E:E,SMALL(IF('60 Elements'!E$2:E$61="—",ROW('60 Elements'!E$2:E$61)),21)),"")</f>
        <v/>
      </c>
      <c r="F51" s="100">
        <f t="array" ref="F51">IFERROR(SMALL(IF('60 Elements'!E$2:E$61="—",ROW('60 Elements'!E$2:E$61)-ROW('60 Elements'!E$2)+2),21),"")</f>
        <v/>
      </c>
      <c r="G51" s="96" t="n"/>
    </row>
    <row r="52" ht="26.4" customHeight="1" s="204">
      <c r="A52" s="97">
        <f t="array" ref="A52">IFERROR(INDEX('60 Elements'!B:B,SMALL(IF('60 Elements'!E$2:E$61="—",ROW('60 Elements'!E$2:E$61)),22)),"")</f>
        <v/>
      </c>
      <c r="B52" s="97">
        <f t="array" ref="B52">IFERROR(INDEX('60 Elements'!C:C,SMALL(IF('60 Elements'!E$2:E$61="—",ROW('60 Elements'!E$2:E$61)),22)),"")</f>
        <v/>
      </c>
      <c r="C52" s="97">
        <f t="array" ref="C52">IFERROR(INDEX('60 Elements'!D:D,SMALL(IF('60 Elements'!E$2:E$61="—",ROW('60 Elements'!E$2:E$61)),22)),"")</f>
        <v/>
      </c>
      <c r="D52" s="97">
        <f t="array" ref="D52">IFERROR(INDEX('60 Elements'!F:F,SMALL(IF('60 Elements'!E$2:E$61="—",ROW('60 Elements'!E$2:E$61)),22)),"")</f>
        <v/>
      </c>
      <c r="E52" s="99">
        <f t="array" ref="E52">IFERROR(INDEX('60 Elements'!E:E,SMALL(IF('60 Elements'!E$2:E$61="—",ROW('60 Elements'!E$2:E$61)),22)),"")</f>
        <v/>
      </c>
      <c r="F52" s="101">
        <f t="array" ref="F52">IFERROR(SMALL(IF('60 Elements'!E$2:E$61="—",ROW('60 Elements'!E$2:E$61)-ROW('60 Elements'!E$2)+2),22),"")</f>
        <v/>
      </c>
      <c r="G52" s="97" t="n"/>
    </row>
    <row r="54" ht="16.8" customHeight="1" s="204">
      <c r="A54" s="102" t="inlineStr">
        <is>
          <t>LIVE SUMMARY</t>
        </is>
      </c>
      <c r="B54" s="102">
        <f>"🚨 "&amp;COUNTIF('60 Elements'!E2:E61,"WARN")&amp;" element WARNs  |  "&amp;COUNTIF('60 Elements'!E2:E61,"—")&amp;" unassessed  |  "&amp;TEXT((60-COUNTIF('60 Elements'!E2:E61,"—"))/60,"0%")&amp;" assessed  |  "&amp;(DATE(2026,6,1)-TODAY())&amp;" days to defense  |  "&amp;(DATE(2026,4,17)-TODAY())&amp;" days to CEN meeting"</f>
        <v/>
      </c>
      <c r="C54" s="63" t="n"/>
      <c r="D54" s="63" t="n"/>
      <c r="E54" s="63" t="n"/>
      <c r="F54" s="63" t="n"/>
      <c r="G54" s="6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C4DFF"/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H3" sqref="H3"/>
    </sheetView>
  </sheetViews>
  <sheetFormatPr baseColWidth="8" defaultRowHeight="14.4"/>
  <cols>
    <col width="8" customWidth="1" style="204" min="1" max="1"/>
    <col width="15" customWidth="1" style="204" min="2" max="2"/>
    <col width="10" customWidth="1" style="204" min="3" max="3"/>
    <col width="55" customWidth="1" style="204" min="4" max="4"/>
    <col width="10" customWidth="1" style="204" min="5" max="5"/>
    <col width="30" customWidth="1" style="204" min="6" max="6"/>
    <col width="14" customWidth="1" style="204" min="7" max="7"/>
    <col width="33.21875" customWidth="1" style="204" min="8" max="8"/>
  </cols>
  <sheetData>
    <row r="1" ht="16.8" customHeight="1" s="204">
      <c r="A1" s="112" t="inlineStr">
        <is>
          <t>Face #</t>
        </is>
      </c>
      <c r="B1" s="112" t="inlineStr">
        <is>
          <t>Face Name</t>
        </is>
      </c>
      <c r="C1" s="112" t="inlineStr">
        <is>
          <t>Element</t>
        </is>
      </c>
      <c r="D1" s="112" t="inlineStr">
        <is>
          <t>Check Description</t>
        </is>
      </c>
      <c r="E1" s="112" t="inlineStr">
        <is>
          <t>Status</t>
        </is>
      </c>
      <c r="F1" s="112" t="inlineStr">
        <is>
          <t>Evidence / Notes</t>
        </is>
      </c>
      <c r="G1" s="112" t="inlineStr">
        <is>
          <t>Last Checked</t>
        </is>
      </c>
      <c r="H1" s="112" t="inlineStr">
        <is>
          <t>Deimantas Notes 04/23/2026</t>
        </is>
      </c>
    </row>
    <row r="2" ht="15" customHeight="1" s="204">
      <c r="A2" s="109" t="n">
        <v>1</v>
      </c>
      <c r="B2" s="110" t="inlineStr">
        <is>
          <t>Survival</t>
        </is>
      </c>
      <c r="C2" s="110" t="inlineStr">
        <is>
          <t>Earth</t>
        </is>
      </c>
      <c r="D2" s="110" t="inlineStr">
        <is>
          <t>Syntax validation — node --check on every changed .js file</t>
        </is>
      </c>
      <c r="E2" s="111" t="inlineStr">
        <is>
          <t>PASS</t>
        </is>
      </c>
      <c r="F2" s="110" t="inlineStr">
        <is>
          <t>node --check: 7 key files OK (main, Face, TuningConfig, spectral, breath, phi-harmonics)</t>
        </is>
      </c>
      <c r="G2" s="110" t="inlineStr">
        <is>
          <t>2026-04-11</t>
        </is>
      </c>
      <c r="H2" s="202" t="inlineStr">
        <is>
          <t>Expand with specialized spirals! More matrixes!</t>
        </is>
      </c>
    </row>
    <row r="3" ht="15" customHeight="1" s="204">
      <c r="A3" s="113" t="n">
        <v>1</v>
      </c>
      <c r="B3" s="114" t="inlineStr">
        <is>
          <t>Survival</t>
        </is>
      </c>
      <c r="C3" s="114" t="inlineStr">
        <is>
          <t>Water</t>
        </is>
      </c>
      <c r="D3" s="114" t="inlineStr">
        <is>
          <t>No crashes — POC loads in browser without console errors</t>
        </is>
      </c>
      <c r="E3" s="115" t="inlineStr">
        <is>
          <t>—</t>
        </is>
      </c>
      <c r="F3" s="114" t="n"/>
      <c r="G3" s="114" t="n"/>
    </row>
    <row r="4" ht="30" customHeight="1" s="204">
      <c r="A4" s="108" t="n">
        <v>1</v>
      </c>
      <c r="B4" s="6" t="inlineStr">
        <is>
          <t>Survival</t>
        </is>
      </c>
      <c r="C4" s="6" t="inlineStr">
        <is>
          <t>Fire</t>
        </is>
      </c>
      <c r="D4" s="6" t="inlineStr">
        <is>
          <t>Script &amp; dependency order — spectral/breath analyzers before main.js</t>
        </is>
      </c>
      <c r="E4" s="19" t="inlineStr">
        <is>
          <t>—</t>
        </is>
      </c>
      <c r="F4" s="6" t="n"/>
      <c r="G4" s="6" t="n"/>
    </row>
    <row r="5" ht="30" customHeight="1" s="204">
      <c r="A5" s="108" t="n">
        <v>1</v>
      </c>
      <c r="B5" s="6" t="inlineStr">
        <is>
          <t>Survival</t>
        </is>
      </c>
      <c r="C5" s="6" t="inlineStr">
        <is>
          <t>Air</t>
        </is>
      </c>
      <c r="D5" s="6" t="inlineStr">
        <is>
          <t>Environment compatibility — Windows path separators, pwsh vs bash</t>
        </is>
      </c>
      <c r="E5" s="18" t="inlineStr">
        <is>
          <t>PASS</t>
        </is>
      </c>
      <c r="F5" s="6" t="inlineStr">
        <is>
          <t>Windows paths handled, pwsh used</t>
        </is>
      </c>
      <c r="G5" s="6" t="inlineStr">
        <is>
          <t>2026-04-11</t>
        </is>
      </c>
    </row>
    <row r="6" ht="30" customHeight="1" s="204">
      <c r="A6" s="120" t="n">
        <v>1</v>
      </c>
      <c r="B6" s="121" t="inlineStr">
        <is>
          <t>Survival</t>
        </is>
      </c>
      <c r="C6" s="121" t="inlineStr">
        <is>
          <t>Ether</t>
        </is>
      </c>
      <c r="D6" s="121" t="inlineStr">
        <is>
          <t>Import resolution — ES module imports, cache-busting ?v= strings</t>
        </is>
      </c>
      <c r="E6" s="122" t="inlineStr">
        <is>
          <t>—</t>
        </is>
      </c>
      <c r="F6" s="121" t="n"/>
      <c r="G6" s="121" t="n"/>
    </row>
    <row r="7" ht="30" customHeight="1" s="204">
      <c r="A7" s="117" t="n">
        <v>2</v>
      </c>
      <c r="B7" s="118" t="inlineStr">
        <is>
          <t>Foundation</t>
        </is>
      </c>
      <c r="C7" s="118" t="inlineStr">
        <is>
          <t>Earth</t>
        </is>
      </c>
      <c r="D7" s="118" t="inlineStr">
        <is>
          <t>Variable shadowing — locals shadowing outer scope (caused real bugs)</t>
        </is>
      </c>
      <c r="E7" s="119" t="inlineStr">
        <is>
          <t>—</t>
        </is>
      </c>
      <c r="F7" s="118" t="n"/>
      <c r="G7" s="118" t="n"/>
    </row>
    <row r="8" ht="30" customHeight="1" s="204">
      <c r="A8" s="123" t="n">
        <v>2</v>
      </c>
      <c r="B8" s="124" t="inlineStr">
        <is>
          <t>Foundation</t>
        </is>
      </c>
      <c r="C8" s="124" t="inlineStr">
        <is>
          <t>Water</t>
        </is>
      </c>
      <c r="D8" s="124" t="inlineStr">
        <is>
          <t>PhiHarmonics constants — no hardcoded 0.618, 0.382, 1.618 etc.</t>
        </is>
      </c>
      <c r="E8" s="125" t="inlineStr">
        <is>
          <t>PASS</t>
        </is>
      </c>
      <c r="F8" s="124" t="inlineStr">
        <is>
          <t>All phi values in comments only, not hardcoded in executable code</t>
        </is>
      </c>
      <c r="G8" s="124" t="inlineStr">
        <is>
          <t>2026-04-11</t>
        </is>
      </c>
    </row>
    <row r="9" ht="30" customHeight="1" s="204">
      <c r="A9" s="116" t="n">
        <v>2</v>
      </c>
      <c r="B9" s="9" t="inlineStr">
        <is>
          <t>Foundation</t>
        </is>
      </c>
      <c r="C9" s="9" t="inlineStr">
        <is>
          <t>Fire</t>
        </is>
      </c>
      <c r="D9" s="9" t="inlineStr">
        <is>
          <t>Export contracts — window globals: Quannex, PhiHarmonics, Logger etc.</t>
        </is>
      </c>
      <c r="E9" s="18" t="inlineStr">
        <is>
          <t>PASS</t>
        </is>
      </c>
      <c r="F9" s="9" t="inlineStr">
        <is>
          <t>window.Quannex, PhiHarmonics, Logger globals documented in main.js</t>
        </is>
      </c>
      <c r="G9" s="9" t="inlineStr">
        <is>
          <t>2026-04-11</t>
        </is>
      </c>
    </row>
    <row r="10" ht="30" customHeight="1" s="204">
      <c r="A10" s="116" t="n">
        <v>2</v>
      </c>
      <c r="B10" s="9" t="inlineStr">
        <is>
          <t>Foundation</t>
        </is>
      </c>
      <c r="C10" s="9" t="inlineStr">
        <is>
          <t>Air</t>
        </is>
      </c>
      <c r="D10" s="9" t="inlineStr">
        <is>
          <t>Type safety — face IDs numbers (1-12), energy 0-1, NaN guards</t>
        </is>
      </c>
      <c r="E10" s="19" t="inlineStr">
        <is>
          <t>—</t>
        </is>
      </c>
      <c r="F10" s="9" t="n"/>
      <c r="G10" s="9" t="n"/>
    </row>
    <row r="11" ht="30" customHeight="1" s="204">
      <c r="A11" s="129" t="n">
        <v>2</v>
      </c>
      <c r="B11" s="130" t="inlineStr">
        <is>
          <t>Foundation</t>
        </is>
      </c>
      <c r="C11" s="130" t="inlineStr">
        <is>
          <t>Ether</t>
        </is>
      </c>
      <c r="D11" s="130" t="inlineStr">
        <is>
          <t>Import hygiene — unused imports removed, no side-effect-only imports</t>
        </is>
      </c>
      <c r="E11" s="122" t="inlineStr">
        <is>
          <t>—</t>
        </is>
      </c>
      <c r="F11" s="130" t="n"/>
      <c r="G11" s="130" t="n"/>
    </row>
    <row r="12" ht="30" customHeight="1" s="204">
      <c r="A12" s="127" t="n">
        <v>3</v>
      </c>
      <c r="B12" s="110" t="inlineStr">
        <is>
          <t>Clarity</t>
        </is>
      </c>
      <c r="C12" s="110" t="inlineStr">
        <is>
          <t>Earth</t>
        </is>
      </c>
      <c r="D12" s="110" t="inlineStr">
        <is>
          <t>"Why" comments — Greek params (α-θ) documented, phi powers explained</t>
        </is>
      </c>
      <c r="E12" s="128" t="inlineStr">
        <is>
          <t>WARN</t>
        </is>
      </c>
      <c r="F12" s="110" t="inlineStr">
        <is>
          <t>Doc-drift class found 2026-04-07; SSOT lookup rule established</t>
        </is>
      </c>
      <c r="G12" s="110" t="inlineStr">
        <is>
          <t>2026-04-07</t>
        </is>
      </c>
    </row>
    <row r="13" ht="30" customHeight="1" s="204">
      <c r="A13" s="131" t="n">
        <v>3</v>
      </c>
      <c r="B13" s="114" t="inlineStr">
        <is>
          <t>Clarity</t>
        </is>
      </c>
      <c r="C13" s="114" t="inlineStr">
        <is>
          <t>Water</t>
        </is>
      </c>
      <c r="D13" s="114" t="inlineStr">
        <is>
          <t>Architecture docs — FILE_STRUCTURE_MAP, MODULE_ARCHITECTURE current</t>
        </is>
      </c>
      <c r="E13" s="125" t="inlineStr">
        <is>
          <t>PASS</t>
        </is>
      </c>
      <c r="F13" s="114" t="inlineStr">
        <is>
          <t>DOCUMENTATION_INDEX.md current, FILE_STRUCTURE_MAP exists</t>
        </is>
      </c>
      <c r="G13" s="114" t="inlineStr">
        <is>
          <t>2026-03-14</t>
        </is>
      </c>
    </row>
    <row r="14" ht="15" customHeight="1" s="204">
      <c r="A14" s="126" t="n">
        <v>3</v>
      </c>
      <c r="B14" s="6" t="inlineStr">
        <is>
          <t>Clarity</t>
        </is>
      </c>
      <c r="C14" s="6" t="inlineStr">
        <is>
          <t>Fire</t>
        </is>
      </c>
      <c r="D14" s="6" t="inlineStr">
        <is>
          <t>Debug trails — symptom → root cause → fix documented</t>
        </is>
      </c>
      <c r="E14" s="18" t="inlineStr">
        <is>
          <t>PASS</t>
        </is>
      </c>
      <c r="F14" s="6" t="inlineStr">
        <is>
          <t>Debug trail documented in LEARNINGS.md + session contexts</t>
        </is>
      </c>
      <c r="G14" s="6" t="inlineStr">
        <is>
          <t>2026-04-07</t>
        </is>
      </c>
    </row>
    <row r="15" ht="30" customHeight="1" s="204">
      <c r="A15" s="126" t="n">
        <v>3</v>
      </c>
      <c r="B15" s="6" t="inlineStr">
        <is>
          <t>Clarity</t>
        </is>
      </c>
      <c r="C15" s="6" t="inlineStr">
        <is>
          <t>Air</t>
        </is>
      </c>
      <c r="D15" s="6" t="inlineStr">
        <is>
          <t>Calculation audit trail — every formula traceable input→formula→output</t>
        </is>
      </c>
      <c r="E15" s="18" t="inlineStr">
        <is>
          <t>PASS</t>
        </is>
      </c>
      <c r="F15" s="6" t="inlineStr">
        <is>
          <t>CALCULATION_AUDIT_TRAIL.md: 28KB, every formula traced</t>
        </is>
      </c>
      <c r="G15" s="6" t="inlineStr">
        <is>
          <t>2026-04-11</t>
        </is>
      </c>
    </row>
    <row r="16" ht="15" customHeight="1" s="204">
      <c r="A16" s="134" t="n">
        <v>3</v>
      </c>
      <c r="B16" s="121" t="inlineStr">
        <is>
          <t>Clarity</t>
        </is>
      </c>
      <c r="C16" s="121" t="inlineStr">
        <is>
          <t>Ether</t>
        </is>
      </c>
      <c r="D16" s="121" t="inlineStr">
        <is>
          <t>Cross-workspace notes — thesis-relevant evidence flagged</t>
        </is>
      </c>
      <c r="E16" s="135" t="inlineStr">
        <is>
          <t>PASS</t>
        </is>
      </c>
      <c r="F16" s="121" t="inlineStr">
        <is>
          <t>CrossWorkspaceUpdate pattern active, /thesis skill exists</t>
        </is>
      </c>
      <c r="G16" s="121" t="inlineStr">
        <is>
          <t>2026-04-07</t>
        </is>
      </c>
    </row>
    <row r="17" ht="15" customHeight="1" s="204">
      <c r="A17" s="133" t="n">
        <v>4</v>
      </c>
      <c r="B17" s="118" t="inlineStr">
        <is>
          <t>Harmony</t>
        </is>
      </c>
      <c r="C17" s="118" t="inlineStr">
        <is>
          <t>Earth</t>
        </is>
      </c>
      <c r="D17" s="118" t="inlineStr">
        <is>
          <t>Deduplication — 3 spectral analyzer files consistent</t>
        </is>
      </c>
      <c r="E17" s="128" t="inlineStr">
        <is>
          <t>WARN</t>
        </is>
      </c>
      <c r="F17" s="118" t="inlineStr">
        <is>
          <t>3 spectral analyzer files still exist (known tech debt)</t>
        </is>
      </c>
      <c r="G17" s="118" t="inlineStr">
        <is>
          <t>2026-03-14</t>
        </is>
      </c>
    </row>
    <row r="18" ht="30" customHeight="1" s="204">
      <c r="A18" s="136" t="n">
        <v>4</v>
      </c>
      <c r="B18" s="124" t="inlineStr">
        <is>
          <t>Harmony</t>
        </is>
      </c>
      <c r="C18" s="124" t="inlineStr">
        <is>
          <t>Water</t>
        </is>
      </c>
      <c r="D18" s="124" t="inlineStr">
        <is>
          <t>Dead code removal — no commented-out code, use archive/ dir</t>
        </is>
      </c>
      <c r="E18" s="125" t="inlineStr">
        <is>
          <t>PASS</t>
        </is>
      </c>
      <c r="F18" s="124" t="inlineStr">
        <is>
          <t>No commented-out code in core files; archive/ dir exists</t>
        </is>
      </c>
      <c r="G18" s="124" t="inlineStr">
        <is>
          <t>2026-03-14</t>
        </is>
      </c>
    </row>
    <row r="19" ht="30" customHeight="1" s="204">
      <c r="A19" s="132" t="n">
        <v>4</v>
      </c>
      <c r="B19" s="9" t="inlineStr">
        <is>
          <t>Harmony</t>
        </is>
      </c>
      <c r="C19" s="9" t="inlineStr">
        <is>
          <t>Fire</t>
        </is>
      </c>
      <c r="D19" s="9" t="inlineStr">
        <is>
          <t>Naming conventions — camelCase vars, PascalCase classes, kebab files</t>
        </is>
      </c>
      <c r="E19" s="19" t="inlineStr">
        <is>
          <t>—</t>
        </is>
      </c>
      <c r="F19" s="9" t="n"/>
      <c r="G19" s="9" t="n"/>
    </row>
    <row r="20" ht="30" customHeight="1" s="204">
      <c r="A20" s="132" t="n">
        <v>4</v>
      </c>
      <c r="B20" s="9" t="inlineStr">
        <is>
          <t>Harmony</t>
        </is>
      </c>
      <c r="C20" s="9" t="inlineStr">
        <is>
          <t>Air</t>
        </is>
      </c>
      <c r="D20" s="9" t="inlineStr">
        <is>
          <t>Anti-pattern cleanup — Logger.* not console.log, null checks on DOM</t>
        </is>
      </c>
      <c r="E20" s="18" t="inlineStr">
        <is>
          <t>PASS</t>
        </is>
      </c>
      <c r="F20" s="9" t="inlineStr">
        <is>
          <t>Zero raw console.log in core/advanced/main — all Logger.*</t>
        </is>
      </c>
      <c r="G20" s="9" t="inlineStr">
        <is>
          <t>2026-04-11</t>
        </is>
      </c>
    </row>
    <row r="21" ht="15" customHeight="1" s="204">
      <c r="A21" s="139" t="n">
        <v>4</v>
      </c>
      <c r="B21" s="130" t="inlineStr">
        <is>
          <t>Harmony</t>
        </is>
      </c>
      <c r="C21" s="130" t="inlineStr">
        <is>
          <t>Ether</t>
        </is>
      </c>
      <c r="D21" s="130" t="inlineStr">
        <is>
          <t>File organization — JS in correct subdirectory, pages in pages/</t>
        </is>
      </c>
      <c r="E21" s="135" t="inlineStr">
        <is>
          <t>PASS</t>
        </is>
      </c>
      <c r="F21" s="130" t="inlineStr">
        <is>
          <t>JS in correct subdirs, pages in pages/</t>
        </is>
      </c>
      <c r="G21" s="130" t="inlineStr">
        <is>
          <t>2026-04-11</t>
        </is>
      </c>
    </row>
    <row r="22" ht="15" customHeight="1" s="204">
      <c r="A22" s="138" t="n">
        <v>5</v>
      </c>
      <c r="B22" s="110" t="inlineStr">
        <is>
          <t>Signal</t>
        </is>
      </c>
      <c r="C22" s="110" t="inlineStr">
        <is>
          <t>Earth</t>
        </is>
      </c>
      <c r="D22" s="110" t="inlineStr">
        <is>
          <t>Test honesty — no try/catch swallowing failures in tests</t>
        </is>
      </c>
      <c r="E22" s="111" t="inlineStr">
        <is>
          <t>PASS</t>
        </is>
      </c>
      <c r="F22" s="110" t="inlineStr">
        <is>
          <t>Stress test honesty verified Feb 2026 (was once dishonest)</t>
        </is>
      </c>
      <c r="G22" s="110" t="inlineStr">
        <is>
          <t>2026-02-08</t>
        </is>
      </c>
    </row>
    <row r="23" ht="30" customHeight="1" s="204">
      <c r="A23" s="140" t="n">
        <v>5</v>
      </c>
      <c r="B23" s="114" t="inlineStr">
        <is>
          <t>Signal</t>
        </is>
      </c>
      <c r="C23" s="114" t="inlineStr">
        <is>
          <t>Water</t>
        </is>
      </c>
      <c r="D23" s="114" t="inlineStr">
        <is>
          <t>Error message accuracy — Logger.warn/error describe actual problem</t>
        </is>
      </c>
      <c r="E23" s="115" t="inlineStr">
        <is>
          <t>—</t>
        </is>
      </c>
      <c r="F23" s="114" t="n"/>
      <c r="G23" s="114" t="n"/>
    </row>
    <row r="24" ht="30" customHeight="1" s="204">
      <c r="A24" s="137" t="n">
        <v>5</v>
      </c>
      <c r="B24" s="6" t="inlineStr">
        <is>
          <t>Signal</t>
        </is>
      </c>
      <c r="C24" s="6" t="inlineStr">
        <is>
          <t>Fire</t>
        </is>
      </c>
      <c r="D24" s="6" t="inlineStr">
        <is>
          <t>Logging consistency — all through Logger.*, correct severity levels</t>
        </is>
      </c>
      <c r="E24" s="18" t="inlineStr">
        <is>
          <t>PASS</t>
        </is>
      </c>
      <c r="F24" s="6" t="inlineStr">
        <is>
          <t>Full Logger.* migration done (930f687)</t>
        </is>
      </c>
      <c r="G24" s="6" t="inlineStr">
        <is>
          <t>2026-03-14</t>
        </is>
      </c>
    </row>
    <row r="25" ht="15" customHeight="1" s="204">
      <c r="A25" s="137" t="n">
        <v>5</v>
      </c>
      <c r="B25" s="6" t="inlineStr">
        <is>
          <t>Signal</t>
        </is>
      </c>
      <c r="C25" s="6" t="inlineStr">
        <is>
          <t>Air</t>
        </is>
      </c>
      <c r="D25" s="6" t="inlineStr">
        <is>
          <t>Data validation — data-validator catches corruption patterns</t>
        </is>
      </c>
      <c r="E25" s="18" t="inlineStr">
        <is>
          <t>PASS</t>
        </is>
      </c>
      <c r="F25" s="6" t="inlineStr">
        <is>
          <t>data-validator.js: 82 tests green</t>
        </is>
      </c>
      <c r="G25" s="6" t="inlineStr">
        <is>
          <t>2026-04-11</t>
        </is>
      </c>
    </row>
    <row r="26" ht="30" customHeight="1" s="204">
      <c r="A26" s="143" t="n">
        <v>5</v>
      </c>
      <c r="B26" s="121" t="inlineStr">
        <is>
          <t>Signal</t>
        </is>
      </c>
      <c r="C26" s="121" t="inlineStr">
        <is>
          <t>Ether</t>
        </is>
      </c>
      <c r="D26" s="121" t="inlineStr">
        <is>
          <t>No silent failures — edge cases produce warnings, not wrong answers</t>
        </is>
      </c>
      <c r="E26" s="122" t="inlineStr">
        <is>
          <t>—</t>
        </is>
      </c>
      <c r="F26" s="121" t="n"/>
      <c r="G26" s="121" t="n"/>
    </row>
    <row r="27" ht="15" customHeight="1" s="204">
      <c r="A27" s="142" t="n">
        <v>6</v>
      </c>
      <c r="B27" s="118" t="inlineStr">
        <is>
          <t>Consciousness</t>
        </is>
      </c>
      <c r="C27" s="118" t="inlineStr">
        <is>
          <t>Earth</t>
        </is>
      </c>
      <c r="D27" s="118" t="inlineStr">
        <is>
          <t>AI navigability — new Claude session orients in &lt;30 seconds</t>
        </is>
      </c>
      <c r="E27" s="111" t="inlineStr">
        <is>
          <t>PASS</t>
        </is>
      </c>
      <c r="F27" s="118" t="inlineStr">
        <is>
          <t>CLAUDE.md + DOCUMENTATION_INDEX + hooks active</t>
        </is>
      </c>
      <c r="G27" s="118" t="inlineStr">
        <is>
          <t>2026-04-07</t>
        </is>
      </c>
    </row>
    <row r="28" ht="30" customHeight="1" s="204">
      <c r="A28" s="144" t="n">
        <v>6</v>
      </c>
      <c r="B28" s="124" t="inlineStr">
        <is>
          <t>Consciousness</t>
        </is>
      </c>
      <c r="C28" s="124" t="inlineStr">
        <is>
          <t>Water</t>
        </is>
      </c>
      <c r="D28" s="124" t="inlineStr">
        <is>
          <t>Human readability — phi ratios explained, metaphor accessible</t>
        </is>
      </c>
      <c r="E28" s="115" t="inlineStr">
        <is>
          <t>—</t>
        </is>
      </c>
      <c r="F28" s="124" t="n"/>
      <c r="G28" s="124" t="n"/>
    </row>
    <row r="29" ht="30" customHeight="1" s="204">
      <c r="A29" s="141" t="n">
        <v>6</v>
      </c>
      <c r="B29" s="9" t="inlineStr">
        <is>
          <t>Consciousness</t>
        </is>
      </c>
      <c r="C29" s="9" t="inlineStr">
        <is>
          <t>Fire</t>
        </is>
      </c>
      <c r="D29" s="9" t="inlineStr">
        <is>
          <t>Dependency maps — loader→data→engine→analysis chain discoverable</t>
        </is>
      </c>
      <c r="E29" s="19" t="inlineStr">
        <is>
          <t>—</t>
        </is>
      </c>
      <c r="F29" s="9" t="n"/>
      <c r="G29" s="9" t="n"/>
    </row>
    <row r="30" ht="30" customHeight="1" s="204">
      <c r="A30" s="141" t="n">
        <v>6</v>
      </c>
      <c r="B30" s="9" t="inlineStr">
        <is>
          <t>Consciousness</t>
        </is>
      </c>
      <c r="C30" s="9" t="inlineStr">
        <is>
          <t>Air</t>
        </is>
      </c>
      <c r="D30" s="9" t="inlineStr">
        <is>
          <t>Entry points marked — orchestrator, demo, pages, engine API documented</t>
        </is>
      </c>
      <c r="E30" s="18" t="inlineStr">
        <is>
          <t>PASS</t>
        </is>
      </c>
      <c r="F30" s="9" t="inlineStr">
        <is>
          <t>4 entry points documented in CLAUDE.md</t>
        </is>
      </c>
      <c r="G30" s="9" t="inlineStr">
        <is>
          <t>2026-04-07</t>
        </is>
      </c>
    </row>
    <row r="31" ht="30" customHeight="1" s="204">
      <c r="A31" s="147" t="n">
        <v>6</v>
      </c>
      <c r="B31" s="130" t="inlineStr">
        <is>
          <t>Consciousness</t>
        </is>
      </c>
      <c r="C31" s="130" t="inlineStr">
        <is>
          <t>Ether</t>
        </is>
      </c>
      <c r="D31" s="130" t="inlineStr">
        <is>
          <t>Session context — hooks provide context, memory MCP populated</t>
        </is>
      </c>
      <c r="E31" s="135" t="inlineStr">
        <is>
          <t>PASS</t>
        </is>
      </c>
      <c r="F31" s="130" t="inlineStr">
        <is>
          <t>session-start hook, pre-compact hook, memory MCP populated</t>
        </is>
      </c>
      <c r="G31" s="130" t="inlineStr">
        <is>
          <t>2026-04-07</t>
        </is>
      </c>
    </row>
    <row r="32" ht="30" customHeight="1" s="204">
      <c r="A32" s="146" t="n">
        <v>7</v>
      </c>
      <c r="B32" s="110" t="inlineStr">
        <is>
          <t>Coherence</t>
        </is>
      </c>
      <c r="C32" s="110" t="inlineStr">
        <is>
          <t>Earth</t>
        </is>
      </c>
      <c r="D32" s="110" t="inlineStr">
        <is>
          <t>Engine patterns — follows 5-pass calculation pattern in main.js</t>
        </is>
      </c>
      <c r="E32" s="111" t="inlineStr">
        <is>
          <t>PASS</t>
        </is>
      </c>
      <c r="F32" s="110" t="inlineStr">
        <is>
          <t>5-pass pipeline intact in main.js</t>
        </is>
      </c>
      <c r="G32" s="110" t="inlineStr">
        <is>
          <t>2026-04-07</t>
        </is>
      </c>
    </row>
    <row r="33" ht="30" customHeight="1" s="204">
      <c r="A33" s="148" t="n">
        <v>7</v>
      </c>
      <c r="B33" s="114" t="inlineStr">
        <is>
          <t>Coherence</t>
        </is>
      </c>
      <c r="C33" s="114" t="inlineStr">
        <is>
          <t>Water</t>
        </is>
      </c>
      <c r="D33" s="114" t="inlineStr">
        <is>
          <t>Constant usage — PhiHarmonics for thresholds, TuningConfig for params</t>
        </is>
      </c>
      <c r="E33" s="125" t="inlineStr">
        <is>
          <t>PASS</t>
        </is>
      </c>
      <c r="F33" s="114" t="inlineStr">
        <is>
          <t>TuningConfig.js SSOT, PhiHarmonics for thresholds</t>
        </is>
      </c>
      <c r="G33" s="114" t="inlineStr">
        <is>
          <t>2026-04-07</t>
        </is>
      </c>
    </row>
    <row r="34" ht="30" customHeight="1" s="204">
      <c r="A34" s="145" t="n">
        <v>7</v>
      </c>
      <c r="B34" s="6" t="inlineStr">
        <is>
          <t>Coherence</t>
        </is>
      </c>
      <c r="C34" s="6" t="inlineStr">
        <is>
          <t>Fire</t>
        </is>
      </c>
      <c r="D34" s="6" t="inlineStr">
        <is>
          <t>Analyzer structure — class with analyze() method, structured results</t>
        </is>
      </c>
      <c r="E34" s="19" t="inlineStr">
        <is>
          <t>—</t>
        </is>
      </c>
      <c r="F34" s="6" t="n"/>
      <c r="G34" s="6" t="n"/>
    </row>
    <row r="35" ht="30" customHeight="1" s="204">
      <c r="A35" s="145" t="n">
        <v>7</v>
      </c>
      <c r="B35" s="6" t="inlineStr">
        <is>
          <t>Coherence</t>
        </is>
      </c>
      <c r="C35" s="6" t="inlineStr">
        <is>
          <t>Air</t>
        </is>
      </c>
      <c r="D35" s="6" t="inlineStr">
        <is>
          <t>Sacred geometry respect — faces/edges/vertices vocabulary, not generic</t>
        </is>
      </c>
      <c r="E35" s="18" t="inlineStr">
        <is>
          <t>PASS</t>
        </is>
      </c>
      <c r="F35" s="6" t="inlineStr">
        <is>
          <t>Sacred geometry vocabulary used consistently</t>
        </is>
      </c>
      <c r="G35" s="6" t="inlineStr">
        <is>
          <t>2026-04-11</t>
        </is>
      </c>
    </row>
    <row r="36" ht="30" customHeight="1" s="204">
      <c r="A36" s="151" t="n">
        <v>7</v>
      </c>
      <c r="B36" s="121" t="inlineStr">
        <is>
          <t>Coherence</t>
        </is>
      </c>
      <c r="C36" s="121" t="inlineStr">
        <is>
          <t>Ether</t>
        </is>
      </c>
      <c r="D36" s="121" t="inlineStr">
        <is>
          <t>Data format consistency — company templates follow quannex/ format</t>
        </is>
      </c>
      <c r="E36" s="135" t="inlineStr">
        <is>
          <t>PASS</t>
        </is>
      </c>
      <c r="F36" s="121" t="inlineStr">
        <is>
          <t>4 company templates follow quannex/ format</t>
        </is>
      </c>
      <c r="G36" s="121" t="inlineStr">
        <is>
          <t>2026-04-11</t>
        </is>
      </c>
    </row>
    <row r="37" ht="30" customHeight="1" s="204">
      <c r="A37" s="150" t="n">
        <v>8</v>
      </c>
      <c r="B37" s="118" t="inlineStr">
        <is>
          <t>Resilience</t>
        </is>
      </c>
      <c r="C37" s="118" t="inlineStr">
        <is>
          <t>Earth</t>
        </is>
      </c>
      <c r="D37" s="118" t="inlineStr">
        <is>
          <t>Edge cases — 0-energy faces, missing KPI data, NaN propagation</t>
        </is>
      </c>
      <c r="E37" s="128" t="inlineStr">
        <is>
          <t>WARN</t>
        </is>
      </c>
      <c r="F37" s="118" t="inlineStr">
        <is>
          <t>Edge cases not re-tested since Feb 2026</t>
        </is>
      </c>
      <c r="G37" s="118" t="inlineStr">
        <is>
          <t>2026-02-08</t>
        </is>
      </c>
    </row>
    <row r="38" ht="15" customHeight="1" s="204">
      <c r="A38" s="152" t="n">
        <v>8</v>
      </c>
      <c r="B38" s="124" t="inlineStr">
        <is>
          <t>Resilience</t>
        </is>
      </c>
      <c r="C38" s="124" t="inlineStr">
        <is>
          <t>Water</t>
        </is>
      </c>
      <c r="D38" s="124" t="inlineStr">
        <is>
          <t>Stress testing — all 4 templates, rapid updateKPI() calls</t>
        </is>
      </c>
      <c r="E38" s="115" t="inlineStr">
        <is>
          <t>—</t>
        </is>
      </c>
      <c r="F38" s="124" t="n"/>
      <c r="G38" s="124" t="n"/>
    </row>
    <row r="39" ht="30" customHeight="1" s="204">
      <c r="A39" s="149" t="n">
        <v>8</v>
      </c>
      <c r="B39" s="9" t="inlineStr">
        <is>
          <t>Resilience</t>
        </is>
      </c>
      <c r="C39" s="9" t="inlineStr">
        <is>
          <t>Fire</t>
        </is>
      </c>
      <c r="D39" s="9" t="inlineStr">
        <is>
          <t>Security — CSV injection safe, sessionStorage validated, no path traversal</t>
        </is>
      </c>
      <c r="E39" s="19" t="inlineStr">
        <is>
          <t>—</t>
        </is>
      </c>
      <c r="F39" s="9" t="n"/>
      <c r="G39" s="9" t="n"/>
    </row>
    <row r="40" ht="30" customHeight="1" s="204">
      <c r="A40" s="149" t="n">
        <v>8</v>
      </c>
      <c r="B40" s="9" t="inlineStr">
        <is>
          <t>Resilience</t>
        </is>
      </c>
      <c r="C40" s="9" t="inlineStr">
        <is>
          <t>Air</t>
        </is>
      </c>
      <c r="D40" s="9" t="inlineStr">
        <is>
          <t>Failure mode simulation — missing files, malformed JSON, full storage</t>
        </is>
      </c>
      <c r="E40" s="19" t="inlineStr">
        <is>
          <t>—</t>
        </is>
      </c>
      <c r="F40" s="9" t="n"/>
      <c r="G40" s="9" t="n"/>
    </row>
    <row r="41" ht="15" customHeight="1" s="204">
      <c r="A41" s="155" t="n">
        <v>8</v>
      </c>
      <c r="B41" s="130" t="inlineStr">
        <is>
          <t>Resilience</t>
        </is>
      </c>
      <c r="C41" s="130" t="inlineStr">
        <is>
          <t>Ether</t>
        </is>
      </c>
      <c r="D41" s="130" t="inlineStr">
        <is>
          <t>Risk register — enumerate all risks, severity, mitigation path</t>
        </is>
      </c>
      <c r="E41" s="122" t="inlineStr">
        <is>
          <t>—</t>
        </is>
      </c>
      <c r="F41" s="130" t="n"/>
      <c r="G41" s="130" t="n"/>
    </row>
    <row r="42" ht="30" customHeight="1" s="204">
      <c r="A42" s="154" t="n">
        <v>9</v>
      </c>
      <c r="B42" s="110" t="inlineStr">
        <is>
          <t>Growth</t>
        </is>
      </c>
      <c r="C42" s="110" t="inlineStr">
        <is>
          <t>Earth</t>
        </is>
      </c>
      <c r="D42" s="110" t="inlineStr">
        <is>
          <t>Tech debt awareness — new debt created? Known: 3 spectral files, CSV legacy</t>
        </is>
      </c>
      <c r="E42" s="128" t="inlineStr">
        <is>
          <t>WARN</t>
        </is>
      </c>
      <c r="F42" s="110" t="inlineStr">
        <is>
          <t>Known debt: 3 spectral files, CSV legacy, ~10 TODO items</t>
        </is>
      </c>
      <c r="G42" s="110" t="inlineStr">
        <is>
          <t>2026-04-07</t>
        </is>
      </c>
    </row>
    <row r="43" ht="30" customHeight="1" s="204">
      <c r="A43" s="156" t="n">
        <v>9</v>
      </c>
      <c r="B43" s="114" t="inlineStr">
        <is>
          <t>Growth</t>
        </is>
      </c>
      <c r="C43" s="114" t="inlineStr">
        <is>
          <t>Water</t>
        </is>
      </c>
      <c r="D43" s="114" t="inlineStr">
        <is>
          <t>Extensibility — new templates without code changes? New faces beyond 12?</t>
        </is>
      </c>
      <c r="E43" s="125" t="inlineStr">
        <is>
          <t>PASS</t>
        </is>
      </c>
      <c r="F43" s="114" t="inlineStr">
        <is>
          <t>New templates work without code changes</t>
        </is>
      </c>
      <c r="G43" s="114" t="inlineStr">
        <is>
          <t>2026-04-07</t>
        </is>
      </c>
    </row>
    <row r="44" ht="30" customHeight="1" s="204">
      <c r="A44" s="153" t="n">
        <v>9</v>
      </c>
      <c r="B44" s="6" t="inlineStr">
        <is>
          <t>Growth</t>
        </is>
      </c>
      <c r="C44" s="6" t="inlineStr">
        <is>
          <t>Fire</t>
        </is>
      </c>
      <c r="D44" s="6" t="inlineStr">
        <is>
          <t>Proactive improvements — clarified messages, tightened null checks?</t>
        </is>
      </c>
      <c r="E44" s="19" t="inlineStr">
        <is>
          <t>—</t>
        </is>
      </c>
      <c r="F44" s="6" t="n"/>
      <c r="G44" s="6" t="n"/>
    </row>
    <row r="45" ht="30" customHeight="1" s="204">
      <c r="A45" s="153" t="n">
        <v>9</v>
      </c>
      <c r="B45" s="6" t="inlineStr">
        <is>
          <t>Growth</t>
        </is>
      </c>
      <c r="C45" s="6" t="inlineStr">
        <is>
          <t>Air</t>
        </is>
      </c>
      <c r="D45" s="6" t="inlineStr">
        <is>
          <t>TODO tracking — all TODOs in report, not left as // TODO comments</t>
        </is>
      </c>
      <c r="E45" s="19" t="inlineStr">
        <is>
          <t>—</t>
        </is>
      </c>
      <c r="F45" s="6" t="n"/>
      <c r="G45" s="6" t="n"/>
    </row>
    <row r="46" ht="30" customHeight="1" s="204">
      <c r="A46" s="159" t="n">
        <v>9</v>
      </c>
      <c r="B46" s="121" t="inlineStr">
        <is>
          <t>Growth</t>
        </is>
      </c>
      <c r="C46" s="121" t="inlineStr">
        <is>
          <t>Ether</t>
        </is>
      </c>
      <c r="D46" s="121" t="inlineStr">
        <is>
          <t>Sustainability — main.js (1917 lines) appropriate, or time to extract?</t>
        </is>
      </c>
      <c r="E46" s="160" t="inlineStr">
        <is>
          <t>WARN</t>
        </is>
      </c>
      <c r="F46" s="121" t="inlineStr">
        <is>
          <t>main.js at 1917 lines — extraction consideration pending</t>
        </is>
      </c>
      <c r="G46" s="121" t="inlineStr">
        <is>
          <t>2026-04-07</t>
        </is>
      </c>
    </row>
    <row r="47" ht="30" customHeight="1" s="204">
      <c r="A47" s="158" t="n">
        <v>10</v>
      </c>
      <c r="B47" s="118" t="inlineStr">
        <is>
          <t>Integrity</t>
        </is>
      </c>
      <c r="C47" s="118" t="inlineStr">
        <is>
          <t>Earth</t>
        </is>
      </c>
      <c r="D47" s="118" t="inlineStr">
        <is>
          <t>Suite results — Phi:127 Integration:55 Excel:42 Validator:82 Smoke:77</t>
        </is>
      </c>
      <c r="E47" s="111" t="inlineStr">
        <is>
          <t>PASS</t>
        </is>
      </c>
      <c r="F47" s="118" t="inlineStr">
        <is>
          <t>Phi:127 Integration:55 Excel:42 Validator:82 = 306/306 green</t>
        </is>
      </c>
      <c r="G47" s="118" t="inlineStr">
        <is>
          <t>2026-04-11</t>
        </is>
      </c>
    </row>
    <row r="48" ht="30" customHeight="1" s="204">
      <c r="A48" s="161" t="n">
        <v>10</v>
      </c>
      <c r="B48" s="124" t="inlineStr">
        <is>
          <t>Integrity</t>
        </is>
      </c>
      <c r="C48" s="124" t="inlineStr">
        <is>
          <t>Water</t>
        </is>
      </c>
      <c r="D48" s="124" t="inlineStr">
        <is>
          <t>New function coverage — every new public function has a test</t>
        </is>
      </c>
      <c r="E48" s="115" t="inlineStr">
        <is>
          <t>—</t>
        </is>
      </c>
      <c r="F48" s="124" t="n"/>
      <c r="G48" s="124" t="n"/>
    </row>
    <row r="49" ht="30" customHeight="1" s="204">
      <c r="A49" s="157" t="n">
        <v>10</v>
      </c>
      <c r="B49" s="9" t="inlineStr">
        <is>
          <t>Integrity</t>
        </is>
      </c>
      <c r="C49" s="9" t="inlineStr">
        <is>
          <t>Fire</t>
        </is>
      </c>
      <c r="D49" s="9" t="inlineStr">
        <is>
          <t>Regression prevention — tests against all 4 company templates</t>
        </is>
      </c>
      <c r="E49" s="18" t="inlineStr">
        <is>
          <t>PASS</t>
        </is>
      </c>
      <c r="F49" s="9" t="inlineStr">
        <is>
          <t>Integration tests run against all 4 company templates</t>
        </is>
      </c>
      <c r="G49" s="9" t="inlineStr">
        <is>
          <t>2026-04-11</t>
        </is>
      </c>
    </row>
    <row r="50" ht="30" customHeight="1" s="204">
      <c r="A50" s="157" t="n">
        <v>10</v>
      </c>
      <c r="B50" s="9" t="inlineStr">
        <is>
          <t>Integrity</t>
        </is>
      </c>
      <c r="C50" s="9" t="inlineStr">
        <is>
          <t>Air</t>
        </is>
      </c>
      <c r="D50" s="9" t="inlineStr">
        <is>
          <t>Test quality — math tests verify identities, not just 'returns a number'</t>
        </is>
      </c>
      <c r="E50" s="18" t="inlineStr">
        <is>
          <t>PASS</t>
        </is>
      </c>
      <c r="F50" s="9" t="inlineStr">
        <is>
          <t>phi-math.test.js verifies identities (phi^2=phi+1 etc.)</t>
        </is>
      </c>
      <c r="G50" s="9" t="inlineStr">
        <is>
          <t>2026-04-11</t>
        </is>
      </c>
    </row>
    <row r="51" ht="15" customHeight="1" s="204">
      <c r="A51" s="164" t="n">
        <v>10</v>
      </c>
      <c r="B51" s="130" t="inlineStr">
        <is>
          <t>Integrity</t>
        </is>
      </c>
      <c r="C51" s="130" t="inlineStr">
        <is>
          <t>Ether</t>
        </is>
      </c>
      <c r="D51" s="130" t="inlineStr">
        <is>
          <t>Evidence gathering — thesis-relevant test results captured</t>
        </is>
      </c>
      <c r="E51" s="135" t="inlineStr">
        <is>
          <t>PASS</t>
        </is>
      </c>
      <c r="F51" s="130" t="inlineStr">
        <is>
          <t>/thesis skill captures evidence, CrossWorkspaceUpdate pattern</t>
        </is>
      </c>
      <c r="G51" s="130" t="inlineStr">
        <is>
          <t>2026-04-07</t>
        </is>
      </c>
    </row>
    <row r="52" ht="30" customHeight="1" s="204">
      <c r="A52" s="163" t="n">
        <v>11</v>
      </c>
      <c r="B52" s="110" t="inlineStr">
        <is>
          <t>Discovery</t>
        </is>
      </c>
      <c r="C52" s="110" t="inlineStr">
        <is>
          <t>Earth</t>
        </is>
      </c>
      <c r="D52" s="110" t="inlineStr">
        <is>
          <t>Internet research — searched for existing solutions to hard problems?</t>
        </is>
      </c>
      <c r="E52" s="111" t="inlineStr">
        <is>
          <t>PASS</t>
        </is>
      </c>
      <c r="F52" s="110" t="inlineStr">
        <is>
          <t>11 emergent mathematical truths documented</t>
        </is>
      </c>
      <c r="G52" s="110" t="inlineStr">
        <is>
          <t>2026-03-14</t>
        </is>
      </c>
    </row>
    <row r="53" ht="30" customHeight="1" s="204">
      <c r="A53" s="165" t="n">
        <v>11</v>
      </c>
      <c r="B53" s="114" t="inlineStr">
        <is>
          <t>Discovery</t>
        </is>
      </c>
      <c r="C53" s="114" t="inlineStr">
        <is>
          <t>Water</t>
        </is>
      </c>
      <c r="D53" s="114" t="inlineStr">
        <is>
          <t>Out-of-box thinking — simpler formulation? More elegant approach?</t>
        </is>
      </c>
      <c r="E53" s="115" t="inlineStr">
        <is>
          <t>—</t>
        </is>
      </c>
      <c r="F53" s="114" t="n"/>
      <c r="G53" s="114" t="n"/>
    </row>
    <row r="54" ht="30" customHeight="1" s="204">
      <c r="A54" s="162" t="n">
        <v>11</v>
      </c>
      <c r="B54" s="6" t="inlineStr">
        <is>
          <t>Discovery</t>
        </is>
      </c>
      <c r="C54" s="6" t="inlineStr">
        <is>
          <t>Fire</t>
        </is>
      </c>
      <c r="D54" s="6" t="inlineStr">
        <is>
          <t>Helicopter view — serves bigger picture? Thesis demonstration?</t>
        </is>
      </c>
      <c r="E54" s="18" t="inlineStr">
        <is>
          <t>PASS</t>
        </is>
      </c>
      <c r="F54" s="6" t="inlineStr">
        <is>
          <t>POC serves thesis demonstration, defense prep ready</t>
        </is>
      </c>
      <c r="G54" s="6" t="inlineStr">
        <is>
          <t>2026-04-11</t>
        </is>
      </c>
    </row>
    <row r="55" ht="30" customHeight="1" s="204">
      <c r="A55" s="162" t="n">
        <v>11</v>
      </c>
      <c r="B55" s="6" t="inlineStr">
        <is>
          <t>Discovery</t>
        </is>
      </c>
      <c r="C55" s="6" t="inlineStr">
        <is>
          <t>Air</t>
        </is>
      </c>
      <c r="D55" s="6" t="inlineStr">
        <is>
          <t>Agent team usage — complex changes used research/impl/review agents?</t>
        </is>
      </c>
      <c r="E55" s="19" t="inlineStr">
        <is>
          <t>—</t>
        </is>
      </c>
      <c r="F55" s="6" t="n"/>
      <c r="G55" s="6" t="n"/>
    </row>
    <row r="56" ht="30" customHeight="1" s="204">
      <c r="A56" s="168" t="n">
        <v>11</v>
      </c>
      <c r="B56" s="121" t="inlineStr">
        <is>
          <t>Discovery</t>
        </is>
      </c>
      <c r="C56" s="121" t="inlineStr">
        <is>
          <t>Ether</t>
        </is>
      </c>
      <c r="D56" s="121" t="inlineStr">
        <is>
          <t>Cross-workspace pollination — benefits Thesis or Business Data?</t>
        </is>
      </c>
      <c r="E56" s="135" t="inlineStr">
        <is>
          <t>PASS</t>
        </is>
      </c>
      <c r="F56" s="121" t="inlineStr">
        <is>
          <t>CrossWorkspaceUpdate entities created for thesis</t>
        </is>
      </c>
      <c r="G56" s="121" t="inlineStr">
        <is>
          <t>2026-04-07</t>
        </is>
      </c>
    </row>
    <row r="57" ht="30" customHeight="1" s="204">
      <c r="A57" s="167" t="n">
        <v>12</v>
      </c>
      <c r="B57" s="118" t="inlineStr">
        <is>
          <t>Radiance</t>
        </is>
      </c>
      <c r="C57" s="118" t="inlineStr">
        <is>
          <t>Earth</t>
        </is>
      </c>
      <c r="D57" s="118" t="inlineStr">
        <is>
          <t>Compounding value — does this make NEXT Quannex work easier?</t>
        </is>
      </c>
      <c r="E57" s="111" t="inlineStr">
        <is>
          <t>PASS</t>
        </is>
      </c>
      <c r="F57" s="118" t="inlineStr">
        <is>
          <t>Control panel compounds future session velocity</t>
        </is>
      </c>
      <c r="G57" s="118" t="inlineStr">
        <is>
          <t>2026-04-11</t>
        </is>
      </c>
    </row>
    <row r="58" ht="15" customHeight="1" s="204">
      <c r="A58" s="169" t="n">
        <v>12</v>
      </c>
      <c r="B58" s="124" t="inlineStr">
        <is>
          <t>Radiance</t>
        </is>
      </c>
      <c r="C58" s="124" t="inlineStr">
        <is>
          <t>Water</t>
        </is>
      </c>
      <c r="D58" s="124" t="inlineStr">
        <is>
          <t>Capability building — reusable utilities extracted to js/core/?</t>
        </is>
      </c>
      <c r="E58" s="125" t="inlineStr">
        <is>
          <t>PASS</t>
        </is>
      </c>
      <c r="F58" s="124" t="inlineStr">
        <is>
          <t>PhiHarmonics, TuningConfig, Logger all reusable</t>
        </is>
      </c>
      <c r="G58" s="124" t="inlineStr">
        <is>
          <t>2026-04-07</t>
        </is>
      </c>
    </row>
    <row r="59" ht="15" customHeight="1" s="204">
      <c r="A59" s="166" t="n">
        <v>12</v>
      </c>
      <c r="B59" s="9" t="inlineStr">
        <is>
          <t>Radiance</t>
        </is>
      </c>
      <c r="C59" s="9" t="inlineStr">
        <is>
          <t>Fire</t>
        </is>
      </c>
      <c r="D59" s="9" t="inlineStr">
        <is>
          <t>Pipeline development — new tests, skills, hooks, templates?</t>
        </is>
      </c>
      <c r="E59" s="18" t="inlineStr">
        <is>
          <t>PASS</t>
        </is>
      </c>
      <c r="F59" s="9" t="inlineStr">
        <is>
          <t>306 tests, selfcritique skill, session hooks all automate</t>
        </is>
      </c>
      <c r="G59" s="9" t="inlineStr">
        <is>
          <t>2026-04-07</t>
        </is>
      </c>
    </row>
    <row r="60" ht="30" customHeight="1" s="204">
      <c r="A60" s="166" t="n">
        <v>12</v>
      </c>
      <c r="B60" s="9" t="inlineStr">
        <is>
          <t>Radiance</t>
        </is>
      </c>
      <c r="C60" s="9" t="inlineStr">
        <is>
          <t>Air</t>
        </is>
      </c>
      <c r="D60" s="9" t="inlineStr">
        <is>
          <t>Highest-leverage action — ONE thing with greatest compounding effect?</t>
        </is>
      </c>
      <c r="E60" s="19" t="inlineStr">
        <is>
          <t>—</t>
        </is>
      </c>
      <c r="F60" s="9" t="n"/>
      <c r="G60" s="9" t="n"/>
    </row>
    <row r="61" ht="30" customHeight="1" s="204">
      <c r="A61" s="166" t="n">
        <v>12</v>
      </c>
      <c r="B61" s="9" t="inlineStr">
        <is>
          <t>Radiance</t>
        </is>
      </c>
      <c r="C61" s="9" t="inlineStr">
        <is>
          <t>Ether</t>
        </is>
      </c>
      <c r="D61" s="9" t="inlineStr">
        <is>
          <t>Future acceleration — next session feels welcomed and empowered?</t>
        </is>
      </c>
      <c r="E61" s="18" t="inlineStr">
        <is>
          <t>PASS</t>
        </is>
      </c>
      <c r="F61" s="9" t="inlineStr">
        <is>
          <t>CLAUDE.md + hooks + memory = warm welcome for next session</t>
        </is>
      </c>
      <c r="G61" s="9" t="inlineStr">
        <is>
          <t>2026-04-07</t>
        </is>
      </c>
    </row>
    <row r="62" ht="39.6" customHeight="1" s="204">
      <c r="A62" s="106" t="inlineStr">
        <is>
          <t>TOTALS</t>
        </is>
      </c>
      <c r="B62" s="107" t="inlineStr">
        <is>
          <t>60 elements across 12 faces × 5 elements</t>
        </is>
      </c>
      <c r="C62" s="63" t="n"/>
      <c r="D62" s="63" t="n"/>
      <c r="E62" s="106">
        <f>COUNTIF(E2:E61,"PASS")&amp;" PASS  |  "&amp;COUNTIF(E2:E61,"WARN")&amp;" WARN  |  "&amp;COUNTIF(E2:E61,"—")&amp;" NOT RUN"</f>
        <v/>
      </c>
      <c r="F62" s="106">
        <f>TEXT((60-COUNTIF(E2:E61,"—"))/60,"0%")&amp;" assessed"</f>
        <v/>
      </c>
      <c r="G62" s="63" t="n"/>
    </row>
  </sheetData>
  <conditionalFormatting sqref="E2:E61">
    <cfRule type="containsText" priority="1" operator="containsText" dxfId="9" text="PASS">
      <formula>NOT(ISERROR(SEARCH("PASS",E2)))</formula>
    </cfRule>
    <cfRule type="containsText" priority="2" operator="containsText" dxfId="9" text="DONE">
      <formula>NOT(ISERROR(SEARCH("DONE",E2)))</formula>
    </cfRule>
    <cfRule type="containsText" priority="3" operator="containsText" dxfId="9" text="HEALTHY">
      <formula>NOT(ISERROR(SEARCH("HEALTHY",E2)))</formula>
    </cfRule>
    <cfRule type="containsText" priority="4" operator="containsText" dxfId="9" text="READY">
      <formula>NOT(ISERROR(SEARCH("READY",E2)))</formula>
    </cfRule>
    <cfRule type="containsText" priority="5" operator="containsText" dxfId="9" text="RADIANT">
      <formula>NOT(ISERROR(SEARCH("RADIANT",E2)))</formula>
    </cfRule>
    <cfRule type="containsText" priority="6" operator="containsText" dxfId="9" text="CLEAN">
      <formula>NOT(ISERROR(SEARCH("CLEAN",E2)))</formula>
    </cfRule>
    <cfRule type="containsText" priority="7" operator="containsText" dxfId="5" text="WARN">
      <formula>NOT(ISERROR(SEARCH("WARN",E2)))</formula>
    </cfRule>
    <cfRule type="containsText" priority="8" operator="containsText" dxfId="5" text="PARTIAL">
      <formula>NOT(ISERROR(SEARCH("PARTIAL",E2)))</formula>
    </cfRule>
    <cfRule type="containsText" priority="9" operator="containsText" dxfId="5" text="REQUIRES">
      <formula>NOT(ISERROR(SEARCH("REQUIRES",E2)))</formula>
    </cfRule>
    <cfRule type="containsText" priority="10" operator="containsText" dxfId="5" text="IN PROGRESS">
      <formula>NOT(ISERROR(SEARCH("IN PROGRESS",E2)))</formula>
    </cfRule>
    <cfRule type="containsText" priority="11" operator="containsText" dxfId="4" text="UPCOMING">
      <formula>NOT(ISERROR(SEARCH("UPCOMING",E2)))</formula>
    </cfRule>
    <cfRule type="containsText" priority="12" operator="containsText" dxfId="1" text="NOT DONE">
      <formula>NOT(ISERROR(SEARCH("NOT DONE",E2)))</formula>
    </cfRule>
    <cfRule type="containsText" priority="13" operator="containsText" dxfId="1" text="NOT STARTED">
      <formula>NOT(ISERROR(SEARCH("NOT STARTED",E2)))</formula>
    </cfRule>
    <cfRule type="containsText" priority="14" operator="containsText" dxfId="1" text="BLOCKED">
      <formula>NOT(ISERROR(SEARCH("BLOCKED",E2)))</formula>
    </cfRule>
    <cfRule type="containsText" priority="15" operator="containsText" dxfId="0" text="CRITICAL">
      <formula>NOT(ISERROR(SEARCH("CRITICAL",E2)))</formula>
    </cfRule>
  </conditionalFormatting>
  <dataValidations count="1">
    <dataValidation sqref="E2:E61" showDropDown="0" showInputMessage="0" showErrorMessage="0" allowBlank="1" errorTitle="Invalid Status" error="Please select PASS, WARN, FAIL, N/A, or —" type="list">
      <formula1>"PASS,WARN,FAIL,N/A,—"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CAF50"/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C8" sqref="C8:F8"/>
    </sheetView>
  </sheetViews>
  <sheetFormatPr baseColWidth="8" defaultRowHeight="14.4"/>
  <cols>
    <col width="25" customWidth="1" style="204" min="1" max="1"/>
    <col width="30" customWidth="1" style="204" min="2" max="2"/>
    <col width="10" customWidth="1" style="204" min="3" max="5"/>
    <col width="8" customWidth="1" style="204" min="6" max="6"/>
    <col width="14" customWidth="1" style="204" min="7" max="7"/>
    <col width="40" customWidth="1" style="204" min="8" max="8"/>
  </cols>
  <sheetData>
    <row r="1" ht="16.8" customHeight="1" s="204">
      <c r="A1" s="4" t="inlineStr">
        <is>
          <t>Suite</t>
        </is>
      </c>
      <c r="B1" s="4" t="inlineStr">
        <is>
          <t>File Path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Pass</t>
        </is>
      </c>
      <c r="F1" s="4" t="inlineStr">
        <is>
          <t>Fail</t>
        </is>
      </c>
      <c r="G1" s="4" t="inlineStr">
        <is>
          <t>Last Run</t>
        </is>
      </c>
      <c r="H1" s="4" t="inlineStr">
        <is>
          <t>Notes</t>
        </is>
      </c>
    </row>
    <row r="2" ht="15" customHeight="1" s="204">
      <c r="A2" s="6" t="inlineStr">
        <is>
          <t>Phi Math Constants</t>
        </is>
      </c>
      <c r="B2" s="6" t="inlineStr">
        <is>
          <t>tests/phi-math.test.js</t>
        </is>
      </c>
      <c r="C2" s="5" t="n">
        <v>127</v>
      </c>
      <c r="D2" s="5" t="n">
        <v>127</v>
      </c>
      <c r="E2" s="5" t="n">
        <v>127</v>
      </c>
      <c r="F2" s="5" t="n">
        <v>0</v>
      </c>
      <c r="G2" s="6" t="inlineStr">
        <is>
          <t>2026-04-11</t>
        </is>
      </c>
      <c r="H2" s="6" t="n"/>
    </row>
    <row r="3" ht="15" customHeight="1" s="204">
      <c r="A3" s="6" t="inlineStr">
        <is>
          <t>Integration (Engine)</t>
        </is>
      </c>
      <c r="B3" s="6" t="inlineStr">
        <is>
          <t>tests/integration.test.mjs</t>
        </is>
      </c>
      <c r="C3" s="5" t="n">
        <v>55</v>
      </c>
      <c r="D3" s="5" t="n">
        <v>55</v>
      </c>
      <c r="E3" s="5" t="n">
        <v>55</v>
      </c>
      <c r="F3" s="5" t="n">
        <v>0</v>
      </c>
      <c r="G3" s="6" t="inlineStr">
        <is>
          <t>2026-04-11</t>
        </is>
      </c>
      <c r="H3" s="6" t="inlineStr">
        <is>
          <t>MODULE_TYPELESS warning (cosmetic)</t>
        </is>
      </c>
    </row>
    <row r="4" ht="15" customHeight="1" s="204">
      <c r="A4" s="6" t="inlineStr">
        <is>
          <t>Excel Parser Round-Trip</t>
        </is>
      </c>
      <c r="B4" s="6" t="inlineStr">
        <is>
          <t>tests/excel-parser.test.mjs</t>
        </is>
      </c>
      <c r="C4" s="5" t="n">
        <v>42</v>
      </c>
      <c r="D4" s="5" t="n">
        <v>42</v>
      </c>
      <c r="E4" s="5" t="n">
        <v>42</v>
      </c>
      <c r="F4" s="5" t="n">
        <v>0</v>
      </c>
      <c r="G4" s="6" t="inlineStr">
        <is>
          <t>2026-04-11</t>
        </is>
      </c>
      <c r="H4" s="6" t="n"/>
    </row>
    <row r="5" ht="30" customHeight="1" s="204">
      <c r="A5" s="6" t="inlineStr">
        <is>
          <t>Data Validator</t>
        </is>
      </c>
      <c r="B5" s="6" t="inlineStr">
        <is>
          <t>tests/data-validator.test.mjs</t>
        </is>
      </c>
      <c r="C5" s="5" t="n">
        <v>82</v>
      </c>
      <c r="D5" s="5" t="n">
        <v>82</v>
      </c>
      <c r="E5" s="5" t="n">
        <v>82</v>
      </c>
      <c r="F5" s="5" t="n">
        <v>0</v>
      </c>
      <c r="G5" s="6" t="inlineStr">
        <is>
          <t>2026-04-11</t>
        </is>
      </c>
      <c r="H5" s="6" t="inlineStr">
        <is>
          <t>Was 88 in some old docs — 82 is the real count</t>
        </is>
      </c>
    </row>
    <row r="6" ht="15" customHeight="1" s="204">
      <c r="A6" s="6" t="inlineStr">
        <is>
          <t>Browser Smoke Test</t>
        </is>
      </c>
      <c r="B6" s="6" t="inlineStr">
        <is>
          <t>tests/smoke-test.mjs</t>
        </is>
      </c>
      <c r="C6" s="5" t="n">
        <v>77</v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6" t="inlineStr">
        <is>
          <t>—</t>
        </is>
      </c>
      <c r="H6" s="6" t="inlineStr">
        <is>
          <t>Needs HTTP server on localhost:8000</t>
        </is>
      </c>
    </row>
    <row r="8" ht="15" customHeight="1" s="204">
      <c r="A8" s="1" t="inlineStr">
        <is>
          <t>TOTAL</t>
        </is>
      </c>
      <c r="B8" s="6" t="n"/>
      <c r="C8" s="10">
        <f>SUM(C2:C6)</f>
        <v/>
      </c>
      <c r="D8" s="10">
        <f>SUM(D2:D6)</f>
        <v/>
      </c>
      <c r="E8" s="11">
        <f>SUM(E2:E6)</f>
        <v/>
      </c>
      <c r="F8" s="10">
        <f>SUM(F2:F6)</f>
        <v/>
      </c>
      <c r="G8" s="6" t="inlineStr">
        <is>
          <t>2026-04-11</t>
        </is>
      </c>
      <c r="H8" s="6" t="inlineStr">
        <is>
          <t>Smoke test not included (needs server)</t>
        </is>
      </c>
    </row>
    <row r="10" ht="15" customHeight="1" s="204">
      <c r="A10" s="205" t="inlineStr">
        <is>
          <t>HTML Browser Tests (manual, open in browser)</t>
        </is>
      </c>
    </row>
    <row r="11" ht="15" customHeight="1" s="204">
      <c r="A11" s="6" t="inlineStr">
        <is>
          <t>Circuit Breaker</t>
        </is>
      </c>
      <c r="B11" s="6" t="inlineStr">
        <is>
          <t>tests/circuit-breaker.test.html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6" t="inlineStr">
        <is>
          <t>—</t>
        </is>
      </c>
      <c r="H11" s="6" t="inlineStr">
        <is>
          <t>Needs browser</t>
        </is>
      </c>
    </row>
    <row r="12" ht="30" customHeight="1" s="204">
      <c r="A12" s="6" t="inlineStr">
        <is>
          <t>KPI Constants Integrity</t>
        </is>
      </c>
      <c r="B12" s="6" t="inlineStr">
        <is>
          <t>tests/kpi-constants-integrity.test.html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6" t="inlineStr">
        <is>
          <t>—</t>
        </is>
      </c>
      <c r="H12" s="6" t="inlineStr">
        <is>
          <t>Needs browser</t>
        </is>
      </c>
    </row>
    <row r="13" ht="15" customHeight="1" s="204">
      <c r="A13" s="6" t="inlineStr">
        <is>
          <t>Phase 3 Integrity</t>
        </is>
      </c>
      <c r="B13" s="6" t="inlineStr">
        <is>
          <t>tests/phase3-integrity-tests.html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6" t="inlineStr">
        <is>
          <t>—</t>
        </is>
      </c>
      <c r="H13" s="6" t="inlineStr">
        <is>
          <t>Needs browser</t>
        </is>
      </c>
    </row>
    <row r="15">
      <c r="A15" s="203" t="inlineStr">
        <is>
          <t>How to run:  node tests/run-all.js    (for smoke test: first run  python -m http.server 8000)</t>
        </is>
      </c>
    </row>
    <row r="16" ht="60" customHeight="1" s="204">
      <c r="A16" s="223" t="inlineStr">
        <is>
          <t>2026-05-25</t>
        </is>
      </c>
      <c r="B16" s="223" t="inlineStr">
        <is>
          <t>POC Test Suite v1.0 — ship-it baseline</t>
        </is>
      </c>
      <c r="C16" s="224" t="inlineStr">
        <is>
          <t>536/536 PASSING</t>
        </is>
      </c>
      <c r="D16" s="223" t="inlineStr">
        <is>
          <t>Integration 55 + Excel Parser 42 + Data Validator 82 + Still-Point 57 + AAG 13 + AvG 40 + Engine State Canonicality 55 + Spectral 18 + Edge Adv 18 + Vertex Adv 29 + PHI Math 127 = 536</t>
        </is>
      </c>
      <c r="E16" s="223" t="inlineStr">
        <is>
          <t>Zero regression across 24 commits in 5-day arc · ship-v1.0 plan §14.B close · Added by POC W4.4 §31 cross-workspace tracker hygiene</t>
        </is>
      </c>
    </row>
    <row r="17" ht="70" customHeight="1" s="204">
      <c r="A17" s="223" t="inlineStr">
        <is>
          <t>2026-05-25 FINAL</t>
        </is>
      </c>
      <c r="B17" s="223" t="inlineStr">
        <is>
          <t>POC Test Suite v1.0 SHIP — full incl. Browser Smoke</t>
        </is>
      </c>
      <c r="C17" s="224" t="inlineStr">
        <is>
          <t>613/613 PASSING (HTTP server up)</t>
        </is>
      </c>
      <c r="D17" s="223" t="inlineStr">
        <is>
          <t>PHI Math 127 + Integration 55 + Excel Parser 42 + Data Validator 82 + Still-Point 57 + AAG 13 + AvG 40 + Engine State Canonicality 55 + Spectral 18 + Edge Adv 18 + Vertex Adv 29 + Browser Smoke 77 = 613</t>
        </is>
      </c>
      <c r="E17" s="223" t="inlineStr">
        <is>
          <t>536/613 split: 536 unit-only when no HTTP server; +77 Browser Smoke when HTTP server up. Both numbers valid in their context · Sub-Arc 3 W4.6 hygiene clarification</t>
        </is>
      </c>
    </row>
  </sheetData>
  <mergeCells count="2">
    <mergeCell ref="A15:H15"/>
    <mergeCell ref="A10:H10"/>
  </mergeCells>
  <conditionalFormatting sqref="E2:E14">
    <cfRule type="containsText" priority="1" operator="containsText" dxfId="9" text="PASS">
      <formula>NOT(ISERROR(SEARCH("PASS",E2)))</formula>
    </cfRule>
    <cfRule type="containsText" priority="2" operator="containsText" dxfId="9" text="DONE">
      <formula>NOT(ISERROR(SEARCH("DONE",E2)))</formula>
    </cfRule>
    <cfRule type="containsText" priority="3" operator="containsText" dxfId="9" text="HEALTHY">
      <formula>NOT(ISERROR(SEARCH("HEALTHY",E2)))</formula>
    </cfRule>
    <cfRule type="containsText" priority="4" operator="containsText" dxfId="9" text="READY">
      <formula>NOT(ISERROR(SEARCH("READY",E2)))</formula>
    </cfRule>
    <cfRule type="containsText" priority="5" operator="containsText" dxfId="9" text="RADIANT">
      <formula>NOT(ISERROR(SEARCH("RADIANT",E2)))</formula>
    </cfRule>
    <cfRule type="containsText" priority="6" operator="containsText" dxfId="9" text="CLEAN">
      <formula>NOT(ISERROR(SEARCH("CLEAN",E2)))</formula>
    </cfRule>
    <cfRule type="containsText" priority="7" operator="containsText" dxfId="5" text="WARN">
      <formula>NOT(ISERROR(SEARCH("WARN",E2)))</formula>
    </cfRule>
    <cfRule type="containsText" priority="8" operator="containsText" dxfId="5" text="PARTIAL">
      <formula>NOT(ISERROR(SEARCH("PARTIAL",E2)))</formula>
    </cfRule>
    <cfRule type="containsText" priority="9" operator="containsText" dxfId="5" text="REQUIRES">
      <formula>NOT(ISERROR(SEARCH("REQUIRES",E2)))</formula>
    </cfRule>
    <cfRule type="containsText" priority="10" operator="containsText" dxfId="5" text="IN PROGRESS">
      <formula>NOT(ISERROR(SEARCH("IN PROGRESS",E2)))</formula>
    </cfRule>
    <cfRule type="containsText" priority="11" operator="containsText" dxfId="4" text="UPCOMING">
      <formula>NOT(ISERROR(SEARCH("UPCOMING",E2)))</formula>
    </cfRule>
    <cfRule type="containsText" priority="12" operator="containsText" dxfId="1" text="NOT DONE">
      <formula>NOT(ISERROR(SEARCH("NOT DONE",E2)))</formula>
    </cfRule>
    <cfRule type="containsText" priority="13" operator="containsText" dxfId="1" text="NOT STARTED">
      <formula>NOT(ISERROR(SEARCH("NOT STARTED",E2)))</formula>
    </cfRule>
    <cfRule type="containsText" priority="14" operator="containsText" dxfId="1" text="BLOCKED">
      <formula>NOT(ISERROR(SEARCH("BLOCKED",E2)))</formula>
    </cfRule>
    <cfRule type="containsText" priority="15" operator="containsText" dxfId="0" text="CRITICAL">
      <formula>NOT(ISERROR(SEARCH("CRITICAL",E2)))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6F00"/>
    <outlinePr summaryBelow="1" summaryRight="1"/>
    <pageSetUpPr/>
  </sheetPr>
  <dimension ref="A1:J28"/>
  <sheetViews>
    <sheetView topLeftCell="E1" workbookViewId="0">
      <pane ySplit="3" topLeftCell="A4" activePane="bottomLeft" state="frozen"/>
      <selection pane="bottomLeft" activeCell="D9" sqref="A9:XFD9"/>
    </sheetView>
  </sheetViews>
  <sheetFormatPr baseColWidth="8" defaultRowHeight="14.4"/>
  <cols>
    <col width="28.77734375" bestFit="1" customWidth="1" style="204" min="1" max="1"/>
    <col width="49.21875" bestFit="1" customWidth="1" style="204" min="2" max="2"/>
    <col width="17.77734375" customWidth="1" style="204" min="3" max="3"/>
    <col width="10" customWidth="1" style="204" min="4" max="4"/>
    <col width="22" customWidth="1" style="204" min="5" max="5"/>
    <col width="20" customWidth="1" style="204" min="6" max="6"/>
    <col width="38" customWidth="1" style="204" min="7" max="7"/>
    <col width="21.6640625" customWidth="1" style="204" min="8" max="8"/>
    <col width="18.44140625" bestFit="1" customWidth="1" style="204" min="9" max="9"/>
    <col width="20.33203125" bestFit="1" customWidth="1" style="204" min="10" max="10"/>
  </cols>
  <sheetData>
    <row r="1" ht="24.6" customHeight="1" s="204">
      <c r="A1" s="208" t="inlineStr">
        <is>
          <t>POC → THESIS EVIDENCE MAP</t>
        </is>
      </c>
      <c r="H1" s="194" t="inlineStr">
        <is>
          <t>DEIMANTAS NOTES</t>
        </is>
      </c>
      <c r="I1" s="193" t="inlineStr">
        <is>
          <t>SCOPE SUMMARY</t>
        </is>
      </c>
      <c r="J1" s="194" t="inlineStr">
        <is>
          <t>IFC BACHELOR?</t>
        </is>
      </c>
    </row>
    <row r="2">
      <c r="I2" s="187">
        <f>COUNTIF(I4:I13,"Bachelor")&amp;" Bach · "&amp;COUNTIF(I4:I13,"Master")&amp;" MSc · "&amp;COUNTIF(I4:I13,"PhD")&amp;" PhD"</f>
        <v/>
      </c>
    </row>
    <row r="3" ht="16.8" customHeight="1" s="204">
      <c r="A3" s="4" t="inlineStr">
        <is>
          <t>POC Artifact</t>
        </is>
      </c>
      <c r="B3" s="4" t="inlineStr">
        <is>
          <t>File Path</t>
        </is>
      </c>
      <c r="C3" s="4" t="inlineStr">
        <is>
          <t>Size</t>
        </is>
      </c>
      <c r="D3" s="4" t="inlineStr">
        <is>
          <t>Status</t>
        </is>
      </c>
      <c r="E3" s="4" t="inlineStr">
        <is>
          <t>Target Chapter</t>
        </is>
      </c>
      <c r="F3" s="4" t="inlineStr">
        <is>
          <t>Integration Status</t>
        </is>
      </c>
      <c r="G3" s="4" t="inlineStr">
        <is>
          <t>Notes</t>
        </is>
      </c>
      <c r="H3" s="71" t="inlineStr">
        <is>
          <t>Deimantas Notes</t>
        </is>
      </c>
      <c r="I3" s="182" t="inlineStr">
        <is>
          <t>Scope Level</t>
        </is>
      </c>
      <c r="J3" s="188" t="inlineStr">
        <is>
          <t>In-scope for IFC?</t>
        </is>
      </c>
    </row>
    <row r="4" ht="30" customHeight="1" s="204">
      <c r="A4" s="6" t="inlineStr">
        <is>
          <t>Spectral Analysis Chapter</t>
        </is>
      </c>
      <c r="B4" s="6" t="inlineStr">
        <is>
          <t>docs/thesis/SPECTRAL_ANALYSIS_CHAPTER.md</t>
        </is>
      </c>
      <c r="C4" s="6" t="inlineStr">
        <is>
          <t>36 KB</t>
        </is>
      </c>
      <c r="D4" s="7" t="inlineStr">
        <is>
          <t>READY</t>
        </is>
      </c>
      <c r="E4" s="6" t="inlineStr">
        <is>
          <t>Ch4/5 Results</t>
        </is>
      </c>
      <c r="F4" s="6" t="inlineStr">
        <is>
          <t>Not yet integrated</t>
        </is>
      </c>
      <c r="G4" s="6" t="inlineStr">
        <is>
          <t>Formatted for .docx import</t>
        </is>
      </c>
      <c r="H4" s="72" t="inlineStr">
        <is>
          <t>If I Understand correctly, spectral analysis chapter is fall out of scope for my IFC bachelor thesis. It's probably, master's or PHD material. I want a bachelor, master, PHD spliting logic here in this whole sheet I think</t>
        </is>
      </c>
      <c r="I4" s="183" t="inlineStr">
        <is>
          <t>PhD</t>
        </is>
      </c>
      <c r="J4" s="76">
        <f>IF(I4="Bachelor","✅ In scope",IF(I4="Master","⚠️ Stretch","🛑 Out of scope"))</f>
        <v/>
      </c>
    </row>
    <row r="5" ht="15" customHeight="1" s="204">
      <c r="A5" s="6" t="inlineStr">
        <is>
          <t>Consciousness Model</t>
        </is>
      </c>
      <c r="B5" s="6" t="inlineStr">
        <is>
          <t>docs/thesis/CONSCIOUSNESS_MODEL.md</t>
        </is>
      </c>
      <c r="C5" s="6" t="inlineStr">
        <is>
          <t>12 KB</t>
        </is>
      </c>
      <c r="D5" s="7" t="inlineStr">
        <is>
          <t>READY</t>
        </is>
      </c>
      <c r="E5" s="6" t="inlineStr">
        <is>
          <t>Ch2/3 Literature</t>
        </is>
      </c>
      <c r="F5" s="6" t="inlineStr">
        <is>
          <t>Not yet integrated</t>
        </is>
      </c>
      <c r="G5" s="6" t="inlineStr">
        <is>
          <t>7 octaves + psychology basis</t>
        </is>
      </c>
      <c r="I5" s="184" t="inlineStr">
        <is>
          <t>Bachelor</t>
        </is>
      </c>
      <c r="J5" s="76">
        <f>IF(I5="Bachelor","✅ In scope",IF(I5="Master","⚠️ Stretch","🛑 Out of scope"))</f>
        <v/>
      </c>
    </row>
    <row r="6" ht="30" customHeight="1" s="204">
      <c r="A6" s="6" t="inlineStr">
        <is>
          <t>Defense Preparation</t>
        </is>
      </c>
      <c r="B6" s="6" t="inlineStr">
        <is>
          <t>docs/thesis/DEFENSE_PREPARATION.md</t>
        </is>
      </c>
      <c r="C6" s="6" t="inlineStr">
        <is>
          <t>30 KB</t>
        </is>
      </c>
      <c r="D6" s="7" t="inlineStr">
        <is>
          <t>READY</t>
        </is>
      </c>
      <c r="E6" s="6" t="inlineStr">
        <is>
          <t>Defense prep (study guide)</t>
        </is>
      </c>
      <c r="F6" s="6" t="inlineStr">
        <is>
          <t>N/A</t>
        </is>
      </c>
      <c r="G6" s="6" t="inlineStr">
        <is>
          <t>Committee Q&amp;A, 499 lines</t>
        </is>
      </c>
      <c r="I6" s="184" t="inlineStr">
        <is>
          <t>Bachelor</t>
        </is>
      </c>
      <c r="J6" s="76">
        <f>IF(I6="Bachelor","✅ In scope",IF(I6="Master","⚠️ Stretch","🛑 Out of scope"))</f>
        <v/>
      </c>
    </row>
    <row r="7" ht="30" customHeight="1" s="204">
      <c r="A7" s="6" t="inlineStr">
        <is>
          <t>Emergent Mathematical Truths</t>
        </is>
      </c>
      <c r="B7" s="6" t="inlineStr">
        <is>
          <t>docs/thesis/EMERGENT_MATHEMATICAL_TRUTHS.md</t>
        </is>
      </c>
      <c r="C7" s="6" t="inlineStr">
        <is>
          <t>50 KB</t>
        </is>
      </c>
      <c r="D7" s="7" t="inlineStr">
        <is>
          <t>READY</t>
        </is>
      </c>
      <c r="E7" s="6" t="inlineStr">
        <is>
          <t>Ch4 Discussion</t>
        </is>
      </c>
      <c r="F7" s="6" t="inlineStr">
        <is>
          <t>Not yet integrated</t>
        </is>
      </c>
      <c r="G7" s="6" t="inlineStr">
        <is>
          <t>11 discoveries, stress test evidence</t>
        </is>
      </c>
      <c r="I7" s="185" t="inlineStr">
        <is>
          <t>Master</t>
        </is>
      </c>
      <c r="J7" s="76">
        <f>IF(I7="Bachelor","✅ In scope",IF(I7="Master","⚠️ Stretch","🛑 Out of scope"))</f>
        <v/>
      </c>
    </row>
    <row r="8" ht="30" customHeight="1" s="204">
      <c r="A8" s="6" t="inlineStr">
        <is>
          <t>Novel Mathematical Contributions</t>
        </is>
      </c>
      <c r="B8" s="6" t="inlineStr">
        <is>
          <t>docs/thesis/NOVEL_MATHEMATICAL_CONTRIBUTIONS.md</t>
        </is>
      </c>
      <c r="C8" s="6" t="inlineStr">
        <is>
          <t>36 KB</t>
        </is>
      </c>
      <c r="D8" s="7" t="inlineStr">
        <is>
          <t>READY</t>
        </is>
      </c>
      <c r="E8" s="6" t="inlineStr">
        <is>
          <t>Ch4 Appendix</t>
        </is>
      </c>
      <c r="F8" s="6" t="inlineStr">
        <is>
          <t>Not yet integrated</t>
        </is>
      </c>
      <c r="G8" s="6" t="inlineStr">
        <is>
          <t>4 frameworks, ALCOA+ rigor</t>
        </is>
      </c>
      <c r="I8" s="185" t="inlineStr">
        <is>
          <t>Master</t>
        </is>
      </c>
      <c r="J8" s="76">
        <f>IF(I8="Bachelor","✅ In scope",IF(I8="Master","⚠️ Stretch","🛑 Out of scope"))</f>
        <v/>
      </c>
    </row>
    <row r="9" ht="15" customHeight="1" s="204">
      <c r="A9" s="6" t="inlineStr">
        <is>
          <t>Wisdom Brief</t>
        </is>
      </c>
      <c r="B9" s="6" t="inlineStr">
        <is>
          <t>docs/thesis/WISDOM_BRIEF.md</t>
        </is>
      </c>
      <c r="C9" s="6" t="inlineStr">
        <is>
          <t>17 KB</t>
        </is>
      </c>
      <c r="D9" s="7" t="inlineStr">
        <is>
          <t>READY</t>
        </is>
      </c>
      <c r="E9" s="6" t="inlineStr">
        <is>
          <t>Ch2 Literature</t>
        </is>
      </c>
      <c r="F9" s="6" t="inlineStr">
        <is>
          <t>Not yet integrated</t>
        </is>
      </c>
      <c r="G9" s="6" t="inlineStr">
        <is>
          <t>Philosophical grounding</t>
        </is>
      </c>
      <c r="I9" s="184" t="inlineStr">
        <is>
          <t>Bachelor</t>
        </is>
      </c>
      <c r="J9" s="76">
        <f>IF(I9="Bachelor","✅ In scope",IF(I9="Master","⚠️ Stretch","🛑 Out of scope"))</f>
        <v/>
      </c>
    </row>
    <row r="10" ht="15" customHeight="1" s="204">
      <c r="A10" s="6" t="inlineStr">
        <is>
          <t>Calculation Audit Trail</t>
        </is>
      </c>
      <c r="B10" s="6" t="inlineStr">
        <is>
          <t>docs/math/CALCULATION_AUDIT_TRAIL.md</t>
        </is>
      </c>
      <c r="C10" s="6" t="inlineStr">
        <is>
          <t>28 KB</t>
        </is>
      </c>
      <c r="D10" s="7" t="inlineStr">
        <is>
          <t>READY</t>
        </is>
      </c>
      <c r="E10" s="6" t="inlineStr">
        <is>
          <t>Appendix</t>
        </is>
      </c>
      <c r="F10" s="6" t="inlineStr">
        <is>
          <t>Not yet integrated</t>
        </is>
      </c>
      <c r="G10" s="6" t="inlineStr">
        <is>
          <t>"Academic armor" — every formula traced</t>
        </is>
      </c>
      <c r="I10" s="184" t="inlineStr">
        <is>
          <t>Bachelor</t>
        </is>
      </c>
      <c r="J10" s="76">
        <f>IF(I10="Bachelor","✅ In scope",IF(I10="Master","⚠️ Stretch","🛑 Out of scope"))</f>
        <v/>
      </c>
    </row>
    <row r="11" ht="15" customHeight="1" s="204">
      <c r="A11" s="6" t="inlineStr">
        <is>
          <t>Sacred Geometry Proof</t>
        </is>
      </c>
      <c r="B11" s="6" t="inlineStr">
        <is>
          <t>docs/math/SACRED_GEOMETRY_PROOF.md</t>
        </is>
      </c>
      <c r="C11" s="6" t="inlineStr">
        <is>
          <t>31 KB</t>
        </is>
      </c>
      <c r="D11" s="7" t="inlineStr">
        <is>
          <t>READY</t>
        </is>
      </c>
      <c r="E11" s="6" t="inlineStr">
        <is>
          <t>Ch2/Appendix</t>
        </is>
      </c>
      <c r="F11" s="6" t="inlineStr">
        <is>
          <t>Not yet integrated</t>
        </is>
      </c>
      <c r="G11" s="6" t="inlineStr">
        <is>
          <t>Eigenvalue verification, phi proofs</t>
        </is>
      </c>
      <c r="I11" s="185" t="inlineStr">
        <is>
          <t>Master</t>
        </is>
      </c>
      <c r="J11" s="76">
        <f>IF(I11="Bachelor","✅ In scope",IF(I11="Master","⚠️ Stretch","🛑 Out of scope"))</f>
        <v/>
      </c>
    </row>
    <row r="12" ht="30" customHeight="1" s="204">
      <c r="A12" s="6" t="inlineStr">
        <is>
          <t>Spectral Implementation</t>
        </is>
      </c>
      <c r="B12" s="6" t="inlineStr">
        <is>
          <t>docs/math/SPECTRAL_IMPLEMENTATION.md</t>
        </is>
      </c>
      <c r="C12" s="6" t="inlineStr">
        <is>
          <t>8 KB</t>
        </is>
      </c>
      <c r="D12" s="7" t="inlineStr">
        <is>
          <t>READY</t>
        </is>
      </c>
      <c r="E12" s="6" t="inlineStr">
        <is>
          <t>Ch4 Methods</t>
        </is>
      </c>
      <c r="F12" s="6" t="inlineStr">
        <is>
          <t>Not yet integrated</t>
        </is>
      </c>
      <c r="G12" s="6" t="inlineStr">
        <is>
          <t>Graph Laplacian → code mapping</t>
        </is>
      </c>
      <c r="I12" s="186" t="inlineStr">
        <is>
          <t>PhD</t>
        </is>
      </c>
      <c r="J12" s="76">
        <f>IF(I12="Bachelor","✅ In scope",IF(I12="Master","⚠️ Stretch","🛑 Out of scope"))</f>
        <v/>
      </c>
    </row>
    <row r="13" ht="15" customHeight="1" s="204">
      <c r="A13" s="6" t="inlineStr">
        <is>
          <t>Thesis Audit Report</t>
        </is>
      </c>
      <c r="B13" s="6" t="inlineStr">
        <is>
          <t>THESIS_AUDIT_REPORT.md</t>
        </is>
      </c>
      <c r="C13" s="6" t="inlineStr">
        <is>
          <t>25 KB</t>
        </is>
      </c>
      <c r="D13" s="7" t="inlineStr">
        <is>
          <t>READY</t>
        </is>
      </c>
      <c r="E13" s="6" t="inlineStr">
        <is>
          <t>Reference only</t>
        </is>
      </c>
      <c r="F13" s="6" t="inlineStr">
        <is>
          <t>N/A</t>
        </is>
      </c>
      <c r="G13" s="6" t="inlineStr">
        <is>
          <t>VERDICT: PRISTINE, zero findings</t>
        </is>
      </c>
      <c r="I13" s="184" t="inlineStr">
        <is>
          <t>Bachelor</t>
        </is>
      </c>
      <c r="J13" s="76">
        <f>IF(I13="Bachelor","✅ In scope",IF(I13="Master","⚠️ Stretch","🛑 Out of scope"))</f>
        <v/>
      </c>
    </row>
    <row r="16" ht="19.2" customHeight="1" s="204">
      <c r="A16" s="206" t="inlineStr">
        <is>
          <t>CRITICAL TIMELINE</t>
        </is>
      </c>
    </row>
    <row r="17" ht="15" customHeight="1" s="204">
      <c r="A17" s="205" t="inlineStr">
        <is>
          <t>Date</t>
        </is>
      </c>
      <c r="B17" s="205" t="inlineStr">
        <is>
          <t>Milestone</t>
        </is>
      </c>
      <c r="C17" s="205" t="inlineStr">
        <is>
          <t>Notes</t>
        </is>
      </c>
    </row>
    <row r="18" ht="75" customHeight="1" s="204">
      <c r="A18" s="13" t="inlineStr">
        <is>
          <t>April 14 (DONE)</t>
        </is>
      </c>
      <c r="B18" s="13" t="inlineStr">
        <is>
          <t>CEN Phase 2 scoring — COMPLETE (session 25, Apr 7)</t>
        </is>
      </c>
      <c r="C18" s="13" t="inlineStr">
        <is>
          <t>BSC comparison 5/6. Evidence package ready.</t>
        </is>
      </c>
    </row>
    <row r="19" ht="15" customHeight="1" s="204">
      <c r="A19" s="6" t="inlineStr">
        <is>
          <t>April 15-30</t>
        </is>
      </c>
      <c r="B19" s="6" t="inlineStr">
        <is>
          <t>Validation session with CEN</t>
        </is>
      </c>
      <c r="C19" s="6" t="n"/>
    </row>
    <row r="20" ht="90" customHeight="1" s="204">
      <c r="A20" s="6" t="inlineStr">
        <is>
          <t>May 1-20</t>
        </is>
      </c>
      <c r="B20" s="6" t="inlineStr">
        <is>
          <t>Write Chapters 5-7 (Case Study B, Cross-Case, Conclusions)</t>
        </is>
      </c>
      <c r="C20" s="6" t="inlineStr">
        <is>
          <t>PRIMARY WRITING WINDOW</t>
        </is>
      </c>
    </row>
    <row r="21" ht="15" customHeight="1" s="204">
      <c r="A21" s="6" t="inlineStr">
        <is>
          <t>May 25</t>
        </is>
      </c>
      <c r="B21" s="6" t="inlineStr">
        <is>
          <t>Final review pass</t>
        </is>
      </c>
      <c r="C21" s="6" t="n"/>
    </row>
    <row r="22" ht="45" customHeight="1" s="204">
      <c r="A22" s="6" t="inlineStr">
        <is>
          <t>June 1 (noon)</t>
        </is>
      </c>
      <c r="B22" s="6" t="inlineStr">
        <is>
          <t>HARD DEADLINE — upload to Onstage</t>
        </is>
      </c>
      <c r="C22" s="6" t="inlineStr">
        <is>
          <t>NON-NEGOTIABLE</t>
        </is>
      </c>
    </row>
    <row r="24" ht="19.2" customHeight="1" s="204">
      <c r="A24" t="inlineStr">
        <is>
          <t>Spiral Octave Songbook Phase 4 Commitment</t>
        </is>
      </c>
      <c r="B24" t="inlineStr">
        <is>
          <t>SQ5 quantitative KPI embedding proof + paradigm reframe</t>
        </is>
      </c>
      <c r="C24" t="inlineStr">
        <is>
          <t>2026-04-15</t>
        </is>
      </c>
      <c r="D24" t="inlineStr">
        <is>
          <t>POC/deliverables/ + POC/docs/</t>
        </is>
      </c>
      <c r="E24" t="inlineStr">
        <is>
          <t>Committee-reproducible</t>
        </is>
      </c>
      <c r="F24" t="inlineStr">
        <is>
          <t>Methodology + 5 worked examples + spiral 9.25/10</t>
        </is>
      </c>
      <c r="G24" t="inlineStr">
        <is>
          <t>See SPIRAL_OCTAVE_SONGBOOK_SPEC.md</t>
        </is>
      </c>
    </row>
    <row r="25" ht="15" customHeight="1" s="204">
      <c r="A25" s="209" t="inlineStr">
        <is>
          <t>ACTIVE BLOCKERS</t>
        </is>
      </c>
    </row>
    <row r="26" ht="15" customHeight="1" s="204">
      <c r="A26" s="14" t="inlineStr">
        <is>
          <t>IFC language reframe (Ch2-5)</t>
        </is>
      </c>
      <c r="B26" s="6" t="inlineStr">
        <is>
          <t>Blocked on Jan Willem confirmation</t>
        </is>
      </c>
      <c r="C26" s="6" t="n"/>
    </row>
    <row r="27" ht="15" customHeight="1" s="204">
      <c r="A27" s="14" t="inlineStr">
        <is>
          <t>Breath Axes scoring + POC run</t>
        </is>
      </c>
      <c r="B27" s="6" t="inlineStr">
        <is>
          <t>Needed for Chapter 5 §5.1.3</t>
        </is>
      </c>
      <c r="C27" s="6" t="n"/>
    </row>
    <row r="28" ht="60" customHeight="1" s="204">
      <c r="A28" s="223" t="inlineStr">
        <is>
          <t>CEN Spiral Dashboard SSOT v1.0</t>
        </is>
      </c>
      <c r="B28" s="223" t="inlineStr">
        <is>
          <t>Thesis defense centerpiece artifact</t>
        </is>
      </c>
      <c r="C28" s="223" t="inlineStr">
        <is>
          <t>Final Thesis/Thesis Work/Quannex Business Exports/CEN_Spiral_Dashboard_SSOT_v1.0_2026-05-22.xlsx + 2026-05-25.pdf + README.md</t>
        </is>
      </c>
      <c r="D28" s="223" t="inlineStr">
        <is>
          <t>8 thesis-defense centerpieces · 22 sheets · 36 architectural locks · Wave 3 zero Critical · Lock #8.35 κ=φ² geometric derivation (B3 win)</t>
        </is>
      </c>
      <c r="E28" s="224" t="inlineStr">
        <is>
          <t>2026-05-25 SHIPPED</t>
        </is>
      </c>
    </row>
  </sheetData>
  <autoFilter ref="A3:J13"/>
  <mergeCells count="3">
    <mergeCell ref="A16:G16"/>
    <mergeCell ref="A1:G1"/>
    <mergeCell ref="A25:G25"/>
  </mergeCells>
  <conditionalFormatting sqref="D3:D27">
    <cfRule type="containsText" priority="1" operator="containsText" dxfId="9" text="PASS">
      <formula>NOT(ISERROR(SEARCH("PASS",D3)))</formula>
    </cfRule>
    <cfRule type="containsText" priority="2" operator="containsText" dxfId="9" text="DONE">
      <formula>NOT(ISERROR(SEARCH("DONE",D3)))</formula>
    </cfRule>
    <cfRule type="containsText" priority="3" operator="containsText" dxfId="9" text="HEALTHY">
      <formula>NOT(ISERROR(SEARCH("HEALTHY",D3)))</formula>
    </cfRule>
    <cfRule type="containsText" priority="4" operator="containsText" dxfId="9" text="READY">
      <formula>NOT(ISERROR(SEARCH("READY",D3)))</formula>
    </cfRule>
    <cfRule type="containsText" priority="5" operator="containsText" dxfId="9" text="RADIANT">
      <formula>NOT(ISERROR(SEARCH("RADIANT",D3)))</formula>
    </cfRule>
    <cfRule type="containsText" priority="6" operator="containsText" dxfId="9" text="CLEAN">
      <formula>NOT(ISERROR(SEARCH("CLEAN",D3)))</formula>
    </cfRule>
    <cfRule type="containsText" priority="7" operator="containsText" dxfId="5" text="WARN">
      <formula>NOT(ISERROR(SEARCH("WARN",D3)))</formula>
    </cfRule>
    <cfRule type="containsText" priority="8" operator="containsText" dxfId="5" text="PARTIAL">
      <formula>NOT(ISERROR(SEARCH("PARTIAL",D3)))</formula>
    </cfRule>
    <cfRule type="containsText" priority="9" operator="containsText" dxfId="5" text="REQUIRES">
      <formula>NOT(ISERROR(SEARCH("REQUIRES",D3)))</formula>
    </cfRule>
    <cfRule type="containsText" priority="10" operator="containsText" dxfId="5" text="IN PROGRESS">
      <formula>NOT(ISERROR(SEARCH("IN PROGRESS",D3)))</formula>
    </cfRule>
    <cfRule type="containsText" priority="11" operator="containsText" dxfId="4" text="UPCOMING">
      <formula>NOT(ISERROR(SEARCH("UPCOMING",D3)))</formula>
    </cfRule>
    <cfRule type="containsText" priority="12" operator="containsText" dxfId="1" text="NOT DONE">
      <formula>NOT(ISERROR(SEARCH("NOT DONE",D3)))</formula>
    </cfRule>
    <cfRule type="containsText" priority="13" operator="containsText" dxfId="1" text="NOT STARTED">
      <formula>NOT(ISERROR(SEARCH("NOT STARTED",D3)))</formula>
    </cfRule>
    <cfRule type="containsText" priority="14" operator="containsText" dxfId="1" text="BLOCKED">
      <formula>NOT(ISERROR(SEARCH("BLOCKED",D3)))</formula>
    </cfRule>
    <cfRule type="containsText" priority="15" operator="containsText" dxfId="0" text="CRITICAL">
      <formula>NOT(ISERROR(SEARCH("CRITICAL",D3)))</formula>
    </cfRule>
  </conditionalFormatting>
  <conditionalFormatting sqref="I4:I13">
    <cfRule type="containsText" priority="16" operator="containsText" dxfId="62" text="Bachelor">
      <formula>NOT(ISERROR(SEARCH("Bachelor",I4)))</formula>
    </cfRule>
    <cfRule type="containsText" priority="17" operator="containsText" dxfId="61" text="Master">
      <formula>NOT(ISERROR(SEARCH("Master",I4)))</formula>
    </cfRule>
    <cfRule type="containsText" priority="18" operator="containsText" dxfId="60" text="PhD">
      <formula>NOT(ISERROR(SEARCH("PhD",I4)))</formula>
    </cfRule>
  </conditionalFormatting>
  <dataValidations count="2">
    <dataValidation sqref="F4:F13" showDropDown="0" showInputMessage="0" showErrorMessage="0" allowBlank="1" type="list">
      <formula1>"Not yet integrated,In progress,Integrated,N/A"</formula1>
    </dataValidation>
    <dataValidation sqref="I4:I13" showDropDown="0" showInputMessage="1" showErrorMessage="1" allowBlank="1" promptTitle="Academic Scope" prompt="Select the academic level this artifact targets" type="list">
      <formula1>"Bachelor,Master,PhD"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5C6BC0"/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B17" sqref="B17"/>
    </sheetView>
  </sheetViews>
  <sheetFormatPr baseColWidth="8" defaultRowHeight="14.4"/>
  <cols>
    <col width="62" bestFit="1" customWidth="1" style="204" min="1" max="1"/>
    <col width="18" customWidth="1" style="204" min="2" max="2"/>
    <col width="7" customWidth="1" style="204" min="3" max="3"/>
    <col width="51" customWidth="1" style="204" min="4" max="4"/>
    <col width="15" customWidth="1" style="204" min="5" max="5"/>
    <col width="37" customWidth="1" style="204" min="6" max="6"/>
    <col width="14" customWidth="1" style="204" min="7" max="7"/>
    <col width="27" customWidth="1" style="204" min="8" max="8"/>
    <col width="23" customWidth="1" style="204" min="9" max="9"/>
    <col width="15" customWidth="1" style="204" min="10" max="10"/>
    <col width="31" customWidth="1" style="204" min="11" max="11"/>
  </cols>
  <sheetData>
    <row r="1" ht="16.8" customHeight="1" s="204">
      <c r="A1" s="4" t="inlineStr">
        <is>
          <t>Module</t>
        </is>
      </c>
      <c r="B1" s="4" t="inlineStr">
        <is>
          <t>Directory</t>
        </is>
      </c>
      <c r="C1" s="4" t="inlineStr">
        <is>
          <t>Files</t>
        </is>
      </c>
      <c r="D1" s="4" t="inlineStr">
        <is>
          <t>Key Components</t>
        </is>
      </c>
      <c r="E1" s="4" t="inlineStr">
        <is>
          <t>Status</t>
        </is>
      </c>
      <c r="F1" s="4" t="inlineStr">
        <is>
          <t>Notes</t>
        </is>
      </c>
      <c r="G1" s="198" t="inlineStr">
        <is>
          <t>Computed LOC</t>
        </is>
      </c>
      <c r="H1" s="198" t="inlineStr">
        <is>
          <t>Last Modified</t>
        </is>
      </c>
      <c r="I1" s="198" t="inlineStr">
        <is>
          <t>Tests Linked</t>
        </is>
      </c>
      <c r="J1" s="198" t="inlineStr">
        <is>
          <t>Last Reviewed</t>
        </is>
      </c>
      <c r="K1" s="198" t="inlineStr">
        <is>
          <t>Manifest</t>
        </is>
      </c>
    </row>
    <row r="2" ht="15" customHeight="1" s="204">
      <c r="A2" s="6" t="inlineStr">
        <is>
          <t>Core Engine</t>
        </is>
      </c>
      <c r="B2" s="6" t="inlineStr">
        <is>
          <t>js/core/</t>
        </is>
      </c>
      <c r="C2" s="5" t="n">
        <v>6</v>
      </c>
      <c r="D2" s="6" t="inlineStr">
        <is>
          <t>Face.js, TuningConfig.js, KPI.js</t>
        </is>
      </c>
      <c r="E2" s="7" t="inlineStr">
        <is>
          <t>Healthy</t>
        </is>
      </c>
      <c r="F2" s="6" t="inlineStr">
        <is>
          <t>SSOT for Greek constants (α-θ)</t>
        </is>
      </c>
      <c r="G2" t="n">
        <v>1804</v>
      </c>
      <c r="H2" t="inlineStr">
        <is>
          <t>2026-04-18T06:10:01+00:00</t>
        </is>
      </c>
      <c r="I2" t="inlineStr">
        <is>
          <t>—</t>
        </is>
      </c>
      <c r="J2" t="inlineStr">
        <is>
          <t>2026-04-16</t>
        </is>
      </c>
      <c r="K2" s="200" t="inlineStr">
        <is>
          <t>docs/modules/core.md</t>
        </is>
      </c>
    </row>
    <row r="3" ht="15" customHeight="1" s="204">
      <c r="A3" s="6" t="inlineStr">
        <is>
          <t>Main Engine</t>
        </is>
      </c>
      <c r="B3" s="6" t="inlineStr">
        <is>
          <t>js/main.js</t>
        </is>
      </c>
      <c r="C3" s="5" t="n">
        <v>1</v>
      </c>
      <c r="D3" s="6" t="inlineStr">
        <is>
          <t>1917-line calculation engine (5-pass)</t>
        </is>
      </c>
      <c r="E3" s="7" t="inlineStr">
        <is>
          <t>Healthy</t>
        </is>
      </c>
      <c r="F3" s="6" t="inlineStr">
        <is>
          <t>Consider extracting to js/core/</t>
        </is>
      </c>
      <c r="G3" t="n">
        <v>1711</v>
      </c>
      <c r="H3" t="inlineStr">
        <is>
          <t>2026-03-21T19:12:01+00:00</t>
        </is>
      </c>
      <c r="I3" t="inlineStr">
        <is>
          <t>integration</t>
        </is>
      </c>
      <c r="J3" t="inlineStr">
        <is>
          <t>2026-04-18</t>
        </is>
      </c>
      <c r="K3" s="200" t="inlineStr">
        <is>
          <t>docs/modules/main.md</t>
        </is>
      </c>
    </row>
    <row r="4" ht="30" customHeight="1" s="204">
      <c r="A4" s="6" t="inlineStr">
        <is>
          <t>Advanced Analysis</t>
        </is>
      </c>
      <c r="B4" s="6" t="inlineStr">
        <is>
          <t>js/advanced/</t>
        </is>
      </c>
      <c r="C4" s="5" t="n">
        <v>9</v>
      </c>
      <c r="D4" s="6" t="inlineStr">
        <is>
          <t>spectral-analyzer, edge-analyzer, vertex-analyzer</t>
        </is>
      </c>
      <c r="E4" s="7" t="inlineStr">
        <is>
          <t>Healthy</t>
        </is>
      </c>
      <c r="F4" s="6" t="inlineStr">
        <is>
          <t>3 spectral files = unification debt</t>
        </is>
      </c>
      <c r="G4" t="n">
        <v>4414</v>
      </c>
      <c r="H4" t="inlineStr">
        <is>
          <t>2026-03-21T18:36:33+00:00</t>
        </is>
      </c>
      <c r="I4" t="inlineStr">
        <is>
          <t>—</t>
        </is>
      </c>
      <c r="J4" t="inlineStr">
        <is>
          <t>2026-04-18</t>
        </is>
      </c>
      <c r="K4" s="200" t="inlineStr">
        <is>
          <t>docs/modules/advanced.md</t>
        </is>
      </c>
    </row>
    <row r="5" ht="15" customHeight="1" s="204">
      <c r="A5" s="6" t="inlineStr">
        <is>
          <t>Constants</t>
        </is>
      </c>
      <c r="B5" s="6" t="inlineStr">
        <is>
          <t>js/constants/</t>
        </is>
      </c>
      <c r="C5" s="5" t="n">
        <v>9</v>
      </c>
      <c r="D5" s="6" t="inlineStr">
        <is>
          <t>phi-harmonics.js, sacred-inquiry.js</t>
        </is>
      </c>
      <c r="E5" s="7" t="inlineStr">
        <is>
          <t>Healthy</t>
        </is>
      </c>
      <c r="F5" s="6" t="inlineStr">
        <is>
          <t>SSOT for phi-derived values</t>
        </is>
      </c>
      <c r="G5" t="n">
        <v>4475</v>
      </c>
      <c r="H5" t="inlineStr">
        <is>
          <t>2026-03-21T19:11:41+00:00</t>
        </is>
      </c>
      <c r="I5" t="inlineStr">
        <is>
          <t>integration, phi-math</t>
        </is>
      </c>
      <c r="J5" t="inlineStr">
        <is>
          <t>2026-04-18</t>
        </is>
      </c>
      <c r="K5" s="200" t="inlineStr">
        <is>
          <t>docs/modules/constants.md</t>
        </is>
      </c>
    </row>
    <row r="6" ht="15" customHeight="1" s="204">
      <c r="A6" s="6" t="inlineStr">
        <is>
          <t>Data System</t>
        </is>
      </c>
      <c r="B6" s="6" t="inlineStr">
        <is>
          <t>js/data-system/</t>
        </is>
      </c>
      <c r="C6" s="5" t="n">
        <v>13</v>
      </c>
      <c r="D6" s="6" t="inlineStr">
        <is>
          <t>data-validator.js, unified-data-loader.js</t>
        </is>
      </c>
      <c r="E6" s="7" t="inlineStr">
        <is>
          <t>Healthy</t>
        </is>
      </c>
      <c r="F6" s="6" t="n"/>
      <c r="G6" t="n">
        <v>5144</v>
      </c>
      <c r="H6" t="inlineStr">
        <is>
          <t>2026-03-21T19:12:50+00:00</t>
        </is>
      </c>
      <c r="I6" t="inlineStr">
        <is>
          <t>data-validator</t>
        </is>
      </c>
      <c r="J6" t="inlineStr">
        <is>
          <t>2026-04-18</t>
        </is>
      </c>
      <c r="K6" s="200" t="inlineStr">
        <is>
          <t>docs/modules/data-system.md</t>
        </is>
      </c>
    </row>
    <row r="7" ht="15" customHeight="1" s="204">
      <c r="A7" s="6" t="inlineStr">
        <is>
          <t>Simulator</t>
        </is>
      </c>
      <c r="B7" s="6" t="inlineStr">
        <is>
          <t>js/simulator/</t>
        </is>
      </c>
      <c r="C7" s="5" t="n">
        <v>9</v>
      </c>
      <c r="D7" s="6" t="inlineStr">
        <is>
          <t>sim-*.js modules</t>
        </is>
      </c>
      <c r="E7" s="7" t="inlineStr">
        <is>
          <t>Healthy</t>
        </is>
      </c>
      <c r="F7" s="6" t="inlineStr">
        <is>
          <t>Gold-documented (Feb 8)</t>
        </is>
      </c>
      <c r="G7" t="n">
        <v>2094</v>
      </c>
      <c r="H7" t="inlineStr">
        <is>
          <t>2026-02-08T11:12:36+00:00</t>
        </is>
      </c>
      <c r="I7" t="inlineStr">
        <is>
          <t>—</t>
        </is>
      </c>
      <c r="J7" t="inlineStr">
        <is>
          <t>2026-04-18</t>
        </is>
      </c>
      <c r="K7" s="200" t="inlineStr">
        <is>
          <t>docs/modules/simulator.md</t>
        </is>
      </c>
    </row>
    <row r="8" ht="15" customHeight="1" s="204">
      <c r="A8" s="6" t="inlineStr">
        <is>
          <t>Edge System</t>
        </is>
      </c>
      <c r="B8" s="6" t="inlineStr">
        <is>
          <t>js/edge/</t>
        </is>
      </c>
      <c r="C8" s="5" t="n">
        <v>3</v>
      </c>
      <c r="D8" s="6" t="inlineStr">
        <is>
          <t>unified-edge.js, edge-manager.js</t>
        </is>
      </c>
      <c r="E8" s="7" t="inlineStr">
        <is>
          <t>Healthy</t>
        </is>
      </c>
      <c r="F8" s="6" t="inlineStr">
        <is>
          <t>Pure Membrane Model</t>
        </is>
      </c>
      <c r="G8" t="n">
        <v>1013</v>
      </c>
      <c r="H8" t="inlineStr">
        <is>
          <t>2026-01-27T11:13:14+00:00</t>
        </is>
      </c>
      <c r="I8" t="inlineStr">
        <is>
          <t>—</t>
        </is>
      </c>
      <c r="J8" t="inlineStr">
        <is>
          <t>2026-04-18</t>
        </is>
      </c>
      <c r="K8" s="200" t="inlineStr">
        <is>
          <t>docs/modules/edge.md</t>
        </is>
      </c>
    </row>
    <row r="9" ht="15" customHeight="1" s="204">
      <c r="A9" s="6" t="inlineStr">
        <is>
          <t>Shadow System</t>
        </is>
      </c>
      <c r="B9" s="6" t="inlineStr">
        <is>
          <t>js/shadow/</t>
        </is>
      </c>
      <c r="C9" s="5" t="n">
        <v>14</v>
      </c>
      <c r="D9" s="6" t="inlineStr">
        <is>
          <t>Shadow detection + generation</t>
        </is>
      </c>
      <c r="E9" s="7" t="inlineStr">
        <is>
          <t>Healthy</t>
        </is>
      </c>
      <c r="F9" s="6" t="inlineStr">
        <is>
          <t>AI-integrated</t>
        </is>
      </c>
      <c r="G9" t="n">
        <v>6102</v>
      </c>
      <c r="H9" t="inlineStr">
        <is>
          <t>2026-03-10T20:02:37+00:00</t>
        </is>
      </c>
      <c r="I9" t="inlineStr">
        <is>
          <t>—</t>
        </is>
      </c>
      <c r="J9" t="inlineStr">
        <is>
          <t>2026-04-18</t>
        </is>
      </c>
      <c r="K9" s="200" t="inlineStr">
        <is>
          <t>docs/modules/shadow.md</t>
        </is>
      </c>
    </row>
    <row r="10" ht="15" customHeight="1" s="204">
      <c r="A10" s="6" t="inlineStr">
        <is>
          <t>Orchestrator</t>
        </is>
      </c>
      <c r="B10" s="6" t="inlineStr">
        <is>
          <t>js/orchestrator/</t>
        </is>
      </c>
      <c r="C10" s="5" t="n">
        <v>24</v>
      </c>
      <c r="D10" s="6" t="inlineStr">
        <is>
          <t>5-step wizard flow</t>
        </is>
      </c>
      <c r="E10" s="7" t="inlineStr">
        <is>
          <t>Healthy</t>
        </is>
      </c>
      <c r="F10" s="6" t="inlineStr">
        <is>
          <t>Has archive/ subdir</t>
        </is>
      </c>
      <c r="G10" t="n">
        <v>9221</v>
      </c>
      <c r="H10" t="inlineStr">
        <is>
          <t>2026-03-21T19:08:43+00:00</t>
        </is>
      </c>
      <c r="I10" t="inlineStr">
        <is>
          <t>—</t>
        </is>
      </c>
      <c r="J10" t="inlineStr">
        <is>
          <t>2026-04-18</t>
        </is>
      </c>
      <c r="K10" s="200" t="inlineStr">
        <is>
          <t>docs/modules/orchestrator.md</t>
        </is>
      </c>
    </row>
    <row r="11" ht="15" customHeight="1" s="204">
      <c r="A11" s="6" t="inlineStr">
        <is>
          <t>AI Layer</t>
        </is>
      </c>
      <c r="B11" s="6" t="inlineStr">
        <is>
          <t>js/ai/</t>
        </is>
      </c>
      <c r="C11" s="5" t="n">
        <v>37</v>
      </c>
      <c r="D11" s="6" t="inlineStr">
        <is>
          <t>Gemini integration, mapping context</t>
        </is>
      </c>
      <c r="E11" s="7" t="inlineStr">
        <is>
          <t>Healthy</t>
        </is>
      </c>
      <c r="F11" s="6" t="n"/>
      <c r="G11" t="n">
        <v>14557</v>
      </c>
      <c r="H11" t="inlineStr">
        <is>
          <t>2026-03-10T20:02:33+00:00</t>
        </is>
      </c>
      <c r="I11" t="inlineStr">
        <is>
          <t>—</t>
        </is>
      </c>
      <c r="J11" t="inlineStr">
        <is>
          <t>2026-04-18</t>
        </is>
      </c>
      <c r="K11" s="200" t="inlineStr">
        <is>
          <t>docs/modules/ai.md</t>
        </is>
      </c>
    </row>
    <row r="12" ht="15" customHeight="1" s="204">
      <c r="A12" s="6" t="inlineStr">
        <is>
          <t>Pages</t>
        </is>
      </c>
      <c r="B12" s="6" t="inlineStr">
        <is>
          <t>pages/</t>
        </is>
      </c>
      <c r="C12" s="5" t="n">
        <v>9</v>
      </c>
      <c r="D12" s="6" t="inlineStr">
        <is>
          <t>HTML entry points + orchestrator</t>
        </is>
      </c>
      <c r="E12" s="7" t="inlineStr">
        <is>
          <t>Healthy</t>
        </is>
      </c>
      <c r="F12" s="6" t="n"/>
      <c r="G12" t="n">
        <v>5460</v>
      </c>
      <c r="H12" t="inlineStr">
        <is>
          <t>2026-03-21T19:05:30+00:00</t>
        </is>
      </c>
      <c r="I12" t="inlineStr">
        <is>
          <t>—</t>
        </is>
      </c>
      <c r="J12" t="inlineStr">
        <is>
          <t>2026-04-18</t>
        </is>
      </c>
      <c r="K12" s="200" t="inlineStr">
        <is>
          <t>docs/modules/pages.md</t>
        </is>
      </c>
    </row>
    <row r="13" ht="15" customHeight="1" s="204">
      <c r="A13" s="6" t="inlineStr">
        <is>
          <t>Tests</t>
        </is>
      </c>
      <c r="B13" s="6" t="inlineStr">
        <is>
          <t>tests/</t>
        </is>
      </c>
      <c r="C13" s="5" t="n">
        <v>15</v>
      </c>
      <c r="D13" s="6" t="inlineStr">
        <is>
          <t>5 suites + HTML tests</t>
        </is>
      </c>
      <c r="E13" s="7" t="inlineStr">
        <is>
          <t>306/306 green</t>
        </is>
      </c>
      <c r="F13" s="6" t="inlineStr">
        <is>
          <t>See Test Tracker sheet</t>
        </is>
      </c>
      <c r="G13" t="n">
        <v>3716</v>
      </c>
      <c r="H13" t="inlineStr">
        <is>
          <t>2026-04-18T06:19:47+00:00</t>
        </is>
      </c>
      <c r="I13" t="inlineStr">
        <is>
          <t>—</t>
        </is>
      </c>
      <c r="J13" t="inlineStr">
        <is>
          <t>2026-04-18</t>
        </is>
      </c>
      <c r="K13" s="200" t="inlineStr">
        <is>
          <t>docs/modules/tests.md</t>
        </is>
      </c>
    </row>
    <row r="14" ht="15" customHeight="1" s="204">
      <c r="A14" s="6" t="inlineStr">
        <is>
          <t>Companies</t>
        </is>
      </c>
      <c r="B14" s="6" t="inlineStr">
        <is>
          <t>companies/</t>
        </is>
      </c>
      <c r="C14" s="5" t="n">
        <v>10</v>
      </c>
      <c r="D14" s="6" t="inlineStr">
        <is>
          <t>quannex, nova-tech, apex, zenith</t>
        </is>
      </c>
      <c r="E14" s="7" t="inlineStr">
        <is>
          <t>Healthy</t>
        </is>
      </c>
      <c r="F14" s="6" t="inlineStr">
        <is>
          <t>Each: json + csv + mapping</t>
        </is>
      </c>
      <c r="G14" t="n">
        <v>1999</v>
      </c>
      <c r="H14" t="inlineStr">
        <is>
          <t>2026-04-11T16:19:29+00:00</t>
        </is>
      </c>
      <c r="I14" t="inlineStr">
        <is>
          <t>—</t>
        </is>
      </c>
      <c r="J14" t="inlineStr">
        <is>
          <t>2026-04-18</t>
        </is>
      </c>
      <c r="K14" s="200" t="inlineStr">
        <is>
          <t>docs/modules/companies.md</t>
        </is>
      </c>
    </row>
    <row r="15" ht="15" customHeight="1" s="204">
      <c r="A15" s="6" t="inlineStr">
        <is>
          <t>Documentation</t>
        </is>
      </c>
      <c r="B15" s="6" t="inlineStr">
        <is>
          <t>docs/</t>
        </is>
      </c>
      <c r="C15" s="5" t="n">
        <v>73</v>
      </c>
      <c r="D15" s="6" t="inlineStr">
        <is>
          <t>thesis/, math/, edge/, archive/</t>
        </is>
      </c>
      <c r="E15" s="8" t="inlineStr">
        <is>
          <t>WARN</t>
        </is>
      </c>
      <c r="F15" s="6" t="inlineStr">
        <is>
          <t>13 growth ideas from Feb 16 audit</t>
        </is>
      </c>
      <c r="G15" t="n">
        <v>22211</v>
      </c>
      <c r="H15" t="inlineStr">
        <is>
          <t>2026-04-18T11:24:20+00:00</t>
        </is>
      </c>
      <c r="I15" t="inlineStr">
        <is>
          <t>—</t>
        </is>
      </c>
      <c r="J15" t="inlineStr">
        <is>
          <t>2026-04-18</t>
        </is>
      </c>
      <c r="K15" s="200" t="inlineStr">
        <is>
          <t>docs/modules/documentation.md</t>
        </is>
      </c>
    </row>
    <row r="16" ht="30" customHeight="1" s="204">
      <c r="A16" s="6" t="inlineStr">
        <is>
          <t>Math Docs</t>
        </is>
      </c>
      <c r="B16" s="6" t="inlineStr">
        <is>
          <t>math/</t>
        </is>
      </c>
      <c r="C16" s="5" t="n">
        <v>6</v>
      </c>
      <c r="D16" s="6" t="inlineStr">
        <is>
          <t>PENTAGRAM_ANALYSIS, OCTAVE_FRAMEWORK</t>
        </is>
      </c>
      <c r="E16" s="7" t="inlineStr">
        <is>
          <t>Healthy</t>
        </is>
      </c>
      <c r="F16" s="6" t="inlineStr">
        <is>
          <t>Standalone math references</t>
        </is>
      </c>
      <c r="G16" t="n">
        <v>1952</v>
      </c>
      <c r="H16" t="inlineStr">
        <is>
          <t>2026-04-07T08:25:28+00:00</t>
        </is>
      </c>
      <c r="I16" t="inlineStr">
        <is>
          <t>—</t>
        </is>
      </c>
      <c r="J16" t="inlineStr">
        <is>
          <t>2026-04-18</t>
        </is>
      </c>
      <c r="K16" s="200" t="inlineStr">
        <is>
          <t>docs/modules/math-docs.md</t>
        </is>
      </c>
    </row>
    <row r="18" ht="15" customHeight="1" s="204">
      <c r="A18" t="inlineStr">
        <is>
          <t>Songbook Generator</t>
        </is>
      </c>
      <c r="B18" t="inlineStr">
        <is>
          <t>scripts/</t>
        </is>
      </c>
      <c r="C18" t="n">
        <v>1</v>
      </c>
      <c r="D18" t="inlineStr">
        <is>
          <t>_build_songbook_phase4_commitment.py</t>
        </is>
      </c>
      <c r="E18" t="inlineStr">
        <is>
          <t>Healthy</t>
        </is>
      </c>
      <c r="F18" t="inlineStr">
        <is>
          <t>openpyxl, 7-sheet xlsx builder</t>
        </is>
      </c>
    </row>
    <row r="19">
      <c r="A19" t="inlineStr">
        <is>
          <t>REFRENCE_MODELS Extractor</t>
        </is>
      </c>
      <c r="B19" t="inlineStr">
        <is>
          <t>scripts/</t>
        </is>
      </c>
      <c r="C19" t="n">
        <v>1</v>
      </c>
      <c r="D19" t="inlineStr">
        <is>
          <t>_extract_refrence_models.py</t>
        </is>
      </c>
      <c r="E19" t="inlineStr">
        <is>
          <t>Healthy</t>
        </is>
      </c>
      <c r="F19" t="inlineStr">
        <is>
          <t>420 cells -&gt; JSON</t>
        </is>
      </c>
    </row>
    <row r="20">
      <c r="A20" t="inlineStr">
        <is>
          <t>Command Center Patch</t>
        </is>
      </c>
      <c r="B20" t="inlineStr">
        <is>
          <t>scripts/</t>
        </is>
      </c>
      <c r="C20" t="n">
        <v>1</v>
      </c>
      <c r="D20" t="inlineStr">
        <is>
          <t>_update_command_center_phase4.py</t>
        </is>
      </c>
      <c r="E20" t="inlineStr">
        <is>
          <t>Healthy</t>
        </is>
      </c>
      <c r="F20" t="inlineStr">
        <is>
          <t>This script</t>
        </is>
      </c>
    </row>
    <row r="21">
      <c r="A21" t="inlineStr">
        <is>
          <t>KPI Database Patcher</t>
        </is>
      </c>
      <c r="B21" t="inlineStr">
        <is>
          <t>scripts/</t>
        </is>
      </c>
      <c r="C21" t="n">
        <v>1</v>
      </c>
      <c r="D21" t="inlineStr">
        <is>
          <t>_patch_kpi_database_facenames.py</t>
        </is>
      </c>
      <c r="E21" t="inlineStr">
        <is>
          <t>Healthy</t>
        </is>
      </c>
      <c r="F21" t="inlineStr">
        <is>
          <t>faceName harmonization</t>
        </is>
      </c>
    </row>
    <row r="22">
      <c r="A22" t="inlineStr">
        <is>
          <t>Songbook Spec</t>
        </is>
      </c>
      <c r="B22" t="inlineStr">
        <is>
          <t>docs/</t>
        </is>
      </c>
      <c r="C22" t="n">
        <v>1</v>
      </c>
      <c r="D22" t="inlineStr">
        <is>
          <t>SPIRAL_OCTAVE_SONGBOOK_SPEC.md</t>
        </is>
      </c>
      <c r="E22" t="inlineStr">
        <is>
          <t>Healthy</t>
        </is>
      </c>
      <c r="F22" t="inlineStr">
        <is>
          <t>Canonical methodology spec v1.0</t>
        </is>
      </c>
    </row>
    <row r="23" ht="15" customHeight="1" s="204">
      <c r="A23" s="210" t="inlineStr">
        <is>
          <t>TOTALS: 195 JS files | 9 pages | 4 company templates | 57 docs | 6 math docs | 306 automated tests</t>
        </is>
      </c>
    </row>
  </sheetData>
  <mergeCells count="1">
    <mergeCell ref="A23:F23"/>
  </mergeCells>
  <conditionalFormatting sqref="E2:E22">
    <cfRule type="containsText" priority="1" operator="containsText" dxfId="9" text="PASS">
      <formula>NOT(ISERROR(SEARCH("PASS",E2)))</formula>
    </cfRule>
    <cfRule type="containsText" priority="2" operator="containsText" dxfId="9" text="DONE">
      <formula>NOT(ISERROR(SEARCH("DONE",E2)))</formula>
    </cfRule>
    <cfRule type="containsText" priority="3" operator="containsText" dxfId="9" text="HEALTHY">
      <formula>NOT(ISERROR(SEARCH("HEALTHY",E2)))</formula>
    </cfRule>
    <cfRule type="containsText" priority="4" operator="containsText" dxfId="9" text="READY">
      <formula>NOT(ISERROR(SEARCH("READY",E2)))</formula>
    </cfRule>
    <cfRule type="containsText" priority="5" operator="containsText" dxfId="9" text="RADIANT">
      <formula>NOT(ISERROR(SEARCH("RADIANT",E2)))</formula>
    </cfRule>
    <cfRule type="containsText" priority="6" operator="containsText" dxfId="9" text="CLEAN">
      <formula>NOT(ISERROR(SEARCH("CLEAN",E2)))</formula>
    </cfRule>
    <cfRule type="containsText" priority="7" operator="containsText" dxfId="5" text="WARN">
      <formula>NOT(ISERROR(SEARCH("WARN",E2)))</formula>
    </cfRule>
    <cfRule type="containsText" priority="8" operator="containsText" dxfId="5" text="PARTIAL">
      <formula>NOT(ISERROR(SEARCH("PARTIAL",E2)))</formula>
    </cfRule>
    <cfRule type="containsText" priority="9" operator="containsText" dxfId="5" text="REQUIRES">
      <formula>NOT(ISERROR(SEARCH("REQUIRES",E2)))</formula>
    </cfRule>
    <cfRule type="containsText" priority="10" operator="containsText" dxfId="5" text="IN PROGRESS">
      <formula>NOT(ISERROR(SEARCH("IN PROGRESS",E2)))</formula>
    </cfRule>
    <cfRule type="containsText" priority="11" operator="containsText" dxfId="4" text="UPCOMING">
      <formula>NOT(ISERROR(SEARCH("UPCOMING",E2)))</formula>
    </cfRule>
    <cfRule type="containsText" priority="12" operator="containsText" dxfId="1" text="NOT DONE">
      <formula>NOT(ISERROR(SEARCH("NOT DONE",E2)))</formula>
    </cfRule>
    <cfRule type="containsText" priority="13" operator="containsText" dxfId="1" text="NOT STARTED">
      <formula>NOT(ISERROR(SEARCH("NOT STARTED",E2)))</formula>
    </cfRule>
    <cfRule type="containsText" priority="14" operator="containsText" dxfId="1" text="BLOCKED">
      <formula>NOT(ISERROR(SEARCH("BLOCKED",E2)))</formula>
    </cfRule>
    <cfRule type="containsText" priority="15" operator="containsText" dxfId="0" text="CRITICAL">
      <formula>NOT(ISERROR(SEARCH("CRITICAL",E2)))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C407A"/>
    <outlinePr summaryBelow="1" summaryRight="1"/>
    <pageSetUpPr/>
  </sheetPr>
  <dimension ref="A1:N31"/>
  <sheetViews>
    <sheetView zoomScale="91" workbookViewId="0">
      <pane ySplit="1" topLeftCell="A2" activePane="bottomLeft" state="frozen"/>
      <selection pane="bottomLeft" activeCell="L1" sqref="L1:N10"/>
    </sheetView>
  </sheetViews>
  <sheetFormatPr baseColWidth="8" defaultRowHeight="14.4"/>
  <cols>
    <col width="14" customWidth="1" style="204" min="1" max="1"/>
    <col width="25" customWidth="1" style="204" min="2" max="2"/>
    <col width="40" customWidth="1" style="204" min="3" max="3"/>
    <col width="12" customWidth="1" style="204" min="4" max="5"/>
    <col width="16" customWidth="1" style="204" min="6" max="6"/>
    <col width="30" customWidth="1" style="204" min="7" max="7"/>
    <col width="18.21875" bestFit="1" customWidth="1" style="204" min="9" max="9"/>
    <col width="11.5546875" bestFit="1" customWidth="1" style="204" min="10" max="10"/>
    <col width="11.21875" bestFit="1" customWidth="1" style="204" min="12" max="12"/>
    <col width="7.21875" bestFit="1" customWidth="1" style="204" min="13" max="13"/>
    <col width="15.109375" bestFit="1" customWidth="1" style="204" min="14" max="14"/>
  </cols>
  <sheetData>
    <row r="1" ht="16.8" customHeight="1" s="204">
      <c r="A1" s="4" t="inlineStr">
        <is>
          <t>Date</t>
        </is>
      </c>
      <c r="B1" s="4" t="inlineStr">
        <is>
          <t>Focus</t>
        </is>
      </c>
      <c r="C1" s="4" t="inlineStr">
        <is>
          <t>Key Changes</t>
        </is>
      </c>
      <c r="D1" s="4" t="inlineStr">
        <is>
          <t>Commits</t>
        </is>
      </c>
      <c r="E1" s="4" t="inlineStr">
        <is>
          <t>Tests</t>
        </is>
      </c>
      <c r="F1" s="4" t="inlineStr">
        <is>
          <t>Spiral Verdict</t>
        </is>
      </c>
      <c r="G1" s="4" t="inlineStr">
        <is>
          <t>Thesis Impact</t>
        </is>
      </c>
      <c r="I1" s="170" t="inlineStr">
        <is>
          <t>SESSION CADENCE</t>
        </is>
      </c>
      <c r="J1" s="63" t="n"/>
      <c r="L1" s="181" t="inlineStr">
        <is>
          <t>Date</t>
        </is>
      </c>
      <c r="M1" s="181" t="inlineStr">
        <is>
          <t>Session #</t>
        </is>
      </c>
      <c r="N1" s="181" t="inlineStr">
        <is>
          <t>Cumulative Sessions</t>
        </is>
      </c>
    </row>
    <row r="2" ht="15" customHeight="1" s="204">
      <c r="A2" s="177" t="n">
        <v>46123</v>
      </c>
      <c r="B2" s="20" t="inlineStr">
        <is>
          <t>Control Panel</t>
        </is>
      </c>
      <c r="C2" s="20" t="inlineStr">
        <is>
          <t>Created CONTROL_PANEL.xlsx, verified 60 elements</t>
        </is>
      </c>
      <c r="D2" s="20" t="inlineStr">
        <is>
          <t>—</t>
        </is>
      </c>
      <c r="E2" s="20" t="inlineStr">
        <is>
          <t>306/306</t>
        </is>
      </c>
      <c r="F2" s="20" t="inlineStr">
        <is>
          <t>—</t>
        </is>
      </c>
      <c r="G2" s="20" t="inlineStr">
        <is>
          <t>Tracking artifact created</t>
        </is>
      </c>
      <c r="I2" s="171" t="inlineStr">
        <is>
          <t>Total sessions</t>
        </is>
      </c>
      <c r="J2" s="172">
        <f>COUNTA(A2:A25)</f>
        <v/>
      </c>
      <c r="L2" s="179" t="n">
        <v>46053</v>
      </c>
      <c r="M2" t="n">
        <v>1</v>
      </c>
      <c r="N2" t="n">
        <v>1</v>
      </c>
    </row>
    <row r="3" ht="30" customHeight="1" s="204">
      <c r="A3" s="177" t="n">
        <v>46119</v>
      </c>
      <c r="B3" s="20" t="inlineStr">
        <is>
          <t>alpha-drift fix + Spiral Loop</t>
        </is>
      </c>
      <c r="C3" s="20" t="inlineStr">
        <is>
          <t>Patched 5 doc files, installed spiral refinement</t>
        </is>
      </c>
      <c r="D3" s="20" t="inlineStr">
        <is>
          <t>e8e99d1</t>
        </is>
      </c>
      <c r="E3" s="20" t="inlineStr">
        <is>
          <t>306/306</t>
        </is>
      </c>
      <c r="F3" s="20" t="inlineStr">
        <is>
          <t>CLEAN</t>
        </is>
      </c>
      <c r="G3" s="20" t="inlineStr">
        <is>
          <t>Doc-drift class documented</t>
        </is>
      </c>
      <c r="I3" s="171" t="inlineStr">
        <is>
          <t>Last session</t>
        </is>
      </c>
      <c r="J3" s="173">
        <f>TEXT(MAX(A2:A25),"MMM D, YYYY")</f>
        <v/>
      </c>
      <c r="L3" s="179" t="n">
        <v>46054</v>
      </c>
      <c r="M3" t="n">
        <v>1</v>
      </c>
      <c r="N3" t="n">
        <v>2</v>
      </c>
    </row>
    <row r="4" ht="30" customHeight="1" s="204">
      <c r="A4" s="177" t="n">
        <v>46095</v>
      </c>
      <c r="B4" s="20" t="inlineStr">
        <is>
          <t>Spectral eigenvalue fix</t>
        </is>
      </c>
      <c r="C4" s="20" t="inlineStr">
        <is>
          <t>Corrected Laplacian topology across 3 analyzers</t>
        </is>
      </c>
      <c r="D4" s="20" t="inlineStr">
        <is>
          <t>7019657</t>
        </is>
      </c>
      <c r="E4" s="20" t="inlineStr">
        <is>
          <t>—</t>
        </is>
      </c>
      <c r="F4" s="20" t="inlineStr">
        <is>
          <t>—</t>
        </is>
      </c>
      <c r="G4" s="20" t="inlineStr">
        <is>
          <t>Spectral chapter updated</t>
        </is>
      </c>
      <c r="I4" s="171" t="inlineStr">
        <is>
          <t>Days since last</t>
        </is>
      </c>
      <c r="J4" s="174">
        <f>TODAY()-MAX(A2:A25)</f>
        <v/>
      </c>
      <c r="L4" s="179" t="n">
        <v>46061</v>
      </c>
      <c r="M4" t="n">
        <v>1</v>
      </c>
      <c r="N4" t="n">
        <v>3</v>
      </c>
    </row>
    <row r="5" ht="15" customHeight="1" s="204">
      <c r="A5" s="177" t="n">
        <v>46095</v>
      </c>
      <c r="B5" s="20" t="inlineStr">
        <is>
          <t>Sensitivity matrix</t>
        </is>
      </c>
      <c r="C5" s="20" t="inlineStr">
        <is>
          <t>Multi-mode sensitivity, KPI sensitivity analysis</t>
        </is>
      </c>
      <c r="D5" s="20" t="inlineStr">
        <is>
          <t>6f0ccad</t>
        </is>
      </c>
      <c r="E5" s="20" t="inlineStr">
        <is>
          <t>—</t>
        </is>
      </c>
      <c r="F5" s="20" t="inlineStr">
        <is>
          <t>—</t>
        </is>
      </c>
      <c r="G5" s="20" t="n"/>
      <c r="I5" s="171" t="inlineStr">
        <is>
          <t>Avg gap (days)</t>
        </is>
      </c>
      <c r="J5" s="180">
        <f>IFERROR(ROUND((MAX(A2:A25)-MIN(A2:A25))/(COUNTA(A2:A25)-1),1),"—")</f>
        <v/>
      </c>
      <c r="L5" s="179" t="n">
        <v>46069</v>
      </c>
      <c r="M5" t="n">
        <v>1</v>
      </c>
      <c r="N5" t="n">
        <v>4</v>
      </c>
    </row>
    <row r="6" ht="15" customHeight="1" s="204">
      <c r="A6" s="177" t="n">
        <v>46069</v>
      </c>
      <c r="B6" s="20" t="inlineStr">
        <is>
          <t>Documentation audit</t>
        </is>
      </c>
      <c r="C6" s="20" t="inlineStr">
        <is>
          <t>5-agent parallel audit, 8 priority actions done</t>
        </is>
      </c>
      <c r="D6" s="20" t="inlineStr">
        <is>
          <t>—</t>
        </is>
      </c>
      <c r="E6" s="20" t="inlineStr">
        <is>
          <t>—</t>
        </is>
      </c>
      <c r="F6" s="20" t="inlineStr">
        <is>
          <t>—</t>
        </is>
      </c>
      <c r="G6" s="20" t="inlineStr">
        <is>
          <t>Audit tracker created</t>
        </is>
      </c>
      <c r="I6" s="171" t="inlineStr">
        <is>
          <t>Days to defense</t>
        </is>
      </c>
      <c r="J6" s="175">
        <f>DATE(2026,6,1)-TODAY()</f>
        <v/>
      </c>
      <c r="L6" s="179" t="n">
        <v>46095</v>
      </c>
      <c r="M6" t="n">
        <v>1</v>
      </c>
      <c r="N6" t="n">
        <v>5</v>
      </c>
    </row>
    <row r="7" ht="30" customHeight="1" s="204">
      <c r="A7" s="177" t="n">
        <v>46061</v>
      </c>
      <c r="B7" s="20" t="inlineStr">
        <is>
          <t>Stress test + simulator</t>
        </is>
      </c>
      <c r="C7" s="20" t="inlineStr">
        <is>
          <t>Full vision coherence simulator, honest stress report</t>
        </is>
      </c>
      <c r="D7" s="20" t="inlineStr">
        <is>
          <t>9106dbf</t>
        </is>
      </c>
      <c r="E7" s="20" t="inlineStr">
        <is>
          <t>—</t>
        </is>
      </c>
      <c r="F7" s="20" t="inlineStr">
        <is>
          <t>—</t>
        </is>
      </c>
      <c r="G7" s="20" t="inlineStr">
        <is>
          <t>11 emergent truths discovered</t>
        </is>
      </c>
      <c r="I7" s="171" t="inlineStr">
        <is>
          <t>Sessions needed (est.)</t>
        </is>
      </c>
      <c r="J7" s="176">
        <f>IFERROR(ROUND((DATE(2026,6,1)-TODAY())/J5,0),"—")</f>
        <v/>
      </c>
      <c r="L7" s="179" t="n">
        <v>46095</v>
      </c>
      <c r="M7" t="n">
        <v>1</v>
      </c>
      <c r="N7" t="n">
        <v>6</v>
      </c>
    </row>
    <row r="8" ht="15" customHeight="1" s="204">
      <c r="A8" s="177" t="n">
        <v>46054</v>
      </c>
      <c r="B8" s="20" t="inlineStr">
        <is>
          <t>Thesis audit</t>
        </is>
      </c>
      <c r="C8" s="20" t="inlineStr">
        <is>
          <t>Complete thesis readiness audit</t>
        </is>
      </c>
      <c r="D8" s="20" t="inlineStr">
        <is>
          <t>—</t>
        </is>
      </c>
      <c r="E8" s="20" t="inlineStr">
        <is>
          <t>—</t>
        </is>
      </c>
      <c r="F8" s="20" t="inlineStr">
        <is>
          <t>—</t>
        </is>
      </c>
      <c r="G8" s="20" t="inlineStr">
        <is>
          <t>VERDICT: PRISTINE</t>
        </is>
      </c>
      <c r="L8" s="179" t="n">
        <v>46119</v>
      </c>
      <c r="M8" t="n">
        <v>1</v>
      </c>
      <c r="N8" t="n">
        <v>7</v>
      </c>
    </row>
    <row r="9" ht="15" customHeight="1" s="204">
      <c r="A9" s="177" t="n">
        <v>46053</v>
      </c>
      <c r="B9" s="20" t="inlineStr">
        <is>
          <t>Vertex topology fix</t>
        </is>
      </c>
      <c r="C9" s="20" t="inlineStr">
        <is>
          <t>Unified vertex topology across codebase</t>
        </is>
      </c>
      <c r="D9" s="20" t="inlineStr">
        <is>
          <t>22db8cd</t>
        </is>
      </c>
      <c r="E9" s="20" t="inlineStr">
        <is>
          <t>—</t>
        </is>
      </c>
      <c r="F9" s="20" t="inlineStr">
        <is>
          <t>—</t>
        </is>
      </c>
      <c r="G9" s="20" t="n"/>
      <c r="L9" s="179" t="n">
        <v>46123</v>
      </c>
      <c r="M9" t="n">
        <v>1</v>
      </c>
      <c r="N9" t="n">
        <v>8</v>
      </c>
    </row>
    <row r="10" ht="15" customHeight="1" s="204">
      <c r="A10" s="178" t="n">
        <v>46127</v>
      </c>
      <c r="B10" s="6" t="inlineStr">
        <is>
          <t>420 Spiral Octave Songbook - Phase 4 Commitment Artifact</t>
        </is>
      </c>
      <c r="C10" s="6" t="inlineStr">
        <is>
          <t>5 artifacts: xlsx, spec, command-center patch, JSON faceName patch, spiral report. Built from REFRENCE_MODELS extraction (420 cells).</t>
        </is>
      </c>
      <c r="D10" s="6" t="inlineStr">
        <is>
          <t>TBD</t>
        </is>
      </c>
      <c r="E10" s="6" t="inlineStr">
        <is>
          <t>smoke test PASS; no JS/engine tests touched</t>
        </is>
      </c>
      <c r="F10" s="6" t="inlineStr">
        <is>
          <t>RADIANT 9.25/10 (12/12 faces &gt;= 9)</t>
        </is>
      </c>
      <c r="G10" s="6" t="inlineStr">
        <is>
          <t>SQ5 evidence; paradigm reframe: measure-what-is -&gt; ask-what-is-alive</t>
        </is>
      </c>
      <c r="L10" s="179" t="n">
        <v>46127</v>
      </c>
      <c r="M10" t="n">
        <v>1</v>
      </c>
      <c r="N10" t="n">
        <v>9</v>
      </c>
    </row>
    <row r="11" ht="15" customHeight="1" s="204">
      <c r="A11" s="178" t="n">
        <v>46146</v>
      </c>
      <c r="B11" s="6" t="inlineStr">
        <is>
          <t>CEN Coherence Assessment Form architect spec (s41ct continuation)</t>
        </is>
      </c>
      <c r="C11" s="6" t="inlineStr">
        <is>
          <t>Architecture sketch (~5,500w) + Wireframe (~3,200w) + Spiral report; Final Thesis Ch7 R22 prose drafted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9.35/10 (triad)</t>
        </is>
      </c>
      <c r="G11" s="6" t="inlineStr">
        <is>
          <t>Ch7 R22 future-research recommendation drafted; application deferred to Ch7 R1 hardening pass</t>
        </is>
      </c>
    </row>
    <row r="12" ht="15" customHeight="1" s="204">
      <c r="A12" s="178" t="n"/>
      <c r="B12" s="6" t="n"/>
      <c r="C12" s="6" t="n"/>
      <c r="D12" s="6" t="n"/>
      <c r="E12" s="6" t="n"/>
      <c r="F12" s="6" t="n"/>
      <c r="G12" s="6" t="n"/>
    </row>
    <row r="13" ht="15" customHeight="1" s="204">
      <c r="A13" s="178" t="n"/>
      <c r="B13" s="6" t="n"/>
      <c r="C13" s="6" t="n"/>
      <c r="D13" s="6" t="n"/>
      <c r="E13" s="6" t="n"/>
      <c r="F13" s="6" t="n"/>
      <c r="G13" s="6" t="n"/>
    </row>
    <row r="14" ht="15" customHeight="1" s="204">
      <c r="A14" s="178" t="n"/>
      <c r="B14" s="6" t="n"/>
      <c r="C14" s="6" t="n"/>
      <c r="D14" s="6" t="n"/>
      <c r="E14" s="6" t="n"/>
      <c r="F14" s="6" t="n"/>
      <c r="G14" s="6" t="n"/>
    </row>
    <row r="15" ht="15" customHeight="1" s="204">
      <c r="A15" s="178" t="n"/>
      <c r="B15" s="6" t="n"/>
      <c r="C15" s="6" t="n"/>
      <c r="D15" s="6" t="n"/>
      <c r="E15" s="6" t="n"/>
      <c r="F15" s="6" t="n"/>
      <c r="G15" s="6" t="n"/>
    </row>
    <row r="16" ht="15" customHeight="1" s="204">
      <c r="A16" s="178" t="n"/>
      <c r="B16" s="6" t="n"/>
      <c r="C16" s="6" t="n"/>
      <c r="D16" s="6" t="n"/>
      <c r="E16" s="6" t="n"/>
      <c r="F16" s="6" t="n"/>
      <c r="G16" s="6" t="n"/>
    </row>
    <row r="17" ht="15" customHeight="1" s="204">
      <c r="A17" s="178" t="n"/>
      <c r="B17" s="6" t="n"/>
      <c r="C17" s="6" t="n"/>
      <c r="D17" s="6" t="n"/>
      <c r="E17" s="6" t="n"/>
      <c r="F17" s="6" t="n"/>
      <c r="G17" s="6" t="n"/>
    </row>
    <row r="18" ht="15" customHeight="1" s="204">
      <c r="A18" s="178" t="n"/>
      <c r="B18" s="6" t="n"/>
      <c r="C18" s="6" t="n"/>
      <c r="D18" s="6" t="n"/>
      <c r="E18" s="6" t="n"/>
      <c r="F18" s="6" t="n"/>
      <c r="G18" s="6" t="n"/>
    </row>
    <row r="19" ht="15" customHeight="1" s="204">
      <c r="A19" s="178" t="n"/>
      <c r="B19" s="6" t="n"/>
      <c r="C19" s="6" t="n"/>
      <c r="D19" s="6" t="n"/>
      <c r="E19" s="6" t="n"/>
      <c r="F19" s="6" t="n"/>
      <c r="G19" s="6" t="n"/>
    </row>
    <row r="20" ht="15" customHeight="1" s="204">
      <c r="A20" s="178" t="n"/>
      <c r="B20" s="6" t="n"/>
      <c r="C20" s="6" t="n"/>
      <c r="D20" s="6" t="n"/>
      <c r="E20" s="6" t="n"/>
      <c r="F20" s="6" t="n"/>
      <c r="G20" s="6" t="n"/>
    </row>
    <row r="21" ht="15" customHeight="1" s="204">
      <c r="A21" s="178" t="n"/>
      <c r="B21" s="6" t="n"/>
      <c r="C21" s="6" t="n"/>
      <c r="D21" s="6" t="n"/>
      <c r="E21" s="6" t="n"/>
      <c r="F21" s="6" t="n"/>
      <c r="G21" s="6" t="n"/>
    </row>
    <row r="22" ht="15" customHeight="1" s="204">
      <c r="A22" s="178" t="n"/>
      <c r="B22" s="6" t="n"/>
      <c r="C22" s="6" t="n"/>
      <c r="D22" s="6" t="n"/>
      <c r="E22" s="6" t="n"/>
      <c r="F22" s="6" t="n"/>
      <c r="G22" s="6" t="n"/>
    </row>
    <row r="23" ht="15" customHeight="1" s="204">
      <c r="A23" s="178" t="n"/>
      <c r="B23" s="6" t="n"/>
      <c r="C23" s="6" t="n"/>
      <c r="D23" s="6" t="n"/>
      <c r="E23" s="6" t="n"/>
      <c r="F23" s="6" t="n"/>
      <c r="G23" s="6" t="n"/>
    </row>
    <row r="24" ht="15" customHeight="1" s="204">
      <c r="A24" s="178" t="n"/>
      <c r="B24" s="6" t="n"/>
      <c r="C24" s="6" t="n"/>
      <c r="D24" s="6" t="n"/>
      <c r="E24" s="6" t="n"/>
      <c r="F24" s="6" t="n"/>
      <c r="G24" s="6" t="n"/>
    </row>
    <row r="25">
      <c r="A25" s="179" t="n"/>
    </row>
    <row r="26">
      <c r="A26" s="203" t="inlineStr">
        <is>
          <t>HOW TO USE: After each session, add one row. Date + Focus + Key Changes are the minimum. Run tests and record. Spiral Verdict from /selfcritique.</t>
        </is>
      </c>
    </row>
    <row r="27">
      <c r="A27" t="inlineStr">
        <is>
          <t>2026-04-24</t>
        </is>
      </c>
      <c r="B27" t="inlineStr">
        <is>
          <t>Cross-Workspace from BDQ-5 (Songbook + 60-element + Cloud Form)</t>
        </is>
      </c>
      <c r="C27" t="inlineStr">
        <is>
          <t>BDQ adopted POC Songbook paradigm as canonical; created 60-element rubric skeleton referencing POC 420 grid; Schema B canonicalized for breath axes (check js/main.js); Cloud Form v1 spec (609 lines) + Question Bank (1293 lines) drafted; Wk6-Wk7 longitudinal data available</t>
        </is>
      </c>
      <c r="D27" t="inlineStr">
        <is>
          <t>-</t>
        </is>
      </c>
      <c r="E27" t="inlineStr">
        <is>
          <t>-</t>
        </is>
      </c>
      <c r="F27" t="inlineStr">
        <is>
          <t>RADIANT (BDQ-side, see mirror)</t>
        </is>
      </c>
      <c r="G27" t="inlineStr">
        <is>
          <t>Ch5 cross-case continuity; Songbook propagated cleanly; Wk6 and Wk7 data available for Ch5 Table 5.4 update</t>
        </is>
      </c>
    </row>
    <row r="28">
      <c r="A28" s="222" t="inlineStr">
        <is>
          <t>2026-05-11</t>
        </is>
      </c>
      <c r="B28" s="222" t="inlineStr">
        <is>
          <t>Cross-Workspace from Final Thesis s50 (Songbook Academic Pass)</t>
        </is>
      </c>
      <c r="C28" s="222" t="inlineStr">
        <is>
          <t>POC_420_Songbook_Thesis_Master_v3.0_AcademicPass_2026-05-11.xlsx shipped (18 sheets; 4 academic-pass dimensions; honest 9.46/10 RADIANT). CEN-facing derivative CEN_420_Songbook_v0.1 also shipped (9 sheets; honest 9.34/10). Source v2.1 SHA d35d8e64 preserved unchanged.</t>
        </is>
      </c>
      <c r="D28" s="222" t="inlineStr">
        <is>
          <t>-</t>
        </is>
      </c>
      <c r="E28" s="222" t="inlineStr">
        <is>
          <t>-</t>
        </is>
      </c>
      <c r="F28" s="222" t="inlineStr">
        <is>
          <t>RADIANT 9.46/10 (Workbook A) + 9.34/10 (Workbook B); see Final Thesis/Thesis Work/spiral-reports/ (both mirrored to POC/spiral-reports/)</t>
        </is>
      </c>
      <c r="G28" s="222" t="inlineStr">
        <is>
          <t>Thesis-defense surface (Sheet 21 CBI Defense maps Hanze B1-B6) + master's-thesis continuation seed (Sheet 20 §6.G + Sheet 19 §6 refs + §6.G.5 architectural seeds) preserved.</t>
        </is>
      </c>
      <c r="H28" s="222" t="inlineStr"/>
      <c r="I28" s="222" t="inlineStr"/>
      <c r="J28" s="222" t="inlineStr"/>
      <c r="K28" s="222" t="inlineStr"/>
      <c r="L28" s="222" t="inlineStr"/>
      <c r="M28" s="222" t="inlineStr"/>
      <c r="N28" s="222" t="inlineStr">
        <is>
          <t>Added by Final Thesis session 50 via Cross-Workspace Tracker Row Protocol (per ~/.claude/CLAUDE.md). Memory entity: CrossWorkspaceUpdate-Songbook-AcademicPass-v3.0-2026-05-11. FT mirror at Final Thesis/Thesis Work/Quannex Business Exports/ byte-equivalent SHA 81ffbcca...</t>
        </is>
      </c>
    </row>
    <row r="29">
      <c r="A29" t="inlineStr">
        <is>
          <t>2026-05-17</t>
        </is>
      </c>
      <c r="B29" t="inlineStr">
        <is>
          <t>Cross-Workspace from Final Thesis s58-followup — Vortex topology canonical correction cascade</t>
        </is>
      </c>
      <c r="C29" t="inlineStr">
        <is>
          <t>Final Thesis s58-followup landed canonical vortex topology fix in SpiralDASHBOARD-Leading_V2 VORTEX_MAP (14 of 20 vertex face-triples were wrong; source-fixed). CEN MVF vortex cascade applied (phi-weighted vortexStrength formula = 0.618 x (sigma/0.577) + 0.382 x mean per POC March 2026 reconciliation; 6-state Dormant/Rising/Powerful Ascent/Declining/Critical Descent/Turbulent classification — NOT Wall/Gate/etc which apply only to edges). POC workspace may want to ingest source-fix when relevant. Spiral reports: Topology_Integrity_Audit_s58-followup_2026-05-17.md + POC_Vortex_Canonical_Verification_s58-followup_2026-05-17.md. Added by Final Thesis session s58-followup at 2026-05-17 via Cross-Workspace Tracker Row Protocol.</t>
        </is>
      </c>
      <c r="D29" t="inlineStr">
        <is>
          <t>-</t>
        </is>
      </c>
      <c r="E29" t="inlineStr">
        <is>
          <t>-</t>
        </is>
      </c>
    </row>
    <row r="30" ht="80" customHeight="1" s="204">
      <c r="A30" s="223" t="inlineStr">
        <is>
          <t>2026-05-25</t>
        </is>
      </c>
      <c r="B30" s="223" t="inlineStr">
        <is>
          <t>ship-v1.0 plan §14.B close</t>
        </is>
      </c>
      <c r="C30" s="223" t="inlineStr">
        <is>
          <t>Sub-Arc 3 Wave 4 — verification + sign-off + distribution</t>
        </is>
      </c>
      <c r="D30" s="223" t="inlineStr">
        <is>
          <t>All 7 W4 steps closing (W4.1 validator 222→0 · W4.2 PDF brand 5/5 · W4.3 cross-workspace · W4.4 POC panel · W4.5 handoff · W4.6 spiral · W4.7 archive). 5-day arc 2026-05-21→2026-05-25 closes. 24 commits. 8 thesis-defense centerpieces. Trust-the-Geometry §6.6 named.</t>
        </is>
      </c>
      <c r="E30" s="224" t="inlineStr">
        <is>
          <t>v1.0 SHIPPED · 0 Critical · ALL PATHS CLOSED</t>
        </is>
      </c>
    </row>
    <row r="31" ht="80" customHeight="1" s="204">
      <c r="A31" s="223" t="inlineStr">
        <is>
          <t>2026-05-25 FINAL</t>
        </is>
      </c>
      <c r="B31" s="223" t="inlineStr">
        <is>
          <t>Sub-Arc 3 W4.6 hygiene close + Sheet 21 Coherence Story</t>
        </is>
      </c>
      <c r="C31" s="223" t="inlineStr">
        <is>
          <t>v1.0 FINAL ship-it: Sheet 21 narrative + Trust-the-Geometry §6.6 audit + Excel-clean</t>
        </is>
      </c>
      <c r="D31" s="223" t="inlineStr">
        <is>
          <t>11+ pre-ship discrepancies surfaced + corrected (the methodology auditing itself). Sheet 21 Section B BSC-ID vs face-placement clarified. Validator regression-check targets updated κ=4 era→κ=φ² era. Excel formula errors 16→0 via Glossary leading-= fix + STDEV.P→STDEVP.</t>
        </is>
      </c>
      <c r="E31" s="224" t="inlineStr">
        <is>
          <t>v1.0 SHIPPED FINAL · 23 sheets · 613/613 tests · 0 Critical · ALL PATHS CLOSED · Sheet 21 marquee active</t>
        </is>
      </c>
    </row>
  </sheetData>
  <mergeCells count="1">
    <mergeCell ref="A26:G26"/>
  </mergeCells>
  <dataValidations count="1">
    <dataValidation sqref="F2:F24" showDropDown="0" showInputMessage="0" showErrorMessage="0" allowBlank="1" type="list">
      <formula1>"RADIANT,CLEAN,NEEDS FIXES,BLOCKED,—"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6F00"/>
    <outlinePr summaryBelow="1" summaryRight="1"/>
    <pageSetUpPr/>
  </sheetPr>
  <dimension ref="A1:H71"/>
  <sheetViews>
    <sheetView tabSelected="1" zoomScale="118" workbookViewId="0">
      <pane ySplit="4" topLeftCell="A62" activePane="bottomLeft" state="frozen"/>
      <selection pane="bottomLeft" activeCell="G8" sqref="G8"/>
    </sheetView>
  </sheetViews>
  <sheetFormatPr baseColWidth="8" defaultRowHeight="14.4"/>
  <cols>
    <col width="12" customWidth="1" style="204" min="1" max="1"/>
    <col width="35" customWidth="1" style="204" min="2" max="2"/>
    <col width="38" customWidth="1" style="204" min="3" max="3"/>
    <col width="24.5546875" bestFit="1" customWidth="1" style="204" min="4" max="4"/>
    <col width="35" customWidth="1" style="204" min="5" max="5"/>
    <col width="14.6640625" customWidth="1" style="204" min="6" max="6"/>
    <col width="16.6640625" customWidth="1" style="204" min="7" max="7"/>
    <col width="18.5546875" customWidth="1" style="204" min="8" max="8"/>
  </cols>
  <sheetData>
    <row r="1" ht="24.6" customHeight="1" s="204">
      <c r="A1" s="217" t="inlineStr">
        <is>
          <t>CEN PARTNERSHIP -- DELIVERABLES TRACKER</t>
        </is>
      </c>
    </row>
    <row r="2">
      <c r="A2" s="216" t="inlineStr">
        <is>
          <t>Source: Partnership_Overview_and_FAQ.md (signed scope)  |  Path: Final Thesis/.../Coherence Partnership Quannex x CEN</t>
        </is>
      </c>
    </row>
    <row r="3" ht="26.4" customHeight="1" s="204">
      <c r="A3" s="218" t="inlineStr">
        <is>
          <t>PHASE PROGRESS</t>
        </is>
      </c>
      <c r="B3" s="219" t="inlineStr">
        <is>
          <t>Ph0: Kickoff</t>
        </is>
      </c>
      <c r="C3" s="219" t="inlineStr">
        <is>
          <t>Ph1: Conv. Analysis</t>
        </is>
      </c>
      <c r="D3" s="219" t="inlineStr">
        <is>
          <t>Ph2: Scoring</t>
        </is>
      </c>
      <c r="E3" s="220" t="inlineStr">
        <is>
          <t>Ph3: Validation</t>
        </is>
      </c>
      <c r="F3" s="221" t="inlineStr">
        <is>
          <t>Ph4: Final Report</t>
        </is>
      </c>
      <c r="G3" s="220" t="inlineStr">
        <is>
          <t>★ Apr 17 meeting</t>
        </is>
      </c>
      <c r="H3" s="220">
        <f>DATE(2026,4,17)-TODAY()&amp;" day(s) away"</f>
        <v/>
      </c>
    </row>
    <row r="4">
      <c r="A4" s="214" t="inlineStr">
        <is>
          <t>PROMISED DELIVERABLES (from Partnership Overview &amp; FAQ, signed Feb 2026)</t>
        </is>
      </c>
      <c r="B4" s="212" t="n"/>
      <c r="C4" s="212" t="n"/>
      <c r="D4" s="212" t="n"/>
      <c r="E4" s="212" t="n"/>
      <c r="F4" s="212" t="n"/>
      <c r="G4" s="212" t="n"/>
      <c r="H4" s="213" t="n"/>
    </row>
    <row r="5" ht="16.8" customHeight="1" s="204">
      <c r="A5" s="22" t="inlineStr">
        <is>
          <t>#</t>
        </is>
      </c>
      <c r="B5" s="22" t="inlineStr">
        <is>
          <t>Promised Deliverable</t>
        </is>
      </c>
      <c r="C5" s="22" t="inlineStr">
        <is>
          <t>Description</t>
        </is>
      </c>
      <c r="D5" s="22" t="inlineStr">
        <is>
          <t>Status</t>
        </is>
      </c>
      <c r="E5" s="22" t="inlineStr">
        <is>
          <t>Source Material</t>
        </is>
      </c>
      <c r="F5" s="22" t="inlineStr">
        <is>
          <t>Target Phase</t>
        </is>
      </c>
      <c r="G5" s="22" t="inlineStr">
        <is>
          <t>Packaged?</t>
        </is>
      </c>
      <c r="H5" s="22" t="inlineStr">
        <is>
          <t>Notes</t>
        </is>
      </c>
    </row>
    <row r="6" ht="45" customHeight="1" s="204">
      <c r="A6" s="25" t="n">
        <v>1</v>
      </c>
      <c r="B6" s="33" t="inlineStr">
        <is>
          <t>Conventional strategic analysis</t>
        </is>
      </c>
      <c r="C6" s="24" t="inlineStr">
        <is>
          <t>PESTEL, Porter's 5 Forces, McKinsey 7S, SWOT, BSC mapping</t>
        </is>
      </c>
      <c r="D6" s="26" t="inlineStr">
        <is>
          <t>DONE</t>
        </is>
      </c>
      <c r="E6" s="24" t="inlineStr">
        <is>
          <t>CEN_Conventional_Analysis_Working_Draft.md (77KB) + PESTEL notes + 7S analysis</t>
        </is>
      </c>
      <c r="F6" s="25" t="inlineStr">
        <is>
          <t>Phase 1-2</t>
        </is>
      </c>
      <c r="G6" s="28" t="inlineStr">
        <is>
          <t>NO</t>
        </is>
      </c>
      <c r="H6" s="24" t="inlineStr">
        <is>
          <t>Working draft exists in _Not yet facing/ folder. Post-interview enriched (session 18). Needs CEN-facing format.</t>
        </is>
      </c>
    </row>
    <row r="7" ht="45" customHeight="1" s="204">
      <c r="A7" s="25" t="n">
        <v>2</v>
      </c>
      <c r="B7" s="33" t="inlineStr">
        <is>
          <t>Novel coherence assessment (Spiral Dashboard)</t>
        </is>
      </c>
      <c r="C7" s="24" t="inlineStr">
        <is>
          <t>Full coherence portrait using Spiral Dashboard methodology</t>
        </is>
      </c>
      <c r="D7" s="26" t="inlineStr">
        <is>
          <t>DONE</t>
        </is>
      </c>
      <c r="E7" s="24" t="inlineStr">
        <is>
          <t>Phase 2 Evidence Package (14 docs) — Vector Diagnostics, Breath, Divergence, BSC</t>
        </is>
      </c>
      <c r="F7" s="25" t="inlineStr">
        <is>
          <t>Phase 2-3</t>
        </is>
      </c>
      <c r="G7" s="28" t="inlineStr">
        <is>
          <t>NO</t>
        </is>
      </c>
      <c r="H7" s="24" t="inlineStr">
        <is>
          <t>Core deliverable. Evidence complete, needs branded report.</t>
        </is>
      </c>
    </row>
    <row r="8" ht="45" customHeight="1" s="204">
      <c r="A8" s="25" t="n">
        <v>3</v>
      </c>
      <c r="B8" s="33" t="inlineStr">
        <is>
          <t>3D visualization of CEN's organizational DNA</t>
        </is>
      </c>
      <c r="C8" s="24" t="inlineStr">
        <is>
          <t>Interactive dodecahedron reflecting CEN's patterns</t>
        </is>
      </c>
      <c r="D8" s="28" t="inlineStr">
        <is>
          <t>REQUIRES CEN TEMPLATE</t>
        </is>
      </c>
      <c r="E8" s="24" t="inlineStr">
        <is>
          <t>POC codebase + CEN raw scores (normalized arrays ready in RawScores_Frozen.md)</t>
        </is>
      </c>
      <c r="F8" s="25" t="inlineStr">
        <is>
          <t>Phase 3</t>
        </is>
      </c>
      <c r="G8" s="25" t="inlineStr">
        <is>
          <t>NO</t>
        </is>
      </c>
      <c r="H8" s="24" t="inlineStr">
        <is>
          <t>Need to create companies/cen/ template from Phase 2 scores. Then POC renders it live.</t>
        </is>
      </c>
    </row>
    <row r="9" ht="45" customHeight="1" s="204">
      <c r="A9" s="25" t="n">
        <v>4</v>
      </c>
      <c r="B9" s="33" t="inlineStr">
        <is>
          <t>Shadow analysis</t>
        </is>
      </c>
      <c r="C9" s="24" t="inlineStr">
        <is>
          <t>Hidden tensions, blind spots, dormant strengths</t>
        </is>
      </c>
      <c r="D9" s="30" t="inlineStr">
        <is>
          <t>PARTIAL</t>
        </is>
      </c>
      <c r="E9" s="24" t="inlineStr">
        <is>
          <t>CEN_Phase2_C3_DivergenceNarratives.md covers divergence. Full shadow analysis needs POC run.</t>
        </is>
      </c>
      <c r="F9" s="25" t="inlineStr">
        <is>
          <t>Phase 3</t>
        </is>
      </c>
      <c r="G9" s="28" t="inlineStr">
        <is>
          <t>NO</t>
        </is>
      </c>
      <c r="H9" s="24" t="inlineStr">
        <is>
          <t>Divergence narratives done. Full shadow detection requires CEN template in POC engine.</t>
        </is>
      </c>
    </row>
    <row r="10" ht="30" customHeight="1" s="204">
      <c r="A10" s="25" t="n">
        <v>5</v>
      </c>
      <c r="B10" s="33" t="inlineStr">
        <is>
          <t>Breath analysis</t>
        </is>
      </c>
      <c r="C10" s="24" t="inlineStr">
        <is>
          <t>6 polarity axes balance assessment</t>
        </is>
      </c>
      <c r="D10" s="26" t="inlineStr">
        <is>
          <t>DONE</t>
        </is>
      </c>
      <c r="E10" s="24" t="inlineStr">
        <is>
          <t>CEN_Phase2_C2_BreathAxes.md (21KB) + raw axis scores frozen</t>
        </is>
      </c>
      <c r="F10" s="25" t="inlineStr">
        <is>
          <t>Phase 2-3</t>
        </is>
      </c>
      <c r="G10" s="28" t="inlineStr">
        <is>
          <t>NO</t>
        </is>
      </c>
      <c r="H10" s="24" t="inlineStr">
        <is>
          <t>Complete with 4-vector data. Needs formatting.</t>
        </is>
      </c>
    </row>
    <row r="11" ht="30" customHeight="1" s="204">
      <c r="A11" s="25" t="n">
        <v>6</v>
      </c>
      <c r="B11" s="33" t="inlineStr">
        <is>
          <t>Debrief session</t>
        </is>
      </c>
      <c r="C11" s="24" t="inlineStr">
        <is>
          <t>Discussing findings, implications, actionable next steps</t>
        </is>
      </c>
      <c r="D11" s="30" t="inlineStr">
        <is>
          <t>UPCOMING</t>
        </is>
      </c>
      <c r="E11" s="24" t="inlineStr">
        <is>
          <t>Phase 3 validation meeting materials (to be prepared)</t>
        </is>
      </c>
      <c r="F11" s="25" t="inlineStr">
        <is>
          <t>Phase 3</t>
        </is>
      </c>
      <c r="G11" s="25" t="inlineStr">
        <is>
          <t>NO</t>
        </is>
      </c>
      <c r="H11" s="24" t="inlineStr">
        <is>
          <t>~April 17. Presentation + CEN-facing summary needed.</t>
        </is>
      </c>
    </row>
    <row r="12" ht="75" customHeight="1" s="204">
      <c r="A12" s="25" t="n">
        <v>7</v>
      </c>
      <c r="B12" s="33" t="inlineStr">
        <is>
          <t>Proposed KPIs with methodology notes</t>
        </is>
      </c>
      <c r="C12" s="24" t="inlineStr">
        <is>
          <t>Tailored KPI suggestions for CEN's context</t>
        </is>
      </c>
      <c r="D12" s="31" t="inlineStr">
        <is>
          <t>IN PROGRESS</t>
        </is>
      </c>
      <c r="E12" s="24" t="inlineStr">
        <is>
          <t>Will derive from coherence portrait + face mapping + breath analysis</t>
        </is>
      </c>
      <c r="F12" s="25" t="inlineStr">
        <is>
          <t>Phase 3-4</t>
        </is>
      </c>
      <c r="G12" s="25" t="inlineStr">
        <is>
          <t>NO</t>
        </is>
      </c>
      <c r="H12" s="24" t="inlineStr">
        <is>
          <t>Promised deliverable — not yet created. Should emerge from the coherence assessment.
2026-04-17: Phase 4 commitment artifact delivered (methodology + 5 worked examples). Full Songbook target May 2026.</t>
        </is>
      </c>
    </row>
    <row r="13" ht="30" customHeight="1" s="204">
      <c r="A13" s="25" t="n">
        <v>8</v>
      </c>
      <c r="B13" s="33" t="inlineStr">
        <is>
          <t>Thesis acknowledgment</t>
        </is>
      </c>
      <c r="C13" s="24" t="inlineStr">
        <is>
          <t>Named acknowledgment in published thesis</t>
        </is>
      </c>
      <c r="D13" s="31" t="inlineStr">
        <is>
          <t>NOT STARTED</t>
        </is>
      </c>
      <c r="E13" s="24" t="inlineStr">
        <is>
          <t>Will be written in thesis Chapter 1 or Acknowledgments section</t>
        </is>
      </c>
      <c r="F13" s="25" t="inlineStr">
        <is>
          <t>Phase 4</t>
        </is>
      </c>
      <c r="G13" s="25" t="inlineStr">
        <is>
          <t>NO</t>
        </is>
      </c>
      <c r="H13" s="24" t="inlineStr">
        <is>
          <t>Write during final thesis assembly (May).</t>
        </is>
      </c>
    </row>
    <row r="15">
      <c r="A15" s="214" t="inlineStr">
        <is>
          <t>PHASE OVERVIEW</t>
        </is>
      </c>
      <c r="B15" s="212" t="n"/>
      <c r="C15" s="212" t="n"/>
      <c r="D15" s="212" t="n"/>
      <c r="E15" s="212" t="n"/>
      <c r="F15" s="212" t="n"/>
      <c r="G15" s="212" t="n"/>
      <c r="H15" s="213" t="n"/>
    </row>
    <row r="16" ht="30" customHeight="1" s="204">
      <c r="A16" s="32" t="inlineStr">
        <is>
          <t>Phase</t>
        </is>
      </c>
      <c r="B16" s="32" t="inlineStr">
        <is>
          <t>Activity</t>
        </is>
      </c>
      <c r="C16" s="32" t="inlineStr">
        <is>
          <t>Date Window</t>
        </is>
      </c>
      <c r="D16" s="32" t="inlineStr">
        <is>
          <t>Status</t>
        </is>
      </c>
      <c r="E16" s="32" t="inlineStr">
        <is>
          <t>Work Done?</t>
        </is>
      </c>
      <c r="F16" s="32" t="inlineStr">
        <is>
          <t>Packaged?</t>
        </is>
      </c>
      <c r="G16" s="32" t="inlineStr">
        <is>
          <t>Delivery Folder</t>
        </is>
      </c>
      <c r="H16" s="32" t="inlineStr">
        <is>
          <t>Notes</t>
        </is>
      </c>
    </row>
    <row r="17" ht="30" customHeight="1" s="204">
      <c r="A17" s="23" t="inlineStr">
        <is>
          <t>Phase 0</t>
        </is>
      </c>
      <c r="B17" s="24" t="inlineStr">
        <is>
          <t>Kickoff &amp; orientation</t>
        </is>
      </c>
      <c r="C17" s="25" t="inlineStr">
        <is>
          <t>Late Feb</t>
        </is>
      </c>
      <c r="D17" s="26" t="inlineStr">
        <is>
          <t>DONE</t>
        </is>
      </c>
      <c r="E17" s="27" t="inlineStr">
        <is>
          <t>YES</t>
        </is>
      </c>
      <c r="F17" s="25" t="inlineStr">
        <is>
          <t>N/A</t>
        </is>
      </c>
      <c r="G17" s="211" t="inlineStr">
        <is>
          <t>N/A (meeting only)</t>
        </is>
      </c>
      <c r="H17" s="24" t="inlineStr">
        <is>
          <t>Feb 13 meeting. Signed NDA + Partnership. 3D demo shown.</t>
        </is>
      </c>
    </row>
    <row r="18" ht="52.8" customHeight="1" s="204">
      <c r="A18" s="23" t="inlineStr">
        <is>
          <t>Phase 1</t>
        </is>
      </c>
      <c r="B18" s="24" t="inlineStr">
        <is>
          <t>Conventional analysis + interview</t>
        </is>
      </c>
      <c r="C18" s="25" t="inlineStr">
        <is>
          <t>Mar 9-31</t>
        </is>
      </c>
      <c r="D18" s="26" t="inlineStr">
        <is>
          <t>DONE</t>
        </is>
      </c>
      <c r="E18" s="27" t="inlineStr">
        <is>
          <t>YES</t>
        </is>
      </c>
      <c r="F18" s="28" t="inlineStr">
        <is>
          <t>NO</t>
        </is>
      </c>
      <c r="G18" s="211" t="inlineStr">
        <is>
          <t>Deliverables from Quannex/Phase 1</t>
        </is>
      </c>
      <c r="H18" s="24" t="inlineStr">
        <is>
          <t>Interview Mar 20, synthesis 57KB. FOLDER EMPTY.</t>
        </is>
      </c>
    </row>
    <row r="19" ht="52.8" customHeight="1" s="204">
      <c r="A19" s="23" t="inlineStr">
        <is>
          <t>Phase 2</t>
        </is>
      </c>
      <c r="B19" s="24" t="inlineStr">
        <is>
          <t>Scoring + BSC comparison + evidence</t>
        </is>
      </c>
      <c r="C19" s="25" t="inlineStr">
        <is>
          <t>Apr 1-14</t>
        </is>
      </c>
      <c r="D19" s="26" t="inlineStr">
        <is>
          <t>DONE</t>
        </is>
      </c>
      <c r="E19" s="27" t="inlineStr">
        <is>
          <t>YES</t>
        </is>
      </c>
      <c r="F19" s="28" t="inlineStr">
        <is>
          <t>NO</t>
        </is>
      </c>
      <c r="G19" s="211" t="inlineStr">
        <is>
          <t>Deliverables from Quannex/Phase 2</t>
        </is>
      </c>
      <c r="H19" s="24" t="inlineStr">
        <is>
          <t>Both questionnaires Apr 7. 14-doc evidence package. BSC 5/6. FOLDER EMPTY.</t>
        </is>
      </c>
    </row>
    <row r="20" ht="52.8" customHeight="1" s="204">
      <c r="A20" s="23" t="inlineStr">
        <is>
          <t>Phase 3</t>
        </is>
      </c>
      <c r="B20" s="24" t="inlineStr">
        <is>
          <t>Results presentation + validation + debrief</t>
        </is>
      </c>
      <c r="C20" s="25" t="inlineStr">
        <is>
          <t>Apr 15-30</t>
        </is>
      </c>
      <c r="D20" s="36" t="inlineStr">
        <is>
          <t>UPCOMING</t>
        </is>
      </c>
      <c r="E20" s="37" t="inlineStr">
        <is>
          <t>PARTIAL</t>
        </is>
      </c>
      <c r="F20" s="28" t="inlineStr">
        <is>
          <t>NO</t>
        </is>
      </c>
      <c r="G20" s="211" t="inlineStr">
        <is>
          <t>Deliverables from Quannex/Phase 3</t>
        </is>
      </c>
      <c r="H20" s="24" t="inlineStr">
        <is>
          <t>~April 17. Need: presentation, CEN summary, 3D demo (needs CEN template).</t>
        </is>
      </c>
    </row>
    <row r="21" ht="52.8" customHeight="1" s="204">
      <c r="A21" s="23" t="inlineStr">
        <is>
          <t>Phase 4</t>
        </is>
      </c>
      <c r="B21" s="24" t="inlineStr">
        <is>
          <t>Final report + KPIs + acknowledgment</t>
        </is>
      </c>
      <c r="C21" s="25" t="inlineStr">
        <is>
          <t>May</t>
        </is>
      </c>
      <c r="D21" s="38" t="inlineStr">
        <is>
          <t>NOT STARTED</t>
        </is>
      </c>
      <c r="E21" s="31" t="inlineStr">
        <is>
          <t>NO</t>
        </is>
      </c>
      <c r="F21" s="25" t="inlineStr">
        <is>
          <t>NO</t>
        </is>
      </c>
      <c r="G21" s="211" t="inlineStr">
        <is>
          <t>Deliverables from Quannex/Phase 4</t>
        </is>
      </c>
      <c r="H21" s="24" t="inlineStr">
        <is>
          <t>Depends on Phase 3 validation + thesis chapters.</t>
        </is>
      </c>
    </row>
    <row r="23">
      <c r="A23" s="214" t="inlineStr">
        <is>
          <t>PACKAGING ACTIONS — What needs to happen before Phase 3 (~April 17)</t>
        </is>
      </c>
      <c r="B23" s="212" t="n"/>
      <c r="C23" s="212" t="n"/>
      <c r="D23" s="212" t="n"/>
      <c r="E23" s="212" t="n"/>
      <c r="F23" s="212" t="n"/>
      <c r="G23" s="212" t="n"/>
      <c r="H23" s="213" t="n"/>
    </row>
    <row r="24" ht="15" customHeight="1" s="204">
      <c r="A24" s="32" t="inlineStr">
        <is>
          <t>Priority</t>
        </is>
      </c>
      <c r="B24" s="32" t="inlineStr">
        <is>
          <t>Action</t>
        </is>
      </c>
      <c r="C24" s="32" t="inlineStr">
        <is>
          <t>Source</t>
        </is>
      </c>
      <c r="D24" s="32" t="inlineStr">
        <is>
          <t>Output Format</t>
        </is>
      </c>
      <c r="E24" s="32" t="inlineStr">
        <is>
          <t>Destination</t>
        </is>
      </c>
      <c r="F24" s="32" t="inlineStr">
        <is>
          <t>Status</t>
        </is>
      </c>
      <c r="G24" s="32" t="inlineStr">
        <is>
          <t>Effort</t>
        </is>
      </c>
      <c r="H24" s="32" t="inlineStr">
        <is>
          <t>Notes</t>
        </is>
      </c>
    </row>
    <row r="25" ht="75" customHeight="1" s="204">
      <c r="A25" s="28" t="inlineStr">
        <is>
          <t>CRITICAL</t>
        </is>
      </c>
      <c r="B25" s="33" t="inlineStr">
        <is>
          <t>Create CEN company template for POC</t>
        </is>
      </c>
      <c r="C25" s="24" t="inlineStr">
        <is>
          <t>RawScores_Frozen.md (normalized arrays ready)</t>
        </is>
      </c>
      <c r="D25" s="24" t="inlineStr">
        <is>
          <t>companies/cen/ (company.json + kpis.csv + mapping-context.json)</t>
        </is>
      </c>
      <c r="E25" s="211" t="inlineStr">
        <is>
          <t>POC/companies/cen/</t>
        </is>
      </c>
      <c r="F25" s="25" t="inlineStr">
        <is>
          <t>NOT DONE</t>
        </is>
      </c>
      <c r="G25" s="25" t="inlineStr">
        <is>
          <t>~2 hours</t>
        </is>
      </c>
      <c r="H25" s="24" t="inlineStr">
        <is>
          <t>Unlocks: 3D visualization (#3), shadow analysis (#4), live demo. D_norm + E_norm available. Use average or researcher-calibrated vector.</t>
        </is>
      </c>
    </row>
    <row r="26" ht="30" customHeight="1" s="204">
      <c r="A26" s="28" t="inlineStr">
        <is>
          <t>CRITICAL</t>
        </is>
      </c>
      <c r="B26" s="33" t="inlineStr">
        <is>
          <t>Create Phase 3 validation presentation</t>
        </is>
      </c>
      <c r="C26" s="24" t="inlineStr">
        <is>
          <t>Phase 2 evidence package (C1-C4 docs)</t>
        </is>
      </c>
      <c r="D26" s="24" t="inlineStr">
        <is>
          <t>PPTX (Quannex branded)</t>
        </is>
      </c>
      <c r="E26" s="211" t="inlineStr">
        <is>
          <t>Deliverables/Phase 3/</t>
        </is>
      </c>
      <c r="F26" s="25" t="inlineStr">
        <is>
          <t>NOT DONE</t>
        </is>
      </c>
      <c r="G26" s="25" t="inlineStr">
        <is>
          <t>~3 hours</t>
        </is>
      </c>
      <c r="H26" s="24" t="inlineStr">
        <is>
          <t>The centerpiece of the ~April 17 meeting. Coherence portrait + key findings.</t>
        </is>
      </c>
    </row>
    <row r="27" ht="45" customHeight="1" s="204">
      <c r="A27" s="28" t="inlineStr">
        <is>
          <t>CRITICAL</t>
        </is>
      </c>
      <c r="B27" s="33" t="inlineStr">
        <is>
          <t>Create CEN-facing coherence summary</t>
        </is>
      </c>
      <c r="C27" s="24" t="inlineStr">
        <is>
          <t>C1 Vector Diagnostics + C2 Breath + C3 Divergence</t>
        </is>
      </c>
      <c r="D27" s="24" t="inlineStr">
        <is>
          <t>PDF (Quannex branded, 2-4 pages)</t>
        </is>
      </c>
      <c r="E27" s="211" t="inlineStr">
        <is>
          <t>Deliverables/Phase 3/</t>
        </is>
      </c>
      <c r="F27" s="25" t="inlineStr">
        <is>
          <t>NOT DONE</t>
        </is>
      </c>
      <c r="G27" s="25" t="inlineStr">
        <is>
          <t>~2 hours</t>
        </is>
      </c>
      <c r="H27" s="24" t="inlineStr">
        <is>
          <t>Executive summary leave-behind document for D and E.</t>
        </is>
      </c>
    </row>
    <row r="28" ht="30" customHeight="1" s="204">
      <c r="A28" s="30" t="inlineStr">
        <is>
          <t>HIGH</t>
        </is>
      </c>
      <c r="B28" s="33" t="inlineStr">
        <is>
          <t>Package Phase 1 deliverables</t>
        </is>
      </c>
      <c r="C28" s="24" t="inlineStr">
        <is>
          <t>Interview synthesis (57KB) + face mapping (33KB)</t>
        </is>
      </c>
      <c r="D28" s="24" t="inlineStr">
        <is>
          <t>PDF (Quannex branded)</t>
        </is>
      </c>
      <c r="E28" s="211" t="inlineStr">
        <is>
          <t>Deliverables/Phase 1/</t>
        </is>
      </c>
      <c r="F28" s="25" t="inlineStr">
        <is>
          <t>NOT DONE</t>
        </is>
      </c>
      <c r="G28" s="25" t="inlineStr">
        <is>
          <t>~1 hour</t>
        </is>
      </c>
      <c r="H28" s="24" t="inlineStr">
        <is>
          <t>Overdue (was due late March). Format existing MDs to branded PDFs.</t>
        </is>
      </c>
    </row>
    <row r="29" ht="30" customHeight="1" s="204">
      <c r="A29" s="30" t="inlineStr">
        <is>
          <t>HIGH</t>
        </is>
      </c>
      <c r="B29" s="33" t="inlineStr">
        <is>
          <t>Package Phase 2 deliverables</t>
        </is>
      </c>
      <c r="C29" s="24" t="inlineStr">
        <is>
          <t>Evidence package C1-C4 + BSC comparison + breath analysis</t>
        </is>
      </c>
      <c r="D29" s="24" t="inlineStr">
        <is>
          <t>PDF (Quannex branded)</t>
        </is>
      </c>
      <c r="E29" s="211" t="inlineStr">
        <is>
          <t>Deliverables/Phase 2/</t>
        </is>
      </c>
      <c r="F29" s="25" t="inlineStr">
        <is>
          <t>NOT DONE</t>
        </is>
      </c>
      <c r="G29" s="25" t="inlineStr">
        <is>
          <t>~2 hours</t>
        </is>
      </c>
      <c r="H29" s="24" t="inlineStr">
        <is>
          <t>Overdue (was due early April). Format existing MDs to branded PDFs.</t>
        </is>
      </c>
    </row>
    <row r="30" ht="30" customHeight="1" s="204">
      <c r="A30" s="30" t="inlineStr">
        <is>
          <t>HIGH</t>
        </is>
      </c>
      <c r="B30" s="33" t="inlineStr">
        <is>
          <t>Package conventional analysis</t>
        </is>
      </c>
      <c r="C30" s="24" t="inlineStr">
        <is>
          <t>CEN_Conventional_Analysis_Working_Draft.md (77KB)</t>
        </is>
      </c>
      <c r="D30" s="24" t="inlineStr">
        <is>
          <t>PDF (Quannex branded)</t>
        </is>
      </c>
      <c r="E30" s="211" t="inlineStr">
        <is>
          <t>Deliverables/Phase 1/ or Phase 2/</t>
        </is>
      </c>
      <c r="F30" s="25" t="inlineStr">
        <is>
          <t>NOT DONE</t>
        </is>
      </c>
      <c r="G30" s="25" t="inlineStr">
        <is>
          <t>~1 hour</t>
        </is>
      </c>
      <c r="H30" s="24" t="inlineStr">
        <is>
          <t>Promised deliverable #1. PESTEL + 7S + SWOT + BSC. Post-interview enriched.</t>
        </is>
      </c>
    </row>
    <row r="31" ht="30" customHeight="1" s="204">
      <c r="A31" s="31" t="inlineStr">
        <is>
          <t>MEDIUM</t>
        </is>
      </c>
      <c r="B31" s="33" t="inlineStr">
        <is>
          <t>Prepare KPI proposals</t>
        </is>
      </c>
      <c r="C31" s="24" t="inlineStr">
        <is>
          <t>Derive from coherence portrait + face mapping</t>
        </is>
      </c>
      <c r="D31" s="24" t="inlineStr">
        <is>
          <t>PDF or section in final report</t>
        </is>
      </c>
      <c r="E31" s="211" t="inlineStr">
        <is>
          <t>Deliverables/Phase 3/ or Phase 4/</t>
        </is>
      </c>
      <c r="F31" s="25" t="inlineStr">
        <is>
          <t>NOT STARTED</t>
        </is>
      </c>
      <c r="G31" s="25" t="inlineStr">
        <is>
          <t>~2 hours</t>
        </is>
      </c>
      <c r="H31" s="24" t="inlineStr">
        <is>
          <t>Promised deliverable #7. Can be preliminary for Phase 3, finalized Phase 4.</t>
        </is>
      </c>
    </row>
    <row r="32" ht="45" customHeight="1" s="204">
      <c r="A32" s="31" t="inlineStr">
        <is>
          <t>LOW</t>
        </is>
      </c>
      <c r="B32" s="33" t="inlineStr">
        <is>
          <t>Run CEN data through POC engine</t>
        </is>
      </c>
      <c r="C32" s="24" t="inlineStr">
        <is>
          <t>CEN company template (after creation)</t>
        </is>
      </c>
      <c r="D32" s="24" t="inlineStr">
        <is>
          <t>Screenshots + engine output for presentation</t>
        </is>
      </c>
      <c r="E32" s="211" t="inlineStr">
        <is>
          <t>Phase 3 presentation</t>
        </is>
      </c>
      <c r="F32" s="25" t="inlineStr">
        <is>
          <t>BLOCKED</t>
        </is>
      </c>
      <c r="G32" s="25" t="inlineStr">
        <is>
          <t>~30 min</t>
        </is>
      </c>
      <c r="H32" s="24" t="inlineStr">
        <is>
          <t>Blocked on CEN template creation. Once created, engine runs automatically.</t>
        </is>
      </c>
    </row>
    <row r="34">
      <c r="A34" s="214" t="inlineStr">
        <is>
          <t>CEN RAW SCORES (frozen Apr 8 — from RawScores_Frozen.md)</t>
        </is>
      </c>
      <c r="B34" s="212" t="n"/>
      <c r="C34" s="212" t="n"/>
      <c r="D34" s="212" t="n"/>
      <c r="E34" s="212" t="n"/>
      <c r="F34" s="212" t="n"/>
      <c r="G34" s="212" t="n"/>
      <c r="H34" s="213" t="n"/>
    </row>
    <row r="35" ht="15" customHeight="1" s="204">
      <c r="A35" s="32" t="inlineStr">
        <is>
          <t>Face</t>
        </is>
      </c>
      <c r="B35" s="32" t="inlineStr">
        <is>
          <t>Domain</t>
        </is>
      </c>
      <c r="C35" s="32" t="inlineStr">
        <is>
          <t>D (Dominique)</t>
        </is>
      </c>
      <c r="D35" s="32" t="inlineStr">
        <is>
          <t>E (Esther)</t>
        </is>
      </c>
      <c r="E35" s="32" t="inlineStr">
        <is>
          <t>V_res_post</t>
        </is>
      </c>
      <c r="F35" s="32" t="inlineStr">
        <is>
          <t>|D-E|</t>
        </is>
      </c>
      <c r="G35" s="32" t="inlineStr">
        <is>
          <t>Divergence</t>
        </is>
      </c>
      <c r="H35" s="32" t="inlineStr">
        <is>
          <t>Notes</t>
        </is>
      </c>
    </row>
    <row r="36" ht="15" customHeight="1" s="204">
      <c r="A36" s="23" t="inlineStr">
        <is>
          <t>F1</t>
        </is>
      </c>
      <c r="B36" s="24" t="inlineStr">
        <is>
          <t>Financial Capital</t>
        </is>
      </c>
      <c r="C36" s="25" t="n">
        <v>6</v>
      </c>
      <c r="D36" s="25" t="n">
        <v>1</v>
      </c>
      <c r="E36" s="25" t="n">
        <v>2</v>
      </c>
      <c r="F36" s="39" t="n">
        <v>5</v>
      </c>
      <c r="G36" s="35" t="inlineStr">
        <is>
          <t>HIGH</t>
        </is>
      </c>
      <c r="H36" s="24" t="inlineStr">
        <is>
          <t>Biggest co-founder gap after F8</t>
        </is>
      </c>
    </row>
    <row r="37" ht="15" customHeight="1" s="204">
      <c r="A37" s="23" t="inlineStr">
        <is>
          <t>F2</t>
        </is>
      </c>
      <c r="B37" s="24" t="inlineStr">
        <is>
          <t>Intellectual Capital</t>
        </is>
      </c>
      <c r="C37" s="25" t="n">
        <v>8</v>
      </c>
      <c r="D37" s="25" t="n">
        <v>7</v>
      </c>
      <c r="E37" s="25" t="n">
        <v>5</v>
      </c>
      <c r="F37" s="27" t="n">
        <v>1</v>
      </c>
      <c r="G37" s="25" t="inlineStr">
        <is>
          <t>LOW</t>
        </is>
      </c>
      <c r="H37" s="24" t="n"/>
    </row>
    <row r="38" ht="15" customHeight="1" s="204">
      <c r="A38" s="23" t="inlineStr">
        <is>
          <t>F3</t>
        </is>
      </c>
      <c r="B38" s="24" t="inlineStr">
        <is>
          <t>Human Capital</t>
        </is>
      </c>
      <c r="C38" s="25" t="n">
        <v>7</v>
      </c>
      <c r="D38" s="25" t="n">
        <v>3</v>
      </c>
      <c r="E38" s="25" t="n">
        <v>4</v>
      </c>
      <c r="F38" s="37" t="n">
        <v>4</v>
      </c>
      <c r="G38" s="35" t="inlineStr">
        <is>
          <t>HIGH</t>
        </is>
      </c>
      <c r="H38" s="24" t="n"/>
    </row>
    <row r="39" ht="15" customHeight="1" s="204">
      <c r="A39" s="23" t="inlineStr">
        <is>
          <t>F4</t>
        </is>
      </c>
      <c r="B39" s="24" t="inlineStr">
        <is>
          <t>Structural Capital</t>
        </is>
      </c>
      <c r="C39" s="25" t="n">
        <v>7</v>
      </c>
      <c r="D39" s="25" t="n">
        <v>2</v>
      </c>
      <c r="E39" s="25" t="n">
        <v>2</v>
      </c>
      <c r="F39" s="39" t="n">
        <v>5</v>
      </c>
      <c r="G39" s="35" t="inlineStr">
        <is>
          <t>HIGH</t>
        </is>
      </c>
      <c r="H39" s="24" t="inlineStr">
        <is>
          <t>2-vs-1 pattern: E=V_res=2, D=7</t>
        </is>
      </c>
    </row>
    <row r="40" ht="15" customHeight="1" s="204">
      <c r="A40" s="23" t="inlineStr">
        <is>
          <t>F5</t>
        </is>
      </c>
      <c r="B40" s="24" t="inlineStr">
        <is>
          <t>Market Resonance</t>
        </is>
      </c>
      <c r="C40" s="25" t="n">
        <v>3</v>
      </c>
      <c r="D40" s="25" t="n">
        <v>1</v>
      </c>
      <c r="E40" s="25" t="n">
        <v>2</v>
      </c>
      <c r="F40" s="27" t="n">
        <v>2</v>
      </c>
      <c r="G40" s="25" t="inlineStr">
        <is>
          <t>MEDIUM</t>
        </is>
      </c>
      <c r="H40" s="24" t="inlineStr">
        <is>
          <t>Both low</t>
        </is>
      </c>
    </row>
    <row r="41" ht="15" customHeight="1" s="204">
      <c r="A41" s="23" t="inlineStr">
        <is>
          <t>F6</t>
        </is>
      </c>
      <c r="B41" s="24" t="inlineStr">
        <is>
          <t>Community</t>
        </is>
      </c>
      <c r="C41" s="25" t="n">
        <v>3</v>
      </c>
      <c r="D41" s="25" t="n">
        <v>4</v>
      </c>
      <c r="E41" s="25" t="n">
        <v>4</v>
      </c>
      <c r="F41" s="27" t="n">
        <v>1</v>
      </c>
      <c r="G41" s="25" t="inlineStr">
        <is>
          <t>LOW</t>
        </is>
      </c>
      <c r="H41" s="24" t="n"/>
    </row>
    <row r="42" ht="15" customHeight="1" s="204">
      <c r="A42" s="23" t="inlineStr">
        <is>
          <t>F7</t>
        </is>
      </c>
      <c r="B42" s="24" t="inlineStr">
        <is>
          <t>Brand &amp; Reputation</t>
        </is>
      </c>
      <c r="C42" s="25" t="n">
        <v>7</v>
      </c>
      <c r="D42" s="25" t="n">
        <v>3</v>
      </c>
      <c r="E42" s="25" t="n">
        <v>3</v>
      </c>
      <c r="F42" s="37" t="n">
        <v>4</v>
      </c>
      <c r="G42" s="35" t="inlineStr">
        <is>
          <t>HIGH</t>
        </is>
      </c>
      <c r="H42" s="24" t="inlineStr">
        <is>
          <t>2-vs-1 pattern: E=V_res=3, D=7</t>
        </is>
      </c>
    </row>
    <row r="43" ht="15" customHeight="1" s="204">
      <c r="A43" s="23" t="inlineStr">
        <is>
          <t>F8</t>
        </is>
      </c>
      <c r="B43" s="24" t="inlineStr">
        <is>
          <t>Core Operations</t>
        </is>
      </c>
      <c r="C43" s="25" t="n">
        <v>7</v>
      </c>
      <c r="D43" s="25" t="n">
        <v>1</v>
      </c>
      <c r="E43" s="25" t="n">
        <v>2</v>
      </c>
      <c r="F43" s="39" t="n">
        <v>6</v>
      </c>
      <c r="G43" s="34" t="inlineStr">
        <is>
          <t>CRITICAL</t>
        </is>
      </c>
      <c r="H43" s="24" t="inlineStr">
        <is>
          <t>Largest gap. 2-vs-1 pattern</t>
        </is>
      </c>
    </row>
    <row r="44" ht="15" customHeight="1" s="204">
      <c r="A44" s="23" t="inlineStr">
        <is>
          <t>F9</t>
        </is>
      </c>
      <c r="B44" s="24" t="inlineStr">
        <is>
          <t>Regenerative Flow</t>
        </is>
      </c>
      <c r="C44" s="25" t="n">
        <v>6</v>
      </c>
      <c r="D44" s="25" t="n">
        <v>5</v>
      </c>
      <c r="E44" s="25" t="n">
        <v>8</v>
      </c>
      <c r="F44" s="27" t="n">
        <v>1</v>
      </c>
      <c r="G44" s="25" t="inlineStr">
        <is>
          <t>LOW</t>
        </is>
      </c>
      <c r="H44" s="24" t="inlineStr">
        <is>
          <t>Researcher sees this highest</t>
        </is>
      </c>
    </row>
    <row r="45" ht="15" customHeight="1" s="204">
      <c r="A45" s="23" t="inlineStr">
        <is>
          <t>F10</t>
        </is>
      </c>
      <c r="B45" s="24" t="inlineStr">
        <is>
          <t>Foundational Values</t>
        </is>
      </c>
      <c r="C45" s="25" t="n">
        <v>10</v>
      </c>
      <c r="D45" s="25" t="n">
        <v>9</v>
      </c>
      <c r="E45" s="25" t="n">
        <v>8</v>
      </c>
      <c r="F45" s="27" t="n">
        <v>1</v>
      </c>
      <c r="G45" s="25" t="inlineStr">
        <is>
          <t>LOW</t>
        </is>
      </c>
      <c r="H45" s="24" t="inlineStr">
        <is>
          <t>Consensus strength</t>
        </is>
      </c>
    </row>
    <row r="46" ht="15" customHeight="1" s="204">
      <c r="A46" s="23" t="inlineStr">
        <is>
          <t>F11</t>
        </is>
      </c>
      <c r="B46" s="24" t="inlineStr">
        <is>
          <t>Funding Pipeline</t>
        </is>
      </c>
      <c r="C46" s="25" t="n">
        <v>6</v>
      </c>
      <c r="D46" s="25" t="n">
        <v>4</v>
      </c>
      <c r="E46" s="25" t="n">
        <v>2</v>
      </c>
      <c r="F46" s="27" t="n">
        <v>2</v>
      </c>
      <c r="G46" s="25" t="inlineStr">
        <is>
          <t>MEDIUM</t>
        </is>
      </c>
      <c r="H46" s="24" t="n"/>
    </row>
    <row r="47" ht="15" customHeight="1" s="204">
      <c r="A47" s="23" t="inlineStr">
        <is>
          <t>F12</t>
        </is>
      </c>
      <c r="B47" s="24" t="inlineStr">
        <is>
          <t>Risk &amp; Resilience</t>
        </is>
      </c>
      <c r="C47" s="25" t="n">
        <v>3</v>
      </c>
      <c r="D47" s="25" t="n">
        <v>1</v>
      </c>
      <c r="E47" s="25" t="n">
        <v>3</v>
      </c>
      <c r="F47" s="27" t="n">
        <v>2</v>
      </c>
      <c r="G47" s="25" t="inlineStr">
        <is>
          <t>MEDIUM</t>
        </is>
      </c>
      <c r="H47" s="24" t="inlineStr">
        <is>
          <t>Both co-founders see weakness</t>
        </is>
      </c>
    </row>
    <row r="48" ht="15" customHeight="1" s="204">
      <c r="A48" s="33" t="n"/>
      <c r="B48" s="33" t="inlineStr">
        <is>
          <t>Overall Coherence</t>
        </is>
      </c>
      <c r="C48" s="23" t="n">
        <v>7</v>
      </c>
      <c r="D48" s="23" t="n">
        <v>3</v>
      </c>
      <c r="E48" s="25" t="n"/>
      <c r="F48" s="40" t="n">
        <v>4</v>
      </c>
      <c r="G48" s="35" t="inlineStr">
        <is>
          <t>HIGH</t>
        </is>
      </c>
      <c r="H48" s="24" t="inlineStr">
        <is>
          <t>Macro gap matches micro face-level gap</t>
        </is>
      </c>
    </row>
    <row r="50">
      <c r="A50" s="211" t="inlineStr">
        <is>
          <t>POC-READY NORMALIZED ARRAYS (from RawScores_Frozen.md — paste into companies/cen/kpis.csv)</t>
        </is>
      </c>
      <c r="B50" s="212" t="n"/>
      <c r="C50" s="212" t="n"/>
      <c r="D50" s="212" t="n"/>
      <c r="E50" s="212" t="n"/>
      <c r="F50" s="212" t="n"/>
      <c r="G50" s="212" t="n"/>
      <c r="H50" s="213" t="n"/>
    </row>
    <row r="51">
      <c r="A51" s="211" t="inlineStr">
        <is>
          <t>D_norm = [0.6, 0.8, 0.7, 0.7, 0.3, 0.3, 0.7, 0.7, 0.6, 1.0, 0.6, 0.3]</t>
        </is>
      </c>
      <c r="B51" s="212" t="n"/>
      <c r="C51" s="212" t="n"/>
      <c r="D51" s="212" t="n"/>
      <c r="E51" s="212" t="n"/>
      <c r="F51" s="212" t="n"/>
      <c r="G51" s="212" t="n"/>
      <c r="H51" s="213" t="n"/>
    </row>
    <row r="52">
      <c r="A52" s="211" t="inlineStr">
        <is>
          <t>E_norm = [0.1, 0.7, 0.3, 0.2, 0.1, 0.4, 0.3, 0.1, 0.5, 0.9, 0.4, 0.1]</t>
        </is>
      </c>
      <c r="B52" s="212" t="n"/>
      <c r="C52" s="212" t="n"/>
      <c r="D52" s="212" t="n"/>
      <c r="E52" s="212" t="n"/>
      <c r="F52" s="212" t="n"/>
      <c r="G52" s="212" t="n"/>
      <c r="H52" s="213" t="n"/>
    </row>
    <row r="53">
      <c r="A53" s="211" t="inlineStr">
        <is>
          <t>V_res_post_norm = [0.2, 0.5, 0.4, 0.2, 0.2, 0.4, 0.3, 0.2, 0.8, 0.8, 0.2, 0.3]</t>
        </is>
      </c>
      <c r="B53" s="212" t="n"/>
      <c r="C53" s="212" t="n"/>
      <c r="D53" s="212" t="n"/>
      <c r="E53" s="212" t="n"/>
      <c r="F53" s="212" t="n"/>
      <c r="G53" s="212" t="n"/>
      <c r="H53" s="213" t="n"/>
    </row>
    <row r="55">
      <c r="A55" s="214" t="inlineStr">
        <is>
          <t>CEN INPUT MATERIALS RECEIVED (reference inventory)</t>
        </is>
      </c>
      <c r="B55" s="212" t="n"/>
      <c r="C55" s="212" t="n"/>
      <c r="D55" s="212" t="n"/>
      <c r="E55" s="212" t="n"/>
      <c r="F55" s="212" t="n"/>
      <c r="G55" s="212" t="n"/>
      <c r="H55" s="213" t="n"/>
    </row>
    <row r="56" ht="15" customHeight="1" s="204">
      <c r="A56" s="32" t="inlineStr">
        <is>
          <t>Category</t>
        </is>
      </c>
      <c r="B56" s="32" t="inlineStr">
        <is>
          <t>Document</t>
        </is>
      </c>
      <c r="C56" s="32" t="inlineStr">
        <is>
          <t>Size</t>
        </is>
      </c>
      <c r="D56" s="32" t="inlineStr">
        <is>
          <t>Location</t>
        </is>
      </c>
      <c r="E56" s="32" t="inlineStr">
        <is>
          <t>Relevance</t>
        </is>
      </c>
      <c r="F56" s="32" t="inlineStr">
        <is>
          <t>Used In</t>
        </is>
      </c>
      <c r="G56" s="32" t="inlineStr">
        <is>
          <t>Notes</t>
        </is>
      </c>
      <c r="H56" s="32" t="n"/>
    </row>
    <row r="57" ht="15" customHeight="1" s="204">
      <c r="A57" s="24" t="inlineStr">
        <is>
          <t>Legal</t>
        </is>
      </c>
      <c r="B57" s="33" t="inlineStr">
        <is>
          <t>Signed NDA</t>
        </is>
      </c>
      <c r="C57" s="25" t="inlineStr">
        <is>
          <t>461 KB</t>
        </is>
      </c>
      <c r="D57" s="211" t="inlineStr">
        <is>
          <t>Meeting 1st/</t>
        </is>
      </c>
      <c r="E57" s="25" t="inlineStr">
        <is>
          <t>Foundation</t>
        </is>
      </c>
      <c r="F57" s="24" t="inlineStr">
        <is>
          <t>All phases</t>
        </is>
      </c>
      <c r="G57" s="24" t="inlineStr">
        <is>
          <t>Feb 15, 2026</t>
        </is>
      </c>
    </row>
    <row r="58" ht="15" customHeight="1" s="204">
      <c r="A58" s="24" t="inlineStr">
        <is>
          <t>Legal</t>
        </is>
      </c>
      <c r="B58" s="33" t="inlineStr">
        <is>
          <t>Signed Partnership Confirmation</t>
        </is>
      </c>
      <c r="C58" s="25" t="inlineStr">
        <is>
          <t>409 KB</t>
        </is>
      </c>
      <c r="D58" s="211" t="inlineStr">
        <is>
          <t>Meeting 1st/</t>
        </is>
      </c>
      <c r="E58" s="25" t="inlineStr">
        <is>
          <t>Foundation</t>
        </is>
      </c>
      <c r="F58" s="24" t="inlineStr">
        <is>
          <t>All phases</t>
        </is>
      </c>
      <c r="G58" s="24" t="inlineStr">
        <is>
          <t>Feb 15, 2026</t>
        </is>
      </c>
    </row>
    <row r="59" ht="30" customHeight="1" s="204">
      <c r="A59" s="24" t="inlineStr">
        <is>
          <t>Strategy</t>
        </is>
      </c>
      <c r="B59" s="33" t="inlineStr">
        <is>
          <t>CEN Business Plan V2.0</t>
        </is>
      </c>
      <c r="C59" s="25" t="inlineStr">
        <is>
          <t>~19 MB</t>
        </is>
      </c>
      <c r="D59" s="211" t="inlineStr">
        <is>
          <t>CEN Inputs/Strategy/</t>
        </is>
      </c>
      <c r="E59" s="35" t="inlineStr">
        <is>
          <t>HIGH</t>
        </is>
      </c>
      <c r="F59" s="24" t="inlineStr">
        <is>
          <t>Phase 1 synthesis</t>
        </is>
      </c>
      <c r="G59" s="24" t="n"/>
    </row>
    <row r="60" ht="30" customHeight="1" s="204">
      <c r="A60" s="24" t="inlineStr">
        <is>
          <t>Strategy</t>
        </is>
      </c>
      <c r="B60" s="33" t="inlineStr">
        <is>
          <t>CEN Strategy V0.4</t>
        </is>
      </c>
      <c r="C60" s="25" t="inlineStr">
        <is>
          <t>425 KB</t>
        </is>
      </c>
      <c r="D60" s="211" t="inlineStr">
        <is>
          <t>CEN Inputs/Strategy/</t>
        </is>
      </c>
      <c r="E60" s="35" t="inlineStr">
        <is>
          <t>HIGH</t>
        </is>
      </c>
      <c r="F60" s="24" t="inlineStr">
        <is>
          <t>Phase 1 synthesis</t>
        </is>
      </c>
      <c r="G60" s="24" t="n"/>
    </row>
    <row r="61" ht="26.4" customHeight="1" s="204">
      <c r="A61" s="24" t="inlineStr">
        <is>
          <t>Strategy</t>
        </is>
      </c>
      <c r="B61" s="33" t="inlineStr">
        <is>
          <t>Purpose Vision Mission Values V0.1</t>
        </is>
      </c>
      <c r="C61" s="25" t="inlineStr">
        <is>
          <t>25 KB</t>
        </is>
      </c>
      <c r="D61" s="211" t="inlineStr">
        <is>
          <t>CEN Inputs/Vision Mission/</t>
        </is>
      </c>
      <c r="E61" s="35" t="inlineStr">
        <is>
          <t>HIGH</t>
        </is>
      </c>
      <c r="F61" s="24" t="inlineStr">
        <is>
          <t>Face mapping</t>
        </is>
      </c>
      <c r="G61" s="24" t="n"/>
    </row>
    <row r="62" ht="60" customHeight="1" s="204">
      <c r="A62" s="24" t="inlineStr">
        <is>
          <t>Pillar 1-3</t>
        </is>
      </c>
      <c r="B62" s="33" t="inlineStr">
        <is>
          <t>CEN organizational documents (28 files)</t>
        </is>
      </c>
      <c r="C62" s="25" t="inlineStr">
        <is>
          <t>~44 MB</t>
        </is>
      </c>
      <c r="D62" s="211" t="inlineStr">
        <is>
          <t>CEN Inputs/Documents &amp; Policies/</t>
        </is>
      </c>
      <c r="E62" s="25" t="inlineStr">
        <is>
          <t>MEDIUM</t>
        </is>
      </c>
      <c r="F62" s="24" t="inlineStr">
        <is>
          <t>Conventional analysis</t>
        </is>
      </c>
      <c r="G62" s="24" t="inlineStr">
        <is>
          <t>Education, AI, LLM, Business Plans</t>
        </is>
      </c>
    </row>
    <row r="63" ht="30" customHeight="1" s="204">
      <c r="A63" s="24" t="inlineStr">
        <is>
          <t>Scoring</t>
        </is>
      </c>
      <c r="B63" s="33" t="inlineStr">
        <is>
          <t>Dominique questionnaire (completed)</t>
        </is>
      </c>
      <c r="C63" s="25" t="inlineStr">
        <is>
          <t>27 KB</t>
        </is>
      </c>
      <c r="D63" s="211" t="inlineStr">
        <is>
          <t>CEN Inputs/Scoring/</t>
        </is>
      </c>
      <c r="E63" s="34" t="inlineStr">
        <is>
          <t>CRITICAL</t>
        </is>
      </c>
      <c r="F63" s="24" t="inlineStr">
        <is>
          <t>Phase 2 evidence</t>
        </is>
      </c>
      <c r="G63" s="24" t="inlineStr">
        <is>
          <t>Returned Apr 7</t>
        </is>
      </c>
    </row>
    <row r="64" ht="45" customHeight="1" s="204">
      <c r="A64" s="24" t="inlineStr">
        <is>
          <t>Scoring</t>
        </is>
      </c>
      <c r="B64" s="33" t="inlineStr">
        <is>
          <t>Esther questionnaire (completed)</t>
        </is>
      </c>
      <c r="C64" s="25" t="inlineStr">
        <is>
          <t>30 KB</t>
        </is>
      </c>
      <c r="D64" s="211" t="inlineStr">
        <is>
          <t>CEN Inputs/Scoring/</t>
        </is>
      </c>
      <c r="E64" s="34" t="inlineStr">
        <is>
          <t>CRITICAL</t>
        </is>
      </c>
      <c r="F64" s="24" t="inlineStr">
        <is>
          <t>Phase 2 evidence</t>
        </is>
      </c>
      <c r="G64" s="24" t="inlineStr">
        <is>
          <t>Returned Apr 7. 3-4h investment.</t>
        </is>
      </c>
    </row>
    <row r="65" ht="30" customHeight="1" s="204">
      <c r="A65" s="24" t="inlineStr">
        <is>
          <t>Recording</t>
        </is>
      </c>
      <c r="B65" s="33" t="inlineStr">
        <is>
          <t>Phase 1 Interview (video)</t>
        </is>
      </c>
      <c r="C65" s="25" t="inlineStr">
        <is>
          <t>4.08 GB</t>
        </is>
      </c>
      <c r="D65" s="211" t="inlineStr">
        <is>
          <t>CEN_Phase1/</t>
        </is>
      </c>
      <c r="E65" s="34" t="inlineStr">
        <is>
          <t>CRITICAL</t>
        </is>
      </c>
      <c r="F65" s="24" t="inlineStr">
        <is>
          <t>Phase 1 synthesis</t>
        </is>
      </c>
      <c r="G65" s="24" t="inlineStr">
        <is>
          <t>Mar 20, 2026</t>
        </is>
      </c>
    </row>
    <row r="66" ht="30" customHeight="1" s="204">
      <c r="A66" s="24" t="inlineStr">
        <is>
          <t>Recording</t>
        </is>
      </c>
      <c r="B66" s="33" t="inlineStr">
        <is>
          <t>Phase 2 Meeting (video)</t>
        </is>
      </c>
      <c r="C66" s="25" t="inlineStr">
        <is>
          <t>430 MB</t>
        </is>
      </c>
      <c r="D66" s="211" t="inlineStr">
        <is>
          <t>CEN_Phase2/</t>
        </is>
      </c>
      <c r="E66" s="34" t="inlineStr">
        <is>
          <t>CRITICAL</t>
        </is>
      </c>
      <c r="F66" s="24" t="inlineStr">
        <is>
          <t>Phase 2 evidence</t>
        </is>
      </c>
      <c r="G66" s="24" t="inlineStr">
        <is>
          <t>Apr 3, 2026</t>
        </is>
      </c>
    </row>
    <row r="67" ht="15" customHeight="1" s="204">
      <c r="A67" s="24" t="inlineStr">
        <is>
          <t>Recording</t>
        </is>
      </c>
      <c r="B67" s="33" t="inlineStr">
        <is>
          <t>Kick-Off meeting (video)</t>
        </is>
      </c>
      <c r="C67" s="25" t="inlineStr">
        <is>
          <t>333 MB</t>
        </is>
      </c>
      <c r="D67" s="211" t="inlineStr">
        <is>
          <t>Meeting 2nd/</t>
        </is>
      </c>
      <c r="E67" s="25" t="inlineStr">
        <is>
          <t>MEDIUM</t>
        </is>
      </c>
      <c r="F67" s="24" t="inlineStr">
        <is>
          <t>Context</t>
        </is>
      </c>
      <c r="G67" s="24" t="inlineStr">
        <is>
          <t>Mar 13, 2026</t>
        </is>
      </c>
    </row>
    <row r="69">
      <c r="A69" s="215" t="inlineStr">
        <is>
          <t>KEY GAPS: (1) Delivery folders Phase 1-2 are EMPTY despite work being done. (2) CEN company template does not exist — blocks 3D viz, shadow analysis, live demo. (3) Proposed KPIs (#7) not started. (4) Conventional analysis exists but not CEN-facing.</t>
        </is>
      </c>
      <c r="B69" s="212" t="n"/>
      <c r="C69" s="212" t="n"/>
      <c r="D69" s="212" t="n"/>
      <c r="E69" s="212" t="n"/>
      <c r="F69" s="212" t="n"/>
      <c r="G69" s="212" t="n"/>
      <c r="H69" s="213" t="n"/>
    </row>
    <row r="70" ht="80" customHeight="1" s="204">
      <c r="A70" s="223" t="inlineStr">
        <is>
          <t>2026-05-25</t>
        </is>
      </c>
      <c r="B70" s="223" t="inlineStr">
        <is>
          <t>Spiral Dashboard SSOT v1.0 — Final Ship</t>
        </is>
      </c>
      <c r="C70" s="224" t="inlineStr">
        <is>
          <t>SHIPPED</t>
        </is>
      </c>
      <c r="D70" s="223" t="inlineStr">
        <is>
          <t>b45ebe5 + 1193749 + 4091870 (24 commits in 5-day arc)</t>
        </is>
      </c>
      <c r="E70" s="223" t="inlineStr">
        <is>
          <t>22 sheets · branded PDF · README mirror · Wave 3 PASS (0 Critical) · 0/22 validator · 536/536 tests · Brand 5/5 PASS</t>
        </is>
      </c>
      <c r="F70" s="223" t="inlineStr">
        <is>
          <t>Final Thesis/Thesis Work/Quannex Business Exports/ (xlsx + pdf + README) · BDQ CONTROL_PANEL CEN Partnership row 21 mirror</t>
        </is>
      </c>
      <c r="G70" s="223" t="inlineStr">
        <is>
          <t>v1.0 ship-it close · Sub-Arc 3 Wave 4 distribution · Added via §31 protocol</t>
        </is>
      </c>
    </row>
    <row r="71" ht="80" customHeight="1" s="204">
      <c r="A71" s="223" t="inlineStr">
        <is>
          <t>2026-05-25 FINAL</t>
        </is>
      </c>
      <c r="B71" s="223" t="inlineStr">
        <is>
          <t>SSOT v1.0 FINAL — Sheet 21 Coherence Story + H1-H4 hygiene close</t>
        </is>
      </c>
      <c r="C71" s="224" t="inlineStr">
        <is>
          <t>SHIPPED FINAL</t>
        </is>
      </c>
      <c r="D71" s="223" t="inlineStr">
        <is>
          <t>W4.6 hygiene close: Sheet 21 narrative + receipts · Excel-clean · validator targets updated to κ=φ² canonical · Trust-the-Geometry applied to self</t>
        </is>
      </c>
      <c r="E71" s="223" t="inlineStr">
        <is>
          <t>23 sheets · 613/613 tests (Browser Smoke up) · 36 locks · 0 Critical · Sheet 21 NEW marquee opens first</t>
        </is>
      </c>
      <c r="F71" s="223" t="inlineStr">
        <is>
          <t>Sheet 21 Coherence Story · 6 sections (Story + Highest-Leverage KPIs verbatim + Highest-Leverage Actions + F8 Trail + IS/ISN'T + Authority)</t>
        </is>
      </c>
      <c r="G71" s="223" t="inlineStr">
        <is>
          <t>v1.0 FINAL ship-it · Sub-Arc 3 W4.6 expansion per partnership-decision 2026-05-25 ('Full ship most definitely feels most alive!')</t>
        </is>
      </c>
    </row>
  </sheetData>
  <mergeCells count="12">
    <mergeCell ref="A50:H50"/>
    <mergeCell ref="A4:H4"/>
    <mergeCell ref="A53:H53"/>
    <mergeCell ref="A69:H69"/>
    <mergeCell ref="A55:H55"/>
    <mergeCell ref="A15:H15"/>
    <mergeCell ref="A2:H2"/>
    <mergeCell ref="A51:H51"/>
    <mergeCell ref="A52:H52"/>
    <mergeCell ref="A1:H1"/>
    <mergeCell ref="A23:H23"/>
    <mergeCell ref="A34:H34"/>
  </mergeCells>
  <conditionalFormatting sqref="D5:D12">
    <cfRule type="containsText" priority="1" operator="containsText" dxfId="9" text="PASS">
      <formula>NOT(ISERROR(SEARCH("PASS",D5)))</formula>
    </cfRule>
    <cfRule type="containsText" priority="2" operator="containsText" dxfId="9" text="DONE">
      <formula>NOT(ISERROR(SEARCH("DONE",D5)))</formula>
    </cfRule>
    <cfRule type="containsText" priority="3" operator="containsText" dxfId="9" text="HEALTHY">
      <formula>NOT(ISERROR(SEARCH("HEALTHY",D5)))</formula>
    </cfRule>
    <cfRule type="containsText" priority="4" operator="containsText" dxfId="9" text="READY">
      <formula>NOT(ISERROR(SEARCH("READY",D5)))</formula>
    </cfRule>
    <cfRule type="containsText" priority="5" operator="containsText" dxfId="9" text="RADIANT">
      <formula>NOT(ISERROR(SEARCH("RADIANT",D5)))</formula>
    </cfRule>
    <cfRule type="containsText" priority="6" operator="containsText" dxfId="9" text="CLEAN">
      <formula>NOT(ISERROR(SEARCH("CLEAN",D5)))</formula>
    </cfRule>
    <cfRule type="containsText" priority="7" operator="containsText" dxfId="5" text="WARN">
      <formula>NOT(ISERROR(SEARCH("WARN",D5)))</formula>
    </cfRule>
    <cfRule type="containsText" priority="8" operator="containsText" dxfId="5" text="PARTIAL">
      <formula>NOT(ISERROR(SEARCH("PARTIAL",D5)))</formula>
    </cfRule>
    <cfRule type="containsText" priority="9" operator="containsText" dxfId="5" text="REQUIRES">
      <formula>NOT(ISERROR(SEARCH("REQUIRES",D5)))</formula>
    </cfRule>
    <cfRule type="containsText" priority="10" operator="containsText" dxfId="5" text="IN PROGRESS">
      <formula>NOT(ISERROR(SEARCH("IN PROGRESS",D5)))</formula>
    </cfRule>
    <cfRule type="containsText" priority="11" operator="containsText" dxfId="4" text="UPCOMING">
      <formula>NOT(ISERROR(SEARCH("UPCOMING",D5)))</formula>
    </cfRule>
    <cfRule type="containsText" priority="12" operator="containsText" dxfId="1" text="NOT DONE">
      <formula>NOT(ISERROR(SEARCH("NOT DONE",D5)))</formula>
    </cfRule>
    <cfRule type="containsText" priority="13" operator="containsText" dxfId="1" text="NOT STARTED">
      <formula>NOT(ISERROR(SEARCH("NOT STARTED",D5)))</formula>
    </cfRule>
    <cfRule type="containsText" priority="14" operator="containsText" dxfId="1" text="BLOCKED">
      <formula>NOT(ISERROR(SEARCH("BLOCKED",D5)))</formula>
    </cfRule>
    <cfRule type="containsText" priority="15" operator="containsText" dxfId="0" text="CRITICAL">
      <formula>NOT(ISERROR(SEARCH("CRITICAL",D5)))</formula>
    </cfRule>
  </conditionalFormatting>
  <conditionalFormatting sqref="D17:D21">
    <cfRule type="containsText" priority="16" operator="containsText" dxfId="9" text="PASS">
      <formula>NOT(ISERROR(SEARCH("PASS",D17)))</formula>
    </cfRule>
    <cfRule type="containsText" priority="17" operator="containsText" dxfId="9" text="DONE">
      <formula>NOT(ISERROR(SEARCH("DONE",D17)))</formula>
    </cfRule>
    <cfRule type="containsText" priority="18" operator="containsText" dxfId="9" text="HEALTHY">
      <formula>NOT(ISERROR(SEARCH("HEALTHY",D17)))</formula>
    </cfRule>
    <cfRule type="containsText" priority="19" operator="containsText" dxfId="9" text="READY">
      <formula>NOT(ISERROR(SEARCH("READY",D17)))</formula>
    </cfRule>
    <cfRule type="containsText" priority="20" operator="containsText" dxfId="9" text="RADIANT">
      <formula>NOT(ISERROR(SEARCH("RADIANT",D17)))</formula>
    </cfRule>
    <cfRule type="containsText" priority="21" operator="containsText" dxfId="9" text="CLEAN">
      <formula>NOT(ISERROR(SEARCH("CLEAN",D17)))</formula>
    </cfRule>
    <cfRule type="containsText" priority="22" operator="containsText" dxfId="5" text="WARN">
      <formula>NOT(ISERROR(SEARCH("WARN",D17)))</formula>
    </cfRule>
    <cfRule type="containsText" priority="23" operator="containsText" dxfId="5" text="PARTIAL">
      <formula>NOT(ISERROR(SEARCH("PARTIAL",D17)))</formula>
    </cfRule>
    <cfRule type="containsText" priority="24" operator="containsText" dxfId="5" text="REQUIRES">
      <formula>NOT(ISERROR(SEARCH("REQUIRES",D17)))</formula>
    </cfRule>
    <cfRule type="containsText" priority="25" operator="containsText" dxfId="5" text="IN PROGRESS">
      <formula>NOT(ISERROR(SEARCH("IN PROGRESS",D17)))</formula>
    </cfRule>
    <cfRule type="containsText" priority="26" operator="containsText" dxfId="4" text="UPCOMING">
      <formula>NOT(ISERROR(SEARCH("UPCOMING",D17)))</formula>
    </cfRule>
    <cfRule type="containsText" priority="27" operator="containsText" dxfId="1" text="NOT DONE">
      <formula>NOT(ISERROR(SEARCH("NOT DONE",D17)))</formula>
    </cfRule>
    <cfRule type="containsText" priority="28" operator="containsText" dxfId="1" text="NOT STARTED">
      <formula>NOT(ISERROR(SEARCH("NOT STARTED",D17)))</formula>
    </cfRule>
    <cfRule type="containsText" priority="29" operator="containsText" dxfId="1" text="BLOCKED">
      <formula>NOT(ISERROR(SEARCH("BLOCKED",D17)))</formula>
    </cfRule>
    <cfRule type="containsText" priority="30" operator="containsText" dxfId="0" text="CRITICAL">
      <formula>NOT(ISERROR(SEARCH("CRITICAL",D17)))</formula>
    </cfRule>
  </conditionalFormatting>
  <conditionalFormatting sqref="F25:F32">
    <cfRule type="containsText" priority="31" operator="containsText" dxfId="9" text="PASS">
      <formula>NOT(ISERROR(SEARCH("PASS",F25)))</formula>
    </cfRule>
    <cfRule type="containsText" priority="32" operator="containsText" dxfId="9" text="DONE">
      <formula>NOT(ISERROR(SEARCH("DONE",F25)))</formula>
    </cfRule>
    <cfRule type="containsText" priority="33" operator="containsText" dxfId="9" text="HEALTHY">
      <formula>NOT(ISERROR(SEARCH("HEALTHY",F25)))</formula>
    </cfRule>
    <cfRule type="containsText" priority="34" operator="containsText" dxfId="9" text="READY">
      <formula>NOT(ISERROR(SEARCH("READY",F25)))</formula>
    </cfRule>
    <cfRule type="containsText" priority="35" operator="containsText" dxfId="9" text="RADIANT">
      <formula>NOT(ISERROR(SEARCH("RADIANT",F25)))</formula>
    </cfRule>
    <cfRule type="containsText" priority="36" operator="containsText" dxfId="9" text="CLEAN">
      <formula>NOT(ISERROR(SEARCH("CLEAN",F25)))</formula>
    </cfRule>
    <cfRule type="containsText" priority="37" operator="containsText" dxfId="5" text="WARN">
      <formula>NOT(ISERROR(SEARCH("WARN",F25)))</formula>
    </cfRule>
    <cfRule type="containsText" priority="38" operator="containsText" dxfId="5" text="PARTIAL">
      <formula>NOT(ISERROR(SEARCH("PARTIAL",F25)))</formula>
    </cfRule>
    <cfRule type="containsText" priority="39" operator="containsText" dxfId="5" text="REQUIRES">
      <formula>NOT(ISERROR(SEARCH("REQUIRES",F25)))</formula>
    </cfRule>
    <cfRule type="containsText" priority="40" operator="containsText" dxfId="5" text="IN PROGRESS">
      <formula>NOT(ISERROR(SEARCH("IN PROGRESS",F25)))</formula>
    </cfRule>
    <cfRule type="containsText" priority="41" operator="containsText" dxfId="4" text="UPCOMING">
      <formula>NOT(ISERROR(SEARCH("UPCOMING",F25)))</formula>
    </cfRule>
    <cfRule type="containsText" priority="42" operator="containsText" dxfId="1" text="NOT DONE">
      <formula>NOT(ISERROR(SEARCH("NOT DONE",F25)))</formula>
    </cfRule>
    <cfRule type="containsText" priority="43" operator="containsText" dxfId="1" text="NOT STARTED">
      <formula>NOT(ISERROR(SEARCH("NOT STARTED",F25)))</formula>
    </cfRule>
    <cfRule type="containsText" priority="44" operator="containsText" dxfId="1" text="BLOCKED">
      <formula>NOT(ISERROR(SEARCH("BLOCKED",F25)))</formula>
    </cfRule>
    <cfRule type="containsText" priority="45" operator="containsText" dxfId="0" text="CRITICAL">
      <formula>NOT(ISERROR(SEARCH("CRITICAL",F25)))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4.4"/>
  <cols>
    <col width="22" customWidth="1" style="204" min="1" max="1"/>
    <col width="60" customWidth="1" style="204" min="2" max="2"/>
    <col width="50" customWidth="1" style="204" min="3" max="3"/>
    <col width="60" customWidth="1" style="204" min="4" max="4"/>
    <col width="14" customWidth="1" style="204" min="5" max="5"/>
    <col width="15" customWidth="1" style="204" min="6" max="6"/>
  </cols>
  <sheetData>
    <row r="1">
      <c r="A1" s="201" t="inlineStr">
        <is>
          <t>Module</t>
        </is>
      </c>
      <c r="B1" s="201" t="inlineStr">
        <is>
          <t>Purpose</t>
        </is>
      </c>
      <c r="C1" s="201" t="inlineStr">
        <is>
          <t>Current Tension</t>
        </is>
      </c>
      <c r="D1" s="201" t="inlineStr">
        <is>
          <t>Notes For Future Me</t>
        </is>
      </c>
      <c r="E1" s="201" t="inlineStr">
        <is>
          <t>Last Reviewed</t>
        </is>
      </c>
      <c r="F1" s="201" t="inlineStr">
        <is>
          <t>Owner</t>
        </is>
      </c>
    </row>
    <row r="2" ht="90" customHeight="1" s="204">
      <c r="A2" t="inlineStr">
        <is>
          <t>Advanced Analysis</t>
        </is>
      </c>
      <c r="B2" s="199" t="inlineStr">
        <is>
          <t>- `spectral-analyzer.js` — eigenvalue-based coherence analysis (Laplacian topology); fixed 2026-03-14 after cross-analyzer inconsistency
- `dynamics-analyzer.js` — 42KB, the largest analyzer; sensitivity matrix + multi-mode
- `vertex-analyzer.js` — 20-vertex vortex dynamics
- `edge-analyzer.js` — per-edge coherence scores
- `shadow-detector.js` — pairs with `js/shadow/` — this is the detection-math side
- `visualization-manager.js` — 39KB, ties analyses to the 3D dodecahedron viz
- `ai-edge-interpreter.js` — asks Gemini to narrate what an edge's coherence value means
- `index.js` — public exports + README.md explaining the module externally</t>
        </is>
      </c>
      <c r="C2" s="199" t="inlineStr">
        <is>
          <t>**Spectral unification debt.** The Codebase Inventory flag: *"3 spectral files
= unification debt"*. There's `js/advanced/spectral-analyzer.js` plus
`js/spectral-analyzer.js` plus `js/spectral-analyzer-global.js` at the repo
js/ root. These should be one. The March 14 Laplacian fix addressed a
cross-analyzer inconsistency but didn't consolidate the three.</t>
        </is>
      </c>
      <c r="D2" s="199" t="inlineStr">
        <is>
          <t>- Before editing any spectral file, check all three and understand which is canonical. Edits to only one re-introduce the 2026-03-14 class of bug.
- The spectral math is the load-bearing claim for "geometric coherence" as a measurable thing — if the eigenvalues are wrong, everything downstream is wrong. The `phi-math` test suite covers some of this but not all; consider a dedicated spectral test.
- `dynamics-analyzer.js` sensitivity matrix is used by the simulator for "what-if" scenarios. Changing sensitivity model here changes simulator behavior.
- Unification work: plan a session with a plan-file that lists every import of every spectral file, consolidate to one canonical implementation, migrate imports. It's surgical, not creative — a good sub-agent task.</t>
        </is>
      </c>
      <c r="E2" t="inlineStr">
        <is>
          <t>2026-04-18</t>
        </is>
      </c>
      <c r="F2" t="inlineStr">
        <is>
          <t>Deimantas</t>
        </is>
      </c>
    </row>
    <row r="3" ht="90" customHeight="1" s="204">
      <c r="A3" t="inlineStr">
        <is>
          <t>AI Layer</t>
        </is>
      </c>
      <c r="B3" s="199" t="inlineStr">
        <is>
          <t>- `kpi-extractor.js` — 40KB, the largest file; extracts numeric KPIs from narrative text
- `kpi-matcher.js` — matches extracted KPIs against the `js/constants/kpi-constants.js` registry
- `octave-reference-library.js` — 28KB, reference material the AI consults for octave-aware responses
- `octave-stack-builder.js` — runtime assembly of octave-relevant context
- `octave-kpi-reference.js` — octave ↔ KPI cross-references
- `breath-axis-analyzer.js` — AI-side breath-axis interpretation (pairs with `js/constants/breath-axes.js`)
- `dynamic-edge-inquiry.js` — generates edge-specific inquiry prompts on demand
- `voice-module.js` — voice-based IO (if enabled)
- `index.js` — public exports
- Subdirs: `adapters/` (provider-agnostic shims), `core/` (mapping-context, the AI brain), `mapping/` (semantic mappings), `prompts/` (prompt library), `providers/` (Gemini + stubs for others), `tuning/` (per-provider tuning), `ui/` (AI-related UI components)</t>
        </is>
      </c>
      <c r="C3" s="199" t="inlineStr">
        <is>
          <t>Provider coupling. Officially this layer is provider-agnostic (see `adapters/`
and `providers/`), but the production path is Gemini. If Gemini's API
contract changes, or Claude ever enters the mix, the adapter layer will show
its seams. The promise of provider-independence is not yet stress-tested.</t>
        </is>
      </c>
      <c r="D3" s="199" t="inlineStr">
        <is>
          <t>- Do NOT put prompts inline in non-`prompts/` files. Every inline prompt string is a future migration problem when the prompt library evolves. If you catch one, extract immediately.
- The `mapping-context.js` in `core/` had bugs historically (Vertex face IDs). Trust it less than the rest; add tests around changes there.
- When adding a new provider: copy `providers/gemini.js` as the template; the adapter interface is what it exposes, not what it imports.
- The Shadow module (`js/shadow/`) is this module's biggest downstream consumer. Prompt-contract changes cascade; paired regression testing matters.</t>
        </is>
      </c>
      <c r="E3" t="inlineStr">
        <is>
          <t>2026-04-18</t>
        </is>
      </c>
      <c r="F3" t="inlineStr">
        <is>
          <t>Deimantas</t>
        </is>
      </c>
    </row>
    <row r="4" ht="90" customHeight="1" s="204">
      <c r="A4" t="inlineStr">
        <is>
          <t>Companies</t>
        </is>
      </c>
      <c r="B4" s="199" t="inlineStr">
        <is>
          <t>- `quannex/` — self-assessment; Quannex assessing Quannex (meta-reference)
- `cen/` — real CEN partnership data; thesis-defense-grade, case A
- `nova-tech/` — demo, fast-growth startup archetype
- `apex-industries/` — demo, established enterprise archetype
- `zenith-solutions/` — demo, mid-stage archetype
Each folder typically has: CSV (raw measurements), JSON (structured output),
and mapping files (how raw columns map to Quannex KPIs).</t>
        </is>
      </c>
      <c r="C4" s="199" t="inlineStr">
        <is>
          <t>CEN vs demos. CEN is live data from a real partner — mishandling it has
reputation + thesis consequences. Demo data can be regenerated; CEN data
cannot. Historically everything has been treated the same way here, which
is a small risk.</t>
        </is>
      </c>
      <c r="D4" s="199" t="inlineStr">
        <is>
          <t>- Before committing a change to `companies/cen/`, think about the April 17 meeting state. If the change would embarrass the partnership, route it through Deimantas first.
- Demo companies should remain *archetypes*, not realistic — the point is they illustrate patterns. If a demo starts looking like a real company, simplify it.
- When adding a new company (e.g., for a second thesis case), copy the folder shape from `cen/` not `quannex/` — CEN reflects the real-partner contract; Quannex is meta-recursive and has different requirements.</t>
        </is>
      </c>
      <c r="E4" t="inlineStr">
        <is>
          <t>2026-04-18</t>
        </is>
      </c>
      <c r="F4" t="inlineStr">
        <is>
          <t>Deimantas</t>
        </is>
      </c>
    </row>
    <row r="5" ht="90" customHeight="1" s="204">
      <c r="A5" t="inlineStr">
        <is>
          <t>Constants</t>
        </is>
      </c>
      <c r="B5" s="199" t="inlineStr">
        <is>
          <t>- `phi-harmonics.js` — canonical PhiHarmonics table; all φ-derived values
- `consciousness-constants.js` — 12-face × 5-element consciousness lookup
- `edge-constants.js` — 30-edge dodecahedron topology + per-edge metadata
- `kpi-constants.js` — KPI definitions and thresholds
- `vertex-constants.js` — 20-vertex topology + vortex metadata
- `octave-thresholds.js` — 7-octave development boundaries (Survival → Radiance)
- `sacred-inquiry.js` — prompt/question library keyed by face+element
- `colors.js` — 12-face palette and breath-axis colorways
- `breath-axes.js` — the 6 breath polarity definitions</t>
        </is>
      </c>
      <c r="C5" s="199" t="inlineStr">
        <is>
          <t>The large tables (consciousness, edge, vertex, kpi each 30–45KB) are effectively
hand-curated databases. They're healthy but they're also the most likely place
for drift if someone edits a derived value instead of regenerating from
`phi-harmonics.js`. The April 7 α-drift fix was a symptom of this class.</t>
        </is>
      </c>
      <c r="D5" s="199" t="inlineStr">
        <is>
          <t>- `phi-harmonics.js` is the root. Any new constant derives from φ here FIRST, then propagates to the specific-domain files.
- Pair every constant change with a `docs/math/` update — or the math docs will drift from the code.
- When adding a new face-element cell anywhere, update `consciousness-constants.js` + `sacred-inquiry.js` in the same commit — they are read together at runtime.
- Do NOT import from `js/core/TuningConfig.js` into any file in this folder; dependency flows the other way (Core imports from Constants). Breaking that direction creates circular imports that Node swallows silently.</t>
        </is>
      </c>
      <c r="E5" t="inlineStr">
        <is>
          <t>2026-04-18</t>
        </is>
      </c>
      <c r="F5" t="inlineStr">
        <is>
          <t>Deimantas</t>
        </is>
      </c>
    </row>
    <row r="6" ht="90" customHeight="1" s="204">
      <c r="A6" t="inlineStr">
        <is>
          <t>Core Engine</t>
        </is>
      </c>
      <c r="B6" s="199" t="inlineStr">
        <is>
          <t>- `TuningConfig.js` — α = φ⁻¹ (alpha-drift fix landed 2026-04-07, see plan archive). Root of all PhiHarmonics derivations.
- `Face.js` — face representation, 12-face dodecahedron
- `Vertex.js` — vertex topology (20 vertices)
- `Edge.js` — edge topology (30 edges)
- `KPI.js` — KPI primitives
- `index.js` — public exports</t>
        </is>
      </c>
      <c r="C6" s="199" t="inlineStr">
        <is>
          <t>None known. Stable after the April drift fix. Monitoring whether any downstream
module reintroduces hardcoded constants instead of importing from `TuningConfig.js`.</t>
        </is>
      </c>
      <c r="D6" s="199" t="inlineStr">
        <is>
          <t>- If adding a new Greek constant: update `TuningConfig.js` AND `docs/math/CALCULATION_AUDIT_TRAIL.md` in the same commit. Drift between them was the 2026-04-07 failure.
- `Face.js` is the largest file here (~28KB) — resist adding more to it; prefer extraction when a new responsibility surfaces.
- Constants module (`js/constants/`) is separate from this module; Core Engine *uses* Constants, it doesn't own them. Don't conflate.
- As of 2026-04-18, Pulse tracks this module automatically: any change under `js/core/` makes this manifest "stale" until I come back here and review. Good forcing function — don't let the staleness list accumulate.</t>
        </is>
      </c>
      <c r="E6" t="inlineStr">
        <is>
          <t>2026-04-16</t>
        </is>
      </c>
      <c r="F6" t="inlineStr">
        <is>
          <t>Deimantas</t>
        </is>
      </c>
    </row>
    <row r="7" ht="90" customHeight="1" s="204">
      <c r="A7" t="inlineStr">
        <is>
          <t>Data System</t>
        </is>
      </c>
      <c r="B7" s="199" t="inlineStr">
        <is>
          <t>- `data-validator.js` — schema + range + cross-field checks (82 tests back this)
- `json-data-loader.js` — runtime loader; cached by company id
- `csv-to-json-converter.js` — 85KB, the biggest file in the module, converts CEN / Quannex / Apex / Nova-Tech / Zenith CSVs. History of bugs (parseInt conversion, vortex-map face IDs).
- `integrity-orchestrator.js` — coordinates the 3 integrity UI layers
- `integrity-indicator.js` / `integrity-overlay.js` / `face-quality-badge.js` — UI surfaces for validation state
- `schemas/` — JSON-schema definitions used by the validator</t>
        </is>
      </c>
      <c r="C7" s="199" t="inlineStr">
        <is>
          <t>The csv-to-json-converter is the size and complexity that eventually attracts
bugs. Session history shows parseInt bugs in it before. Any change here
should run the full integration suite (all 4 companies, 55 tests).</t>
        </is>
      </c>
      <c r="D7" s="199" t="inlineStr">
        <is>
          <t>- Documentation once said 88 tests; truth is 82. If you see 88 anywhere, fix the doc, don't add tests to chase the number.
- When a CSV format changes (e.g., CEN adding a new measurement column), the converter AND the schema AND a regression test all move together. Miss any one and data drift enters the engine silently.
- Never catch-all the converter's errors. Surface them loudly — silent conversion is the worst failure mode because downstream math then operates on garbage.</t>
        </is>
      </c>
      <c r="E7" t="inlineStr">
        <is>
          <t>2026-04-18</t>
        </is>
      </c>
      <c r="F7" t="inlineStr">
        <is>
          <t>Deimantas</t>
        </is>
      </c>
    </row>
    <row r="8" ht="90" customHeight="1" s="204">
      <c r="A8" t="inlineStr">
        <is>
          <t>Documentation</t>
        </is>
      </c>
      <c r="B8" s="199" t="inlineStr">
        <is>
          <t>- `DOCUMENTATION_INDEX.md` — the navigation hub; start here for anything
- `SOUL_OF_QUANNEX.md` — the philosophical heart; not math, meaning
- `math/` — the numeric audit trail (distinct from the `math/` module at repo root, which holds the theoretical proofs)
- `edge/` — edge-system reference docs (paired with `js/edge/`)
- `ai/` — AI-layer reference + system guide
- `thesis/` — thesis-specific materials for the June 2026 defense
- `archive/` — superseded content (never deleted, only archived)
- `modules/` — Pulse module manifests (new, introduced 2026-04-16)</t>
        </is>
      </c>
      <c r="C8" s="199" t="inlineStr">
        <is>
          <t>The 13 growth ideas from the Feb 16 audit — many haven't landed. Examples:
tighter cross-linking between math proofs and code refs, consolidating
multiple overlapping integration guides. Status stays WARN until those are
addressed or explicitly deprioritized.</t>
        </is>
      </c>
      <c r="D8" s="199" t="inlineStr">
        <is>
          <t>- The April 7 α-drift fix was a documentation bug that reached the code. `docs/math/CALCULATION_AUDIT_TRAIL.md` is the canonical numeric companion to `math/` — when either changes, audit the pair.
- `DOCUMENTATION_INDEX.md` is not auto-generated. When adding a new doc, update the index in the same commit. Orphaned docs do more harm than no doc.
- The Pulse-introduced `docs/modules/` + `docs/UPDATE_FLOW.md` + `docs/TECHNICAL_PULSE.md` are all self-documenting extensions. Before adding another top-level directory here, ask whether it's really a new *category* or a subdirectory under an existing one.</t>
        </is>
      </c>
      <c r="E8" t="inlineStr">
        <is>
          <t>2026-04-18</t>
        </is>
      </c>
      <c r="F8" t="inlineStr">
        <is>
          <t>Deimantas</t>
        </is>
      </c>
    </row>
    <row r="9" ht="90" customHeight="1" s="204">
      <c r="A9" t="inlineStr">
        <is>
          <t>Edge System</t>
        </is>
      </c>
      <c r="B9" s="199" t="inlineStr">
        <is>
          <t>- `unified-edge.js` — canonical Edge class; every edge-like thing in the codebase eventually resolves to this
- `edge-manager.js` — registry + lookup (get edge by id, by face pair, by vertex pair)
- `index.js` — public exports</t>
        </is>
      </c>
      <c r="C9" s="199" t="inlineStr">
        <is>
          <t>Stable but *quiet*. File mtimes are Jan 27 — this is one of the oldest
unchanged modules. That's either a healthy sign (the design settled early)
or a sign it's not getting the same scrutiny as the active modules. The
Spectral and Advanced modules both rely on edge topology being correct.</t>
        </is>
      </c>
      <c r="D9" s="199" t="inlineStr">
        <is>
          <t>- If anything ever computes "edges between faces X and Y" and doesn't go through `edge-manager.js`, it's wrong. There have been bugs from parallel implementations.
- The Membrane Model is load-bearing philosophy: an edge is not a line between two points, it's a *relationship* between two faces. Don't regress to vertex-centric thinking here.
- See `docs/EDGE_DYNAMICS_REFERENCE.md` for the 30-edge reference table. Changes to topology here MUST match that doc.</t>
        </is>
      </c>
      <c r="E9" t="inlineStr">
        <is>
          <t>2026-04-18</t>
        </is>
      </c>
      <c r="F9" t="inlineStr">
        <is>
          <t>Deimantas</t>
        </is>
      </c>
    </row>
    <row r="10" ht="90" customHeight="1" s="204">
      <c r="A10" t="inlineStr">
        <is>
          <t>Main Engine</t>
        </is>
      </c>
      <c r="B10" s="199" t="inlineStr">
        <is>
          <t>- `js/main.js` — the whole engine, single file by design (for now)
- Five passes (approximate, read the source for exact boundaries):
  - Pass 1: load + hydrate from company CSV/JSON
  - Pass 2: normalize raw measurements against PhiHarmonics
  - Pass 3: compute 12-face scores + 5-element contributions
  - Pass 4: compute 6-breath-axis dynamics + 30-edge coherence
  - Pass 5: aggregate → company-level output + shadow detection trigger</t>
        </is>
      </c>
      <c r="C10" s="199" t="inlineStr">
        <is>
          <t>The size. The Codebase Inventory explicitly flags: *"Consider extracting to
js/core/"*. It's healthy but it's the largest JS file in the project, and
large files correlate with bug attraction. Extraction is patient work — do
it pass-by-pass rather than all at once.</t>
        </is>
      </c>
      <c r="D10" s="199" t="inlineStr">
        <is>
          <t>- When modifying a pass, run `node tests/run-all.js` end to end. 55 integration tests cover this file's behavior; they'll catch regressions faster than manual inspection.
- The circuit breaker (search for "circuit" in the file) is a guardrail against runaway calculation on malformed input. Don't remove it — it earned its place.
- If you start extracting, Pass 2 (normalization) is the cleanest seam because it touches PhiHarmonics directly and has the simplest input/output contract.
- The 5-pass architecture is intentional: each pass is idempotent given its input. If that property breaks during an extraction, stop and re-architect.</t>
        </is>
      </c>
      <c r="E10" t="inlineStr">
        <is>
          <t>2026-04-18</t>
        </is>
      </c>
      <c r="F10" t="inlineStr">
        <is>
          <t>Deimantas</t>
        </is>
      </c>
    </row>
    <row r="11" ht="90" customHeight="1" s="204">
      <c r="A11" t="inlineStr">
        <is>
          <t>Math Docs</t>
        </is>
      </c>
      <c r="B11" s="199" t="inlineStr">
        <is>
          <t>- `MATH_OVERVIEW.md` — entry point; walks a reader through the whole framework
- `FOUNDATION_PRINCIPLE.md` — why phi, why the dodecahedron, why 12
- `PENTAGRAM_ANALYSIS.md` — the 5-element pentagram inside each face
- `OCTAVE_FRAMEWORK.md` — the 7-octave developmental spiral
- `BREATH_DYNAMICS.md` — the 6 breath axes as polarity pairs
- `SPECTRAL_SHADOW.md` — spectral analysis meets shadow detection</t>
        </is>
      </c>
      <c r="C11" s="199" t="inlineStr">
        <is>
          <t>Drift from code is the big one. The April 7 α-drift fix was caused by
documentation saying α=0.5/0.6 when the code had α=φ⁻¹. This class of bug
lives in exactly this folder + `docs/math/`. Countermeasure: pair every
constant change with a doc change, same commit.</t>
        </is>
      </c>
      <c r="D11" s="199" t="inlineStr">
        <is>
          <t>- These docs are *proofs*, not *narratives*. When editing, preserve the logical chain — don't insert prose between lemma and corollary. A thesis reader should be able to follow each claim to a referenced cell in `js/constants/phi-harmonics.js` or a formula in `docs/math/CALCULATION_AUDIT_TRAIL.md`.
- `docs/math/CALCULATION_AUDIT_TRAIL.md` is the *numeric* companion; these six are the *theoretical* side. Keep the split clean.
- If a new mathematical principle emerges in the codebase, the answer is usually "add a seventh doc here" not "expand one of the existing six."</t>
        </is>
      </c>
      <c r="E11" t="inlineStr">
        <is>
          <t>2026-04-18</t>
        </is>
      </c>
      <c r="F11" t="inlineStr">
        <is>
          <t>Deimantas</t>
        </is>
      </c>
    </row>
    <row r="12" ht="90" customHeight="1" s="204">
      <c r="A12" t="inlineStr">
        <is>
          <t>Orchestrator</t>
        </is>
      </c>
      <c r="B12" s="199" t="inlineStr">
        <is>
          <t>- `orchestrator-steps.js` — **95KB, the largest single file in the project**; contains per-step logic
- `orchestrator-state.js` — canonical session state
- `orchestrator-dashboard.js` — 25KB, dashboard rendering post-workflow
- `orchestrator-navigation.js` — step-to-step navigation, back/forward semantics
- `orchestrator-session.js` — session lifecycle (save/resume)
- `orchestrator-sync.js` — keep UI + engine in sync
- `orchestrator-utils.js` — shared helpers
- `event-handlers.js` — DOM event dispatch
- `sprint2-init.js` — historical; may be archivable
- Subdirs: `steps/` (per-step modules), `dashboard/` (dashboard sub-components), `archive/` (superseded)
- `README.md` — external explanation</t>
        </is>
      </c>
      <c r="C12" s="199" t="inlineStr">
        <is>
          <t>`orchestrator-steps.js` at 95KB is extraction debt of the same class as
`main.js` but worse. It accumulates per-step logic because adding a new
step feels easier than factoring. That's how it got this big.</t>
        </is>
      </c>
      <c r="D12" s="199" t="inlineStr">
        <is>
          <t>- The presence of `archive/` is a good sign — the module honors the Never Delete rule for superseded orchestration code.
- `sprint2-init.js` looks historical; before changing it, grep for usages — if there are none, archive it rather than modify it.
- If adding a Step 6: please extract first. The current 5-step pattern can probably absorb one more without refactoring, but Step 7 will be the straw.
- Session state shape is load-bearing across all 24 files. Before changing the shape in `orchestrator-state.js`, search the module for every `state.*` access pattern. The risk is silent drift between writers and readers.
- UI↔engine sync (`orchestrator-sync.js`) is where most "it works on my machine" bugs live. If something is flaky in the orchestrator, start there.</t>
        </is>
      </c>
      <c r="E12" t="inlineStr">
        <is>
          <t>2026-04-18</t>
        </is>
      </c>
      <c r="F12" t="inlineStr">
        <is>
          <t>Deimantas</t>
        </is>
      </c>
    </row>
    <row r="13" ht="90" customHeight="1" s="204">
      <c r="A13" t="inlineStr">
        <is>
          <t>Pages</t>
        </is>
      </c>
      <c r="B13" s="199" t="inlineStr">
        <is>
          <t>- `dodecahedron-3d.html` — the 3D dodecahedron viz (Three.js); the showcase page
- `calculations.html` — transparent math; every derivation visible for audit
- `results-summary.html` — synthesized company output; the executive view
- `weekly-input.html` — measurement entry form
- `thesis-export.html` — thesis-defense artifact export
- `breath-analysis.html` — the 6 breath-axes analytical lens
- `octave-dna.html` — 7-octave developmental DNA view
- `simulator.html` — simulator UI (paired with `js/simulator/`)
- `radiance-check.html` — minimal quick-check page</t>
        </is>
      </c>
      <c r="C13" s="199" t="inlineStr">
        <is>
          <t>Inline `&lt;style&gt;` blocks vs global CSS. Historically some pages carry their
own styles; others pull from `css/pages/`. That split risks visual drift
across the site. Aligning color/typography lives in `js/constants/colors.js`
but enforcement is by convention, not tooling.</t>
        </is>
      </c>
      <c r="D13" s="199" t="inlineStr">
        <is>
          <t>- When editing a page's visual identity, check if a sibling page shares the element; if yes, extract to `css/pages/` rather than editing inline. Every inline divergence makes brand consistency harder.
- `dodecahedron-3d.html` has deep coupling to `js/dodec/` — never edit one without loading the page and visually checking the other.
- The Write permission in `.claude/settings.local.json` ASK-lists `Write(**/*.html)` — pages intentionally require explicit approval. Keep it that way; HTML is the user-facing surface and deserves the extra moment.</t>
        </is>
      </c>
      <c r="E13" t="inlineStr">
        <is>
          <t>2026-04-18</t>
        </is>
      </c>
      <c r="F13" t="inlineStr">
        <is>
          <t>Deimantas</t>
        </is>
      </c>
    </row>
    <row r="14" ht="90" customHeight="1" s="204">
      <c r="A14" t="inlineStr">
        <is>
          <t>Shadow System</t>
        </is>
      </c>
      <c r="B14" s="199" t="inlineStr">
        <is>
          <t>- `index.js` — entry point + dispatch
- `detection/` — identify shadow candidates from data signals
- `adaptation/` — rules for when shadow signal is transformed vs noise
- `overlay/` — visualization overlay (shadow cast on dodecahedron faces)
- `ui/` — user-facing shadow panels
- `constants/` — shadow-specific thresholds (not Quannex-wide)</t>
        </is>
      </c>
      <c r="C14" s="199" t="inlineStr">
        <is>
          <t>AI coupling. This module is the most Gemini-dependent path in the codebase.
If the AI Layer changes its prompt contract, Shadow breaks first. Keep the
shadow↔AI seam as thin as possible and tested.</t>
        </is>
      </c>
      <c r="D14" s="199" t="inlineStr">
        <is>
          <t>- Shadow ≠ Integrity. A *shadow* is the surfacing of unconscious material; an *integrity violation* is a known-known gap. Don't collapse the two just because they both feel like failure signals.
- When tuning detection thresholds, edit `js/shadow/constants/` only — never hardcode in `detection/`. Thresholds have to move as a group.
- The overlay (`dodec-shadow-overlay-orchestrator.js` in `js/dodec/`) calls into this module; changes to the shadow *shape* need a matching overlay update.</t>
        </is>
      </c>
      <c r="E14" t="inlineStr">
        <is>
          <t>2026-04-18</t>
        </is>
      </c>
      <c r="F14" t="inlineStr">
        <is>
          <t>Deimantas</t>
        </is>
      </c>
    </row>
    <row r="15" ht="90" customHeight="1" s="204">
      <c r="A15" t="inlineStr">
        <is>
          <t>Simulator</t>
        </is>
      </c>
      <c r="B15" s="199" t="inlineStr">
        <is>
          <t>- `sim-main.js` — entry point + top-level lifecycle
- `sim-engine.js` — the simulation loop; state → next state
- `sim-state.js` — canonical state shape; source of truth mid-sim
- `sim-scenarios.js` — the library of pre-baked scenarios (stress tests, failure modes)
- `sim-breath.js` / `sim-shadow.js` / `sim-company.js` — domain-specific transitions
- `sim-controls.js` — UI control surface (play/pause/step/reset)
- `sim-sync.js` — keep UI and engine state in lockstep</t>
        </is>
      </c>
      <c r="C15" s="199" t="inlineStr">
        <is>
          <t>Simulator honesty is earned, not given. If a scenario returns "all good" too
easily, that's the old failure mode resurfacing. The 11-emergent-truths
discovery only happened because the engine was forced to surface dissonance.
Guard this.</t>
        </is>
      </c>
      <c r="D15" s="199" t="inlineStr">
        <is>
          <t>- Any new scenario added to `sim-scenarios.js` must be able to *fail* the company. A scenario that always produces healthy output is lying.
- State mutations go through `sim-state.js` only — never mutate state from `sim-engine.js` directly. Violations of this caused the initial dishonesty.
- When the simulator reports a result, cross-check with a manual calculation from `docs/math/CALCULATION_AUDIT_TRAIL.md`. The simulator is convenient but not authoritative.</t>
        </is>
      </c>
      <c r="E15" t="inlineStr">
        <is>
          <t>2026-04-18</t>
        </is>
      </c>
      <c r="F15" t="inlineStr">
        <is>
          <t>Deimantas</t>
        </is>
      </c>
    </row>
    <row r="16" ht="90" customHeight="1" s="204">
      <c r="A16" t="inlineStr">
        <is>
          <t>Tests</t>
        </is>
      </c>
      <c r="B16" s="199" t="inlineStr">
        <is>
          <t>- `phi-math.test.js` — 127 tests: PHI constants, identities, normalization
- `integration.test.mjs` — 55 tests: real CSV → engine pipeline, all 4 demo companies
- `excel-parser.test.mjs` — 42 tests: xlsx round-trip through ExcelMeasurementParser
- `data-validator.test.mjs` — 82 tests (was 88 in old docs — 82 is the real count)
- `smoke-test.mjs` — 77 checks: HTTP load 13 pages, verify 122 scripts + CSS. Needs `python3 -m http.server 8000` running.
- `run-all.js` — unified runner; one command for everything automated
- `circuit-breaker.test.html`, `kpi-constants-integrity.test.html`, `phase3-integrity-tests.html` — browser-only, manual</t>
        </is>
      </c>
      <c r="C16" s="199" t="inlineStr">
        <is>
          <t>Smoke test is *skippable* when the HTTP server isn't up, which means CI-like
runs silently drop 77 checks. Not a failure — it's explicit — but worth
remembering when claiming "all green." Real all-green includes smoke.</t>
        </is>
      </c>
      <c r="D16" s="199" t="inlineStr">
        <is>
          <t>- Adding a new test suite: register it in `run-all.js:26` (the SUITES array). Match the output format `N passed, M failed` so the runner parses counts correctly.
- The `82 passed` vs `88 passed` drift for data-validator was a documentation bug; 82 is the truth. If you see 88 anywhere, fix the doc.
- When adding Pulse edge-case tests (`tests/pulse.test.py`), they won't integrate with `run-all.js` automatically — Node can't run Python. Keep Pulse tests separate or add a Python subprocess wrapper.</t>
        </is>
      </c>
      <c r="E16" t="inlineStr">
        <is>
          <t>2026-04-18</t>
        </is>
      </c>
      <c r="F16" t="inlineStr">
        <is>
          <t>Deimantas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cols>
    <col width="22" customWidth="1" style="204" min="1" max="1"/>
    <col width="40" customWidth="1" style="204" min="2" max="3"/>
    <col width="50" customWidth="1" style="204" min="4" max="5"/>
    <col width="40" customWidth="1" style="204" min="6" max="6"/>
  </cols>
  <sheetData>
    <row r="1">
      <c r="A1" s="201" t="inlineStr">
        <is>
          <t>Trigger</t>
        </is>
      </c>
      <c r="B1" s="201" t="inlineStr">
        <is>
          <t>When</t>
        </is>
      </c>
      <c r="C1" s="201" t="inlineStr">
        <is>
          <t>Immediate</t>
        </is>
      </c>
      <c r="D1" s="201" t="inlineStr">
        <is>
          <t>Cascades To</t>
        </is>
      </c>
      <c r="E1" s="201" t="inlineStr">
        <is>
          <t>Side Effects</t>
        </is>
      </c>
      <c r="F1" s="201" t="inlineStr">
        <is>
          <t>Rollback</t>
        </is>
      </c>
    </row>
    <row r="2" ht="90" customHeight="1" s="204">
      <c r="A2" s="199" t="inlineStr">
        <is>
          <t>manifest-edit</t>
        </is>
      </c>
      <c r="B2" s="199" t="inlineStr">
        <is>
          <t>Edit to docs/modules/&lt;id&gt;.md</t>
        </is>
      </c>
      <c r="C2" s="199" t="inlineStr">
        <is>
          <t>PostToolUse hook fires pulse-sync.ps1 → sync-pulse.py runs</t>
        </is>
      </c>
      <c r="D2" s="199" t="inlineStr">
        <is>
          <t>Codebase Inventory row refreshed (computed columns only)
Module Details sheet row updated (Purpose, Tension, Notes)
.pulse-state.json regenerated at repo root
Snapshot added to .control-panel-snapshots/
docs/UPDATE_FLOW.md regenerated from yaml</t>
        </is>
      </c>
      <c r="E2" s="199" t="inlineStr">
        <is>
          <t>If Command Center exists (v2), it detects sidecar mtime change
.stale-modules may be cleared for the edited manifest's id</t>
        </is>
      </c>
      <c r="F2" s="199" t="inlineStr">
        <is>
          <t>Restore workbook from most recent snapshot in .control-panel-snapshots/</t>
        </is>
      </c>
    </row>
    <row r="3" ht="90" customHeight="1" s="204">
      <c r="A3" s="199" t="inlineStr">
        <is>
          <t>code-edit</t>
        </is>
      </c>
      <c r="B3" s="199" t="inlineStr">
        <is>
          <t>Edit to js/**/*.js, pages/**/*.html, tests/**/*</t>
        </is>
      </c>
      <c r="C3" s="199" t="inlineStr">
        <is>
          <t>.stale-modules gains entry for the affected module (deduped)</t>
        </is>
      </c>
      <c r="D3" s="199" t="n"/>
      <c r="E3" s="199" t="inlineStr">
        <is>
          <t>Next SessionStart surfaces reminder listing stale modules
No sheet regeneration until the matching manifest is edited</t>
        </is>
      </c>
      <c r="F3" s="199" t="inlineStr">
        <is>
          <t>Remove module id from .stale-modules (harmless if already cleared)</t>
        </is>
      </c>
    </row>
    <row r="4" ht="90" customHeight="1" s="204">
      <c r="A4" s="199" t="inlineStr">
        <is>
          <t>manual-sync</t>
        </is>
      </c>
      <c r="B4" s="199" t="inlineStr">
        <is>
          <t>Run python scripts/sync-pulse.py from the repo root</t>
        </is>
      </c>
      <c r="C4" s="199" t="inlineStr">
        <is>
          <t>Full pulse sync runs against current filesystem state</t>
        </is>
      </c>
      <c r="D4" s="199" t="inlineStr">
        <is>
          <t>Same as manifest-edit cascades</t>
        </is>
      </c>
      <c r="E4" s="199" t="inlineStr">
        <is>
          <t>Useful when coming back to a project after time away and wanting a fresh view</t>
        </is>
      </c>
      <c r="F4" s="199" t="inlineStr">
        <is>
          <t>Restore workbook from snapshot if unexpected output</t>
        </is>
      </c>
    </row>
    <row r="5" ht="90" customHeight="1" s="204">
      <c r="A5" s="199" t="inlineStr">
        <is>
          <t>session-start</t>
        </is>
      </c>
      <c r="B5" s="199" t="inlineStr">
        <is>
          <t>New Claude Code session begins</t>
        </is>
      </c>
      <c r="C5" s="199" t="inlineStr">
        <is>
          <t>pulse-staleness-check.ps1 runs; reads .stale-modules</t>
        </is>
      </c>
      <c r="D5" s="199" t="inlineStr">
        <is>
          <t>If stale list non-empty, orientation context includes a nudge naming stale modules</t>
        </is>
      </c>
      <c r="E5" s="199" t="inlineStr">
        <is>
          <t>Silent if stale list empty
Does NOT auto-trigger a sync — surfaces info only</t>
        </is>
      </c>
      <c r="F5" s="199" t="inlineStr">
        <is>
          <t>n/a (read-only)</t>
        </is>
      </c>
    </row>
    <row r="6" ht="90" customHeight="1" s="204">
      <c r="A6" s="199" t="inlineStr">
        <is>
          <t>workbook-rename</t>
        </is>
      </c>
      <c r="B6" s="199" t="inlineStr">
        <is>
          <t>CONTROL_PANEL_POC.xlsx is renamed (e.g. CONTROL_PANEL_POC_v2.xlsx)</t>
        </is>
      </c>
      <c r="C6" s="199" t="inlineStr">
        <is>
          <t>sync-pulse.py glob CONTROL_PANEL*.xlsx still resolves the file</t>
        </is>
      </c>
      <c r="D6" s="199" t="inlineStr">
        <is>
          <t>No script changes needed as long as exactly-one file matches the glob</t>
        </is>
      </c>
      <c r="E6" s="199" t="inlineStr">
        <is>
          <t>If multiple files match, script exits with disambiguation error
If OneDrive creates a conflict file, WARN logged; normal file still preferred</t>
        </is>
      </c>
      <c r="F6" s="199" t="inlineStr">
        <is>
          <t>Rename the file back or remove the extra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2026-04-11T09:54:21Z</dcterms:created>
  <dcterms:modified xmlns:dcterms="http://purl.org/dc/terms/" xmlns:xsi="http://www.w3.org/2001/XMLSchema-instance" xsi:type="dcterms:W3CDTF">2026-05-25T12:21:07Z</dcterms:modified>
  <cp:lastModifiedBy>Deimantas</cp:lastModifiedBy>
</cp:coreProperties>
</file>