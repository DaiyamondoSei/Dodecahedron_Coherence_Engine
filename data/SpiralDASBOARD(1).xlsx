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1.xml" ContentType="application/vnd.openxmlformats-officedocument.spreadsheetml.comments+xml"/>
  <Override PartName="/xl/tables/table8.xml" ContentType="application/vnd.openxmlformats-officedocument.spreadsheetml.table+xml"/>
  <Override PartName="/xl/tables/table9.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tables/table10.xml" ContentType="application/vnd.openxmlformats-officedocument.spreadsheetml.table+xml"/>
  <Override PartName="/xl/comments4.xml" ContentType="application/vnd.openxmlformats-officedocument.spreadsheetml.comments+xml"/>
  <Override PartName="/xl/tables/table1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10752dcb7d3e7305/Stalinis kompiuteris/"/>
    </mc:Choice>
  </mc:AlternateContent>
  <xr:revisionPtr revIDLastSave="26" documentId="13_ncr:1_{8641BC63-A41E-4039-ACB4-86B0DCE8228C}" xr6:coauthVersionLast="47" xr6:coauthVersionMax="47" xr10:uidLastSave="{3C66500E-4751-41DF-A9BF-C62235E8C9A0}"/>
  <bookViews>
    <workbookView xWindow="-108" yWindow="-108" windowWidth="23256" windowHeight="12456" tabRatio="889" firstSheet="2" activeTab="9" xr2:uid="{9B0E9B10-658D-4AD4-AE02-A6BD62C4AC04}"/>
  </bookViews>
  <sheets>
    <sheet name="INTRO" sheetId="1" r:id="rId1"/>
    <sheet name="BREATH_RATIOS" sheetId="4" r:id="rId2"/>
    <sheet name="SPIRAL_DASHBOARD" sheetId="2" r:id="rId3"/>
    <sheet name="REFRENCE_MODELS" sheetId="9" r:id="rId4"/>
    <sheet name="SYSTEM_COHERENCE" sheetId="5" r:id="rId5"/>
    <sheet name="FACE_MODELS" sheetId="8" r:id="rId6"/>
    <sheet name="KPI_DATABASE" sheetId="3" r:id="rId7"/>
    <sheet name="DODECA_ENGINE" sheetId="6" r:id="rId8"/>
    <sheet name="VORTEX_MAP" sheetId="10" r:id="rId9"/>
    <sheet name="EDGE_TENSION_MAP" sheetId="7" r:id="rId10"/>
  </sheets>
  <definedNames>
    <definedName name="E_Vector">DODECA_ENGINE!$K$2:$K$13</definedName>
    <definedName name="Face_1" comment="Finance">SYSTEM_COHERENCE!$B$2</definedName>
    <definedName name="Headline_KPI">Octave_1_KPIs[O1 - Survival (Focus: Existence)]</definedName>
    <definedName name="L_Matrix">DODECA_ENGINE!$A$16:$L$27</definedName>
    <definedName name="U_Matrix">DODECA_ENGINE!$A$31:$L$42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0" i="4" l="1" a="1"/>
  <c r="F80" i="4" s="1"/>
  <c r="F79" i="4" a="1"/>
  <c r="F79" i="4" s="1"/>
  <c r="F78" i="4" a="1"/>
  <c r="F78" i="4" s="1"/>
  <c r="F77" i="4" a="1"/>
  <c r="F77" i="4" s="1"/>
  <c r="F76" i="4" a="1"/>
  <c r="F76" i="4" s="1"/>
  <c r="F75" i="4" a="1"/>
  <c r="F75" i="4" s="1"/>
  <c r="F74" i="4"/>
  <c r="D80" i="4" a="1"/>
  <c r="D80" i="4" s="1"/>
  <c r="D79" i="4" a="1"/>
  <c r="D79" i="4" s="1"/>
  <c r="D78" i="4" a="1"/>
  <c r="D78" i="4" s="1"/>
  <c r="D77" i="4" a="1"/>
  <c r="D77" i="4" s="1"/>
  <c r="D76" i="4" a="1"/>
  <c r="D76" i="4" s="1"/>
  <c r="D75" i="4" a="1"/>
  <c r="D75" i="4" s="1"/>
  <c r="D74" i="4"/>
  <c r="F70" i="4" a="1"/>
  <c r="F70" i="4" s="1"/>
  <c r="F69" i="4" a="1"/>
  <c r="F69" i="4" s="1"/>
  <c r="F68" i="4" a="1"/>
  <c r="F68" i="4" s="1"/>
  <c r="F67" i="4" a="1"/>
  <c r="F67" i="4" s="1"/>
  <c r="F66" i="4" a="1"/>
  <c r="F66" i="4" s="1"/>
  <c r="F65" i="4" a="1"/>
  <c r="F65" i="4" s="1"/>
  <c r="F64" i="4"/>
  <c r="D70" i="4" a="1"/>
  <c r="D70" i="4" s="1"/>
  <c r="D69" i="4" a="1"/>
  <c r="D69" i="4" s="1"/>
  <c r="D68" i="4" a="1"/>
  <c r="D68" i="4" s="1"/>
  <c r="D67" i="4" a="1"/>
  <c r="D67" i="4" s="1"/>
  <c r="D66" i="4" a="1"/>
  <c r="D66" i="4" s="1"/>
  <c r="D65" i="4" a="1"/>
  <c r="D65" i="4" s="1"/>
  <c r="D64" i="4"/>
  <c r="F60" i="4" a="1"/>
  <c r="F60" i="4" s="1"/>
  <c r="F59" i="4" a="1"/>
  <c r="F59" i="4" s="1"/>
  <c r="F58" i="4" a="1"/>
  <c r="F58" i="4" s="1"/>
  <c r="F57" i="4" a="1"/>
  <c r="F57" i="4" s="1"/>
  <c r="F56" i="4" a="1"/>
  <c r="F56" i="4" s="1"/>
  <c r="F55" i="4" a="1"/>
  <c r="F55" i="4" s="1"/>
  <c r="F54" i="4"/>
  <c r="D60" i="4" a="1"/>
  <c r="D60" i="4" s="1"/>
  <c r="D59" i="4" a="1"/>
  <c r="D59" i="4" s="1"/>
  <c r="D58" i="4" a="1"/>
  <c r="D58" i="4" s="1"/>
  <c r="D57" i="4" a="1"/>
  <c r="D57" i="4" s="1"/>
  <c r="D56" i="4" a="1"/>
  <c r="D56" i="4" s="1"/>
  <c r="D55" i="4" a="1"/>
  <c r="D55" i="4" s="1"/>
  <c r="D54" i="4"/>
  <c r="F50" i="4" a="1"/>
  <c r="F50" i="4" s="1"/>
  <c r="F49" i="4" a="1"/>
  <c r="F49" i="4" s="1"/>
  <c r="F48" i="4" a="1"/>
  <c r="F48" i="4" s="1"/>
  <c r="F47" i="4" a="1"/>
  <c r="F47" i="4" s="1"/>
  <c r="F46" i="4" a="1"/>
  <c r="F46" i="4" s="1"/>
  <c r="F45" i="4" a="1"/>
  <c r="F45" i="4" s="1"/>
  <c r="F44" i="4"/>
  <c r="D50" i="4" a="1"/>
  <c r="D50" i="4" s="1"/>
  <c r="D49" i="4" a="1"/>
  <c r="D49" i="4" s="1"/>
  <c r="D48" i="4" a="1"/>
  <c r="D48" i="4" s="1"/>
  <c r="D47" i="4" a="1"/>
  <c r="D47" i="4" s="1"/>
  <c r="D46" i="4" a="1"/>
  <c r="D46" i="4" s="1"/>
  <c r="D45" i="4" a="1"/>
  <c r="D45" i="4" s="1"/>
  <c r="D44" i="4"/>
  <c r="F40" i="4" a="1"/>
  <c r="F40" i="4" s="1"/>
  <c r="F39" i="4" a="1"/>
  <c r="F39" i="4" s="1"/>
  <c r="F38" i="4" a="1"/>
  <c r="F38" i="4"/>
  <c r="F37" i="4" a="1"/>
  <c r="F37" i="4" s="1"/>
  <c r="F36" i="4" a="1"/>
  <c r="F36" i="4" s="1"/>
  <c r="F35" i="4" a="1"/>
  <c r="F35" i="4" s="1"/>
  <c r="F34" i="4"/>
  <c r="D40" i="4" a="1"/>
  <c r="D40" i="4" s="1"/>
  <c r="D39" i="4" a="1"/>
  <c r="D39" i="4"/>
  <c r="D38" i="4" a="1"/>
  <c r="D38" i="4" s="1"/>
  <c r="D37" i="4" a="1"/>
  <c r="D37" i="4" s="1"/>
  <c r="D36" i="4" a="1"/>
  <c r="D36" i="4" s="1"/>
  <c r="D35" i="4" a="1"/>
  <c r="D35" i="4" s="1"/>
  <c r="D34" i="4"/>
  <c r="E72" i="4"/>
  <c r="C72" i="4"/>
  <c r="E62" i="4"/>
  <c r="C62" i="4"/>
  <c r="E52" i="4"/>
  <c r="C52" i="4"/>
  <c r="E42" i="4"/>
  <c r="C42" i="4"/>
  <c r="E32" i="4"/>
  <c r="C32" i="4"/>
  <c r="E22" i="4"/>
  <c r="F24" i="4" s="1"/>
  <c r="C22" i="4"/>
  <c r="D30" i="4" s="1" a="1"/>
  <c r="D30" i="4" s="1"/>
  <c r="F18" i="4"/>
  <c r="F15" i="4"/>
  <c r="F12" i="4"/>
  <c r="F9" i="4"/>
  <c r="F8" i="4"/>
  <c r="F6" i="4"/>
  <c r="F3" i="4"/>
  <c r="F5" i="4"/>
  <c r="F11" i="4"/>
  <c r="F14" i="4"/>
  <c r="F17" i="4"/>
  <c r="F2" i="4"/>
  <c r="I124" i="6"/>
  <c r="I125" i="6"/>
  <c r="I126" i="6"/>
  <c r="I127" i="6"/>
  <c r="I128" i="6"/>
  <c r="I129" i="6"/>
  <c r="I130" i="6"/>
  <c r="I131" i="6"/>
  <c r="I132" i="6"/>
  <c r="I133" i="6"/>
  <c r="I134" i="6"/>
  <c r="I123" i="6"/>
  <c r="I4" i="3"/>
  <c r="G116" i="6"/>
  <c r="AF18" i="10" a="1"/>
  <c r="AF18" i="10" s="1"/>
  <c r="M63" i="9"/>
  <c r="C2" i="3"/>
  <c r="A2" i="3"/>
  <c r="B2" i="3"/>
  <c r="C13" i="1"/>
  <c r="AL3" i="10" a="1"/>
  <c r="AL3" i="10" s="1"/>
  <c r="AL4" i="10" a="1"/>
  <c r="AL4" i="10" s="1"/>
  <c r="AL5" i="10" a="1"/>
  <c r="AL5" i="10" s="1"/>
  <c r="AL6" i="10" a="1"/>
  <c r="AL6" i="10" s="1"/>
  <c r="AL7" i="10" a="1"/>
  <c r="AL7" i="10" s="1"/>
  <c r="AL8" i="10" a="1"/>
  <c r="AL8" i="10" s="1"/>
  <c r="AL9" i="10" a="1"/>
  <c r="AL9" i="10" s="1"/>
  <c r="AL10" i="10" a="1"/>
  <c r="AL10" i="10" s="1"/>
  <c r="AL11" i="10" a="1"/>
  <c r="AL11" i="10" s="1"/>
  <c r="AL12" i="10" a="1"/>
  <c r="AL12" i="10" s="1"/>
  <c r="AL13" i="10" a="1"/>
  <c r="AL13" i="10" s="1"/>
  <c r="AL14" i="10" a="1"/>
  <c r="AL14" i="10" s="1"/>
  <c r="AL15" i="10" a="1"/>
  <c r="AL15" i="10" s="1"/>
  <c r="AL16" i="10" a="1"/>
  <c r="AL16" i="10" s="1"/>
  <c r="AL17" i="10" a="1"/>
  <c r="AL17" i="10" s="1"/>
  <c r="AL18" i="10" a="1"/>
  <c r="AL18" i="10" s="1"/>
  <c r="AL19" i="10" a="1"/>
  <c r="AL19" i="10" s="1"/>
  <c r="AL20" i="10" a="1"/>
  <c r="AL20" i="10" s="1"/>
  <c r="AL21" i="10" a="1"/>
  <c r="AL21" i="10" s="1"/>
  <c r="AL2" i="10" a="1"/>
  <c r="AL2" i="10" s="1"/>
  <c r="AJ3" i="10" a="1"/>
  <c r="AJ3" i="10" s="1"/>
  <c r="AJ4" i="10" a="1"/>
  <c r="AJ4" i="10" s="1"/>
  <c r="AJ5" i="10" a="1"/>
  <c r="AJ5" i="10" s="1"/>
  <c r="AJ6" i="10" a="1"/>
  <c r="AJ6" i="10" s="1"/>
  <c r="AJ7" i="10" a="1"/>
  <c r="AJ7" i="10" s="1"/>
  <c r="AJ8" i="10" a="1"/>
  <c r="AJ8" i="10" s="1"/>
  <c r="AJ9" i="10" a="1"/>
  <c r="AJ9" i="10" s="1"/>
  <c r="AJ10" i="10" a="1"/>
  <c r="AJ10" i="10" s="1"/>
  <c r="AJ11" i="10" a="1"/>
  <c r="AJ11" i="10" s="1"/>
  <c r="AJ12" i="10" a="1"/>
  <c r="AJ12" i="10" s="1"/>
  <c r="AJ13" i="10" a="1"/>
  <c r="AJ13" i="10" s="1"/>
  <c r="AJ14" i="10" a="1"/>
  <c r="AJ14" i="10" s="1"/>
  <c r="AJ15" i="10" a="1"/>
  <c r="AJ15" i="10" s="1"/>
  <c r="AJ16" i="10" a="1"/>
  <c r="AJ16" i="10" s="1"/>
  <c r="AJ17" i="10" a="1"/>
  <c r="AJ17" i="10" s="1"/>
  <c r="AJ18" i="10" a="1"/>
  <c r="AJ18" i="10" s="1"/>
  <c r="AJ19" i="10" a="1"/>
  <c r="AJ19" i="10" s="1"/>
  <c r="AJ20" i="10" a="1"/>
  <c r="AJ20" i="10" s="1"/>
  <c r="AJ21" i="10" a="1"/>
  <c r="AJ21" i="10" s="1"/>
  <c r="AJ2" i="10" a="1"/>
  <c r="AJ2" i="10" s="1"/>
  <c r="AH3" i="10" a="1"/>
  <c r="AH3" i="10" s="1"/>
  <c r="AH4" i="10" a="1"/>
  <c r="AH4" i="10" s="1"/>
  <c r="AH5" i="10" a="1"/>
  <c r="AH5" i="10" s="1"/>
  <c r="AH6" i="10" a="1"/>
  <c r="AH6" i="10" s="1"/>
  <c r="AH7" i="10" a="1"/>
  <c r="AH7" i="10" s="1"/>
  <c r="AH8" i="10" a="1"/>
  <c r="AH8" i="10" s="1"/>
  <c r="AH9" i="10" a="1"/>
  <c r="AH9" i="10" s="1"/>
  <c r="AH10" i="10" a="1"/>
  <c r="AH10" i="10" s="1"/>
  <c r="AH11" i="10" a="1"/>
  <c r="AH11" i="10" s="1"/>
  <c r="AH12" i="10" a="1"/>
  <c r="AH12" i="10" s="1"/>
  <c r="AH13" i="10" a="1"/>
  <c r="AH13" i="10" s="1"/>
  <c r="AH14" i="10" a="1"/>
  <c r="AH14" i="10" s="1"/>
  <c r="AH15" i="10" a="1"/>
  <c r="AH15" i="10" s="1"/>
  <c r="AH16" i="10" a="1"/>
  <c r="AH16" i="10" s="1"/>
  <c r="AH17" i="10" a="1"/>
  <c r="AH17" i="10" s="1"/>
  <c r="AH18" i="10" a="1"/>
  <c r="AH18" i="10" s="1"/>
  <c r="AH19" i="10" a="1"/>
  <c r="AH19" i="10" s="1"/>
  <c r="AH20" i="10" a="1"/>
  <c r="AH20" i="10" s="1"/>
  <c r="AH21" i="10" a="1"/>
  <c r="AH21" i="10" s="1"/>
  <c r="AH2" i="10" a="1"/>
  <c r="AH2" i="10" s="1"/>
  <c r="AF3" i="10" a="1"/>
  <c r="AF3" i="10" s="1"/>
  <c r="AF4" i="10" a="1"/>
  <c r="AF4" i="10" s="1"/>
  <c r="AF5" i="10" a="1"/>
  <c r="AF5" i="10" s="1"/>
  <c r="AF6" i="10" a="1"/>
  <c r="AF6" i="10" s="1"/>
  <c r="AF7" i="10" a="1"/>
  <c r="AF7" i="10" s="1"/>
  <c r="AF8" i="10" a="1"/>
  <c r="AF8" i="10" s="1"/>
  <c r="AF9" i="10" a="1"/>
  <c r="AF9" i="10" s="1"/>
  <c r="AF10" i="10" a="1"/>
  <c r="AF10" i="10" s="1"/>
  <c r="AF11" i="10" a="1"/>
  <c r="AF11" i="10" s="1"/>
  <c r="AF12" i="10" a="1"/>
  <c r="AF12" i="10" s="1"/>
  <c r="AF13" i="10" a="1"/>
  <c r="AF13" i="10" s="1"/>
  <c r="AF14" i="10" a="1"/>
  <c r="AF14" i="10" s="1"/>
  <c r="AF15" i="10" a="1"/>
  <c r="AF15" i="10" s="1"/>
  <c r="AF16" i="10" a="1"/>
  <c r="AF16" i="10" s="1"/>
  <c r="AF17" i="10" a="1"/>
  <c r="AF17" i="10" s="1"/>
  <c r="AF19" i="10" a="1"/>
  <c r="AF19" i="10" s="1"/>
  <c r="AF20" i="10" a="1"/>
  <c r="AF20" i="10" s="1"/>
  <c r="AF21" i="10" a="1"/>
  <c r="AF21" i="10" s="1"/>
  <c r="AF2" i="10" a="1"/>
  <c r="AF2" i="10" s="1"/>
  <c r="AD3" i="10" a="1"/>
  <c r="AD3" i="10" s="1"/>
  <c r="AD4" i="10" a="1"/>
  <c r="AD4" i="10" s="1"/>
  <c r="AD5" i="10" a="1"/>
  <c r="AD5" i="10" s="1"/>
  <c r="AD6" i="10" a="1"/>
  <c r="AD6" i="10" s="1"/>
  <c r="AD7" i="10" a="1"/>
  <c r="AD7" i="10" s="1"/>
  <c r="AD8" i="10" a="1"/>
  <c r="AD8" i="10" s="1"/>
  <c r="AD9" i="10" a="1"/>
  <c r="AD9" i="10" s="1"/>
  <c r="AD10" i="10" a="1"/>
  <c r="AD10" i="10" s="1"/>
  <c r="AD11" i="10" a="1"/>
  <c r="AD11" i="10" s="1"/>
  <c r="AD12" i="10" a="1"/>
  <c r="AD12" i="10" s="1"/>
  <c r="AD13" i="10" a="1"/>
  <c r="AD13" i="10" s="1"/>
  <c r="AD14" i="10" a="1"/>
  <c r="AD14" i="10" s="1"/>
  <c r="AD15" i="10" a="1"/>
  <c r="AD15" i="10" s="1"/>
  <c r="AD16" i="10" a="1"/>
  <c r="AD16" i="10" s="1"/>
  <c r="AD17" i="10" a="1"/>
  <c r="AD17" i="10" s="1"/>
  <c r="AD18" i="10" a="1"/>
  <c r="AD18" i="10" s="1"/>
  <c r="AD19" i="10" a="1"/>
  <c r="AD19" i="10" s="1"/>
  <c r="AD20" i="10" a="1"/>
  <c r="AD20" i="10" s="1"/>
  <c r="AD21" i="10" a="1"/>
  <c r="AD21" i="10" s="1"/>
  <c r="AD2" i="10" a="1"/>
  <c r="AD2" i="10" s="1"/>
  <c r="AB3" i="10" a="1"/>
  <c r="AB3" i="10" s="1"/>
  <c r="AB4" i="10" a="1"/>
  <c r="AB4" i="10" s="1"/>
  <c r="AB5" i="10" a="1"/>
  <c r="AB5" i="10" s="1"/>
  <c r="AB6" i="10" a="1"/>
  <c r="AB6" i="10" s="1"/>
  <c r="AB7" i="10" a="1"/>
  <c r="AB7" i="10" s="1"/>
  <c r="AB8" i="10" a="1"/>
  <c r="AB8" i="10" s="1"/>
  <c r="AB9" i="10" a="1"/>
  <c r="AB9" i="10" s="1"/>
  <c r="AB10" i="10" a="1"/>
  <c r="AB10" i="10" s="1"/>
  <c r="AB11" i="10" a="1"/>
  <c r="AB11" i="10" s="1"/>
  <c r="AB12" i="10" a="1"/>
  <c r="AB12" i="10" s="1"/>
  <c r="AB13" i="10" a="1"/>
  <c r="AB13" i="10" s="1"/>
  <c r="AB14" i="10" a="1"/>
  <c r="AB14" i="10" s="1"/>
  <c r="AB15" i="10" a="1"/>
  <c r="AB15" i="10" s="1"/>
  <c r="AB16" i="10" a="1"/>
  <c r="AB16" i="10" s="1"/>
  <c r="AB17" i="10" a="1"/>
  <c r="AB17" i="10" s="1"/>
  <c r="AB18" i="10" a="1"/>
  <c r="AB18" i="10" s="1"/>
  <c r="AB19" i="10" a="1"/>
  <c r="AB19" i="10" s="1"/>
  <c r="AB20" i="10" a="1"/>
  <c r="AB20" i="10" s="1"/>
  <c r="AB21" i="10" a="1"/>
  <c r="AB21" i="10" s="1"/>
  <c r="AB2" i="10" a="1"/>
  <c r="AB2" i="10" s="1"/>
  <c r="Y3" i="10"/>
  <c r="Y4" i="10"/>
  <c r="Y5" i="10"/>
  <c r="Y6" i="10"/>
  <c r="Y7" i="10"/>
  <c r="Y8" i="10"/>
  <c r="Y9" i="10"/>
  <c r="Y10" i="10"/>
  <c r="Y11" i="10"/>
  <c r="Y12" i="10"/>
  <c r="Y13" i="10"/>
  <c r="Y14" i="10"/>
  <c r="Y15" i="10"/>
  <c r="Y16" i="10"/>
  <c r="Y17" i="10"/>
  <c r="Y18" i="10"/>
  <c r="Y19" i="10"/>
  <c r="Y20" i="10"/>
  <c r="Y21" i="10"/>
  <c r="Y2" i="10"/>
  <c r="W3" i="10"/>
  <c r="W4" i="10"/>
  <c r="W5" i="10"/>
  <c r="W6" i="10"/>
  <c r="W7" i="10"/>
  <c r="W8" i="10"/>
  <c r="W9" i="10"/>
  <c r="W10" i="10"/>
  <c r="W11" i="10"/>
  <c r="W12" i="10"/>
  <c r="W13" i="10"/>
  <c r="W14" i="10"/>
  <c r="W15" i="10"/>
  <c r="W16" i="10"/>
  <c r="W17" i="10"/>
  <c r="W18" i="10"/>
  <c r="W19" i="10"/>
  <c r="W20" i="10"/>
  <c r="W21" i="10"/>
  <c r="W2" i="10"/>
  <c r="U11" i="10"/>
  <c r="U12" i="10"/>
  <c r="U13" i="10"/>
  <c r="U14" i="10"/>
  <c r="U15" i="10"/>
  <c r="U16" i="10"/>
  <c r="U17" i="10"/>
  <c r="U18" i="10"/>
  <c r="U19" i="10"/>
  <c r="U20" i="10"/>
  <c r="U21" i="10"/>
  <c r="U3" i="10"/>
  <c r="U4" i="10"/>
  <c r="U5" i="10"/>
  <c r="U6" i="10"/>
  <c r="U7" i="10"/>
  <c r="U8" i="10"/>
  <c r="U9" i="10"/>
  <c r="U10" i="10"/>
  <c r="U2" i="10"/>
  <c r="D25" i="4" l="1" a="1"/>
  <c r="D25" i="4" s="1"/>
  <c r="D24" i="4"/>
  <c r="D26" i="4" a="1"/>
  <c r="D26" i="4" s="1"/>
  <c r="D27" i="4" a="1"/>
  <c r="D27" i="4" s="1"/>
  <c r="D28" i="4" a="1"/>
  <c r="D28" i="4" s="1"/>
  <c r="D29" i="4" a="1"/>
  <c r="D29" i="4" s="1"/>
  <c r="F30" i="4" a="1"/>
  <c r="F30" i="4" s="1"/>
  <c r="F29" i="4" a="1"/>
  <c r="F29" i="4" s="1"/>
  <c r="F28" i="4" a="1"/>
  <c r="F28" i="4" s="1"/>
  <c r="F27" i="4" a="1"/>
  <c r="F27" i="4" s="1"/>
  <c r="F26" i="4" a="1"/>
  <c r="F26" i="4" s="1"/>
  <c r="F25" i="4" a="1"/>
  <c r="F25" i="4" s="1"/>
  <c r="B367" i="8"/>
  <c r="B334" i="8"/>
  <c r="B301" i="8"/>
  <c r="B268" i="8"/>
  <c r="B235" i="8"/>
  <c r="B202" i="8"/>
  <c r="B169" i="8"/>
  <c r="B136" i="8"/>
  <c r="B103" i="8"/>
  <c r="B70" i="8"/>
  <c r="B37" i="8"/>
  <c r="B4" i="8"/>
  <c r="A271" i="8" a="1"/>
  <c r="A271" i="8" s="1"/>
  <c r="C304" i="8" s="1"/>
  <c r="A272" i="8" a="1"/>
  <c r="A272" i="8" s="1"/>
  <c r="C272" i="8" s="1"/>
  <c r="A207" i="8" a="1"/>
  <c r="A207" i="8" s="1"/>
  <c r="C207" i="8" s="1"/>
  <c r="A203" i="8" a="1"/>
  <c r="A203" i="8" s="1"/>
  <c r="C203" i="8" s="1"/>
  <c r="D364" i="8"/>
  <c r="A369" i="8" s="1" a="1"/>
  <c r="A369" i="8" s="1"/>
  <c r="D331" i="8"/>
  <c r="A337" i="8" s="1" a="1"/>
  <c r="A337" i="8" s="1"/>
  <c r="C337" i="8" s="1"/>
  <c r="D298" i="8"/>
  <c r="A305" i="8" s="1" a="1"/>
  <c r="A305" i="8" s="1"/>
  <c r="D265" i="8"/>
  <c r="A270" i="8" s="1" a="1"/>
  <c r="A270" i="8" s="1"/>
  <c r="C303" i="8" s="1"/>
  <c r="D232" i="8"/>
  <c r="A236" i="8" s="1" a="1"/>
  <c r="A236" i="8" s="1"/>
  <c r="C236" i="8" s="1"/>
  <c r="D199" i="8"/>
  <c r="A204" i="8" s="1" a="1"/>
  <c r="A204" i="8" s="1"/>
  <c r="C204" i="8" s="1"/>
  <c r="D166" i="8"/>
  <c r="D167" i="8" s="1"/>
  <c r="D133" i="8"/>
  <c r="A139" i="8" s="1" a="1"/>
  <c r="A139" i="8" s="1"/>
  <c r="C139" i="8" s="1"/>
  <c r="D100" i="8"/>
  <c r="D101" i="8" s="1"/>
  <c r="D67" i="8"/>
  <c r="A75" i="8" s="1" a="1"/>
  <c r="A75" i="8" s="1"/>
  <c r="C75" i="8" s="1"/>
  <c r="D34" i="8"/>
  <c r="D35" i="8" s="1"/>
  <c r="D1" i="8"/>
  <c r="D2" i="8" s="1"/>
  <c r="M73" i="9"/>
  <c r="M72" i="9"/>
  <c r="M68" i="9"/>
  <c r="M69" i="9"/>
  <c r="M70" i="9"/>
  <c r="M67" i="9"/>
  <c r="M64" i="9"/>
  <c r="M65" i="9"/>
  <c r="M62" i="9"/>
  <c r="M58" i="9"/>
  <c r="M59" i="9"/>
  <c r="M60" i="9"/>
  <c r="M57" i="9"/>
  <c r="M53" i="9"/>
  <c r="M54" i="9"/>
  <c r="M55" i="9"/>
  <c r="M52" i="9"/>
  <c r="M48" i="9"/>
  <c r="M49" i="9"/>
  <c r="M47" i="9"/>
  <c r="M51" i="9"/>
  <c r="M42" i="9"/>
  <c r="M43" i="9"/>
  <c r="M44" i="9"/>
  <c r="M45" i="9"/>
  <c r="M41" i="9"/>
  <c r="M38" i="9"/>
  <c r="M39" i="9"/>
  <c r="M37" i="9"/>
  <c r="M71" i="9"/>
  <c r="M66" i="9"/>
  <c r="M61" i="9"/>
  <c r="M56" i="9"/>
  <c r="M50" i="9"/>
  <c r="M46" i="9"/>
  <c r="M40" i="9"/>
  <c r="M36" i="9"/>
  <c r="M34" i="9"/>
  <c r="M35" i="9"/>
  <c r="M29" i="9"/>
  <c r="M30" i="9"/>
  <c r="M31" i="9"/>
  <c r="M32" i="9"/>
  <c r="M33" i="9"/>
  <c r="M28" i="9"/>
  <c r="M27" i="9"/>
  <c r="M25" i="9"/>
  <c r="M26" i="9"/>
  <c r="M24" i="9"/>
  <c r="M23" i="9"/>
  <c r="M22" i="9"/>
  <c r="M21" i="9"/>
  <c r="M19" i="9"/>
  <c r="M20" i="9"/>
  <c r="M18" i="9"/>
  <c r="M17" i="9"/>
  <c r="M16" i="9"/>
  <c r="M15" i="9"/>
  <c r="M14" i="9"/>
  <c r="H383" i="8"/>
  <c r="H350" i="8"/>
  <c r="H317" i="8"/>
  <c r="H284" i="8"/>
  <c r="H251" i="8"/>
  <c r="H218" i="8"/>
  <c r="H185" i="8"/>
  <c r="H152" i="8"/>
  <c r="H119" i="8"/>
  <c r="H86" i="8"/>
  <c r="H53" i="8"/>
  <c r="H20" i="8"/>
  <c r="H11" i="8"/>
  <c r="H44" i="8"/>
  <c r="H77" i="8"/>
  <c r="H110" i="8"/>
  <c r="H143" i="8"/>
  <c r="H176" i="8"/>
  <c r="H209" i="8"/>
  <c r="H242" i="8"/>
  <c r="H275" i="8"/>
  <c r="H308" i="8"/>
  <c r="H341" i="8"/>
  <c r="H374" i="8"/>
  <c r="H365" i="8"/>
  <c r="H332" i="8"/>
  <c r="H299" i="8"/>
  <c r="H266" i="8"/>
  <c r="H233" i="8"/>
  <c r="H200" i="8"/>
  <c r="H167" i="8"/>
  <c r="H134" i="8"/>
  <c r="H101" i="8"/>
  <c r="H68" i="8"/>
  <c r="H35" i="8"/>
  <c r="H2" i="8"/>
  <c r="A106" i="8" l="1" a="1"/>
  <c r="A106" i="8" s="1"/>
  <c r="A173" i="8" a="1"/>
  <c r="A173" i="8" s="1"/>
  <c r="C173" i="8" s="1"/>
  <c r="A41" i="8" a="1"/>
  <c r="A41" i="8" s="1"/>
  <c r="C41" i="8" s="1"/>
  <c r="A40" i="8" a="1"/>
  <c r="A40" i="8" s="1"/>
  <c r="C40" i="8" s="1"/>
  <c r="A8" i="8" a="1"/>
  <c r="A8" i="8" s="1"/>
  <c r="C8" i="8" s="1"/>
  <c r="A7" i="8" a="1"/>
  <c r="A7" i="8" s="1"/>
  <c r="A6" i="8" a="1"/>
  <c r="A6" i="8" s="1"/>
  <c r="C6" i="8" s="1"/>
  <c r="A42" i="8" a="1"/>
  <c r="A42" i="8" s="1"/>
  <c r="C42" i="8" s="1"/>
  <c r="A39" i="8" a="1"/>
  <c r="A39" i="8" s="1"/>
  <c r="C39" i="8" s="1"/>
  <c r="A9" i="8" a="1"/>
  <c r="A9" i="8" s="1"/>
  <c r="C9" i="8" s="1"/>
  <c r="A104" i="8" a="1"/>
  <c r="A104" i="8" s="1"/>
  <c r="C104" i="8" s="1"/>
  <c r="A105" i="8" a="1"/>
  <c r="A105" i="8" s="1"/>
  <c r="A5" i="8" a="1"/>
  <c r="A5" i="8" s="1"/>
  <c r="C5" i="8" s="1"/>
  <c r="A38" i="8" a="1"/>
  <c r="A38" i="8" s="1"/>
  <c r="C38" i="8" s="1"/>
  <c r="A336" i="8" a="1"/>
  <c r="A336" i="8" s="1"/>
  <c r="C336" i="8" s="1"/>
  <c r="A138" i="8" a="1"/>
  <c r="A138" i="8" s="1"/>
  <c r="C138" i="8" s="1"/>
  <c r="A240" i="8" a="1"/>
  <c r="A240" i="8" s="1"/>
  <c r="C240" i="8" s="1"/>
  <c r="A304" i="8" a="1"/>
  <c r="A304" i="8" s="1"/>
  <c r="D365" i="8"/>
  <c r="A74" i="8" a="1"/>
  <c r="A74" i="8" s="1"/>
  <c r="C74" i="8" s="1"/>
  <c r="A73" i="8" a="1"/>
  <c r="A73" i="8" s="1"/>
  <c r="C73" i="8" s="1"/>
  <c r="A170" i="8" a="1"/>
  <c r="A170" i="8" s="1"/>
  <c r="C170" i="8" s="1"/>
  <c r="A239" i="8" a="1"/>
  <c r="A239" i="8" s="1"/>
  <c r="C239" i="8" s="1"/>
  <c r="A303" i="8" a="1"/>
  <c r="A303" i="8" s="1"/>
  <c r="D332" i="8"/>
  <c r="A72" i="8" a="1"/>
  <c r="A72" i="8" s="1"/>
  <c r="C72" i="8" s="1"/>
  <c r="A174" i="8" a="1"/>
  <c r="A174" i="8" s="1"/>
  <c r="C174" i="8" s="1"/>
  <c r="A238" i="8" a="1"/>
  <c r="A238" i="8" s="1"/>
  <c r="C238" i="8" s="1"/>
  <c r="A335" i="8" a="1"/>
  <c r="A335" i="8" s="1"/>
  <c r="C335" i="8" s="1"/>
  <c r="D299" i="8"/>
  <c r="A237" i="8" a="1"/>
  <c r="A237" i="8" s="1"/>
  <c r="C237" i="8" s="1"/>
  <c r="A339" i="8" a="1"/>
  <c r="A339" i="8" s="1"/>
  <c r="C339" i="8" s="1"/>
  <c r="D266" i="8"/>
  <c r="A108" i="8" a="1"/>
  <c r="A108" i="8" s="1"/>
  <c r="C108" i="8" s="1"/>
  <c r="A172" i="8" a="1"/>
  <c r="A172" i="8" s="1"/>
  <c r="C172" i="8" s="1"/>
  <c r="A269" i="8" a="1"/>
  <c r="A269" i="8" s="1"/>
  <c r="C302" i="8" s="1"/>
  <c r="A338" i="8" a="1"/>
  <c r="A338" i="8" s="1"/>
  <c r="C338" i="8" s="1"/>
  <c r="D233" i="8"/>
  <c r="A107" i="8" a="1"/>
  <c r="A107" i="8" s="1"/>
  <c r="C107" i="8" s="1"/>
  <c r="A171" i="8" a="1"/>
  <c r="A171" i="8" s="1"/>
  <c r="C171" i="8" s="1"/>
  <c r="A273" i="8" a="1"/>
  <c r="A273" i="8" s="1"/>
  <c r="C273" i="8" s="1"/>
  <c r="D200" i="8"/>
  <c r="A368" i="8" a="1"/>
  <c r="A368" i="8" s="1"/>
  <c r="D134" i="8"/>
  <c r="A137" i="8" a="1"/>
  <c r="A137" i="8" s="1"/>
  <c r="C137" i="8" s="1"/>
  <c r="A206" i="8" a="1"/>
  <c r="A206" i="8" s="1"/>
  <c r="C206" i="8" s="1"/>
  <c r="A372" i="8" a="1"/>
  <c r="A372" i="8" s="1"/>
  <c r="C372" i="8" s="1"/>
  <c r="A141" i="8" a="1"/>
  <c r="A141" i="8" s="1"/>
  <c r="C141" i="8" s="1"/>
  <c r="A205" i="8" a="1"/>
  <c r="A205" i="8" s="1"/>
  <c r="C205" i="8" s="1"/>
  <c r="A302" i="8" a="1"/>
  <c r="A302" i="8" s="1"/>
  <c r="A371" i="8" a="1"/>
  <c r="A371" i="8" s="1"/>
  <c r="C371" i="8" s="1"/>
  <c r="D68" i="8"/>
  <c r="C7" i="8"/>
  <c r="A71" i="8" a="1"/>
  <c r="A71" i="8" s="1"/>
  <c r="C71" i="8" s="1"/>
  <c r="A140" i="8" a="1"/>
  <c r="A140" i="8" s="1"/>
  <c r="C140" i="8" s="1"/>
  <c r="A306" i="8" a="1"/>
  <c r="A306" i="8" s="1"/>
  <c r="A370" i="8" a="1"/>
  <c r="A370" i="8" s="1"/>
  <c r="C370" i="8" s="1"/>
  <c r="C106" i="8"/>
  <c r="C105" i="8"/>
  <c r="C271" i="8"/>
  <c r="C270" i="8"/>
  <c r="C369" i="8"/>
  <c r="C368" i="8"/>
  <c r="C305" i="8"/>
  <c r="B390" i="8"/>
  <c r="B357" i="8"/>
  <c r="B324" i="8"/>
  <c r="B291" i="8"/>
  <c r="B258" i="8"/>
  <c r="B225" i="8"/>
  <c r="B192" i="8"/>
  <c r="B159" i="8"/>
  <c r="B126" i="8"/>
  <c r="B93" i="8"/>
  <c r="B60" i="8"/>
  <c r="B27" i="8"/>
  <c r="D13" i="10" a="1"/>
  <c r="D13" i="10" s="1"/>
  <c r="D15" i="10" a="1"/>
  <c r="D15" i="10" s="1"/>
  <c r="D16" i="10" a="1"/>
  <c r="D16" i="10" s="1"/>
  <c r="D17" i="10" a="1"/>
  <c r="D17" i="10" s="1"/>
  <c r="D18" i="10" a="1"/>
  <c r="D18" i="10" s="1"/>
  <c r="D19" i="10" a="1"/>
  <c r="D19" i="10" s="1"/>
  <c r="D20" i="10" a="1"/>
  <c r="D20" i="10" s="1"/>
  <c r="D21" i="10" a="1"/>
  <c r="D21" i="10" s="1"/>
  <c r="D3" i="10" a="1"/>
  <c r="D3" i="10" s="1"/>
  <c r="D4" i="10" a="1"/>
  <c r="D4" i="10" s="1"/>
  <c r="D5" i="10" a="1"/>
  <c r="D5" i="10" s="1"/>
  <c r="D6" i="10" a="1"/>
  <c r="D6" i="10" s="1"/>
  <c r="D7" i="10" a="1"/>
  <c r="D7" i="10" s="1"/>
  <c r="D8" i="10" a="1"/>
  <c r="D8" i="10" s="1"/>
  <c r="D9" i="10" a="1"/>
  <c r="D9" i="10" s="1"/>
  <c r="D10" i="10" a="1"/>
  <c r="D10" i="10" s="1"/>
  <c r="D11" i="10" a="1"/>
  <c r="D11" i="10" s="1"/>
  <c r="D12" i="10" a="1"/>
  <c r="D12" i="10" s="1"/>
  <c r="D14" i="10" a="1"/>
  <c r="D14" i="10" s="1"/>
  <c r="C13" i="10" a="1"/>
  <c r="C13" i="10" s="1"/>
  <c r="C15" i="10" a="1"/>
  <c r="C15" i="10" s="1"/>
  <c r="C16" i="10" a="1"/>
  <c r="C16" i="10" s="1"/>
  <c r="C17" i="10" a="1"/>
  <c r="C17" i="10" s="1"/>
  <c r="C18" i="10" a="1"/>
  <c r="C18" i="10" s="1"/>
  <c r="C19" i="10" a="1"/>
  <c r="C19" i="10" s="1"/>
  <c r="C20" i="10" a="1"/>
  <c r="C20" i="10" s="1"/>
  <c r="C21" i="10" a="1"/>
  <c r="C21" i="10" s="1"/>
  <c r="C3" i="10" a="1"/>
  <c r="C3" i="10" s="1"/>
  <c r="C4" i="10" a="1"/>
  <c r="C4" i="10" s="1"/>
  <c r="C5" i="10" a="1"/>
  <c r="C5" i="10" s="1"/>
  <c r="C6" i="10" a="1"/>
  <c r="C6" i="10" s="1"/>
  <c r="C7" i="10" a="1"/>
  <c r="C7" i="10" s="1"/>
  <c r="C8" i="10" a="1"/>
  <c r="C8" i="10" s="1"/>
  <c r="C9" i="10" a="1"/>
  <c r="C9" i="10" s="1"/>
  <c r="C10" i="10" a="1"/>
  <c r="C10" i="10" s="1"/>
  <c r="C11" i="10" a="1"/>
  <c r="C11" i="10" s="1"/>
  <c r="C12" i="10" a="1"/>
  <c r="C12" i="10" s="1"/>
  <c r="C14" i="10" a="1"/>
  <c r="C14" i="10" s="1"/>
  <c r="B15" i="10" a="1"/>
  <c r="B15" i="10" s="1"/>
  <c r="B16" i="10" a="1"/>
  <c r="B16" i="10" s="1"/>
  <c r="B17" i="10" a="1"/>
  <c r="B17" i="10" s="1"/>
  <c r="P17" i="10" s="1"/>
  <c r="B18" i="10" a="1"/>
  <c r="B18" i="10" s="1"/>
  <c r="P18" i="10" s="1"/>
  <c r="B19" i="10" a="1"/>
  <c r="B19" i="10" s="1"/>
  <c r="B20" i="10" a="1"/>
  <c r="B20" i="10" s="1"/>
  <c r="B21" i="10" a="1"/>
  <c r="B21" i="10" s="1"/>
  <c r="B3" i="10" a="1"/>
  <c r="B3" i="10" s="1"/>
  <c r="B4" i="10" a="1"/>
  <c r="B4" i="10" s="1"/>
  <c r="B5" i="10" a="1"/>
  <c r="B5" i="10" s="1"/>
  <c r="B6" i="10" a="1"/>
  <c r="B6" i="10" s="1"/>
  <c r="B7" i="10" a="1"/>
  <c r="B7" i="10" s="1"/>
  <c r="B8" i="10" a="1"/>
  <c r="B8" i="10" s="1"/>
  <c r="B9" i="10" a="1"/>
  <c r="B9" i="10" s="1"/>
  <c r="P9" i="10" s="1"/>
  <c r="B10" i="10" a="1"/>
  <c r="B10" i="10" s="1"/>
  <c r="P10" i="10" s="1"/>
  <c r="B11" i="10" a="1"/>
  <c r="B11" i="10" s="1"/>
  <c r="B12" i="10" a="1"/>
  <c r="B12" i="10" s="1"/>
  <c r="B14" i="10" a="1"/>
  <c r="B14" i="10" s="1"/>
  <c r="B13" i="10" a="1"/>
  <c r="B13" i="10" s="1"/>
  <c r="D2" i="10" a="1"/>
  <c r="D2" i="10" s="1"/>
  <c r="C2" i="10" a="1"/>
  <c r="C2" i="10" s="1"/>
  <c r="B2" i="10" a="1"/>
  <c r="B2" i="10" s="1"/>
  <c r="P2" i="10" s="1"/>
  <c r="A298" i="8"/>
  <c r="A300" i="8" s="1"/>
  <c r="C306" i="8" l="1"/>
  <c r="C269" i="8"/>
  <c r="P15" i="10"/>
  <c r="P7" i="10"/>
  <c r="P8" i="10"/>
  <c r="P6" i="10"/>
  <c r="P11" i="10"/>
  <c r="P16" i="10"/>
  <c r="P5" i="10"/>
  <c r="P4" i="10"/>
  <c r="P13" i="10"/>
  <c r="P21" i="10"/>
  <c r="P3" i="10"/>
  <c r="P14" i="10"/>
  <c r="P20" i="10"/>
  <c r="P12" i="10"/>
  <c r="P19" i="10"/>
  <c r="D25" i="7"/>
  <c r="D19" i="7"/>
  <c r="D22" i="7"/>
  <c r="D29" i="7"/>
  <c r="D11" i="7"/>
  <c r="D5" i="7"/>
  <c r="D14" i="7"/>
  <c r="D30" i="7"/>
  <c r="D26" i="7"/>
  <c r="D7" i="7"/>
  <c r="D2" i="7"/>
  <c r="D8" i="7"/>
  <c r="D21" i="7"/>
  <c r="D28" i="7"/>
  <c r="D15" i="7"/>
  <c r="D12" i="7"/>
  <c r="D24" i="7"/>
  <c r="D17" i="7"/>
  <c r="D20" i="7"/>
  <c r="D31" i="7"/>
  <c r="D16" i="7"/>
  <c r="D27" i="7"/>
  <c r="D13" i="7"/>
  <c r="D3" i="7"/>
  <c r="D4" i="7"/>
  <c r="D6" i="7"/>
  <c r="D23" i="7"/>
  <c r="D10" i="7"/>
  <c r="D18" i="7"/>
  <c r="D9" i="7"/>
  <c r="A364" i="8"/>
  <c r="B366" i="8" s="1"/>
  <c r="A331" i="8"/>
  <c r="B333" i="8" s="1"/>
  <c r="B298" i="8"/>
  <c r="A265" i="8"/>
  <c r="B265" i="8" s="1"/>
  <c r="A232" i="8"/>
  <c r="A234" i="8" s="1"/>
  <c r="A199" i="8"/>
  <c r="B199" i="8" s="1"/>
  <c r="A166" i="8"/>
  <c r="A133" i="8"/>
  <c r="B135" i="8" s="1"/>
  <c r="A100" i="8"/>
  <c r="A102" i="8" s="1"/>
  <c r="A67" i="8"/>
  <c r="B69" i="8" s="1"/>
  <c r="A34" i="8"/>
  <c r="A1" i="8"/>
  <c r="B3" i="8" s="1"/>
  <c r="A123" i="6" a="1"/>
  <c r="C129" i="6" s="1"/>
  <c r="B123" i="6" a="1"/>
  <c r="B123" i="6" s="1"/>
  <c r="I13" i="6"/>
  <c r="H13" i="6"/>
  <c r="G13" i="6"/>
  <c r="F13" i="6"/>
  <c r="E13" i="6"/>
  <c r="I12" i="6"/>
  <c r="H12" i="6"/>
  <c r="G12" i="6"/>
  <c r="F12" i="6"/>
  <c r="E12" i="6"/>
  <c r="D12" i="6"/>
  <c r="H11" i="6"/>
  <c r="G11" i="6"/>
  <c r="F11" i="6"/>
  <c r="E11" i="6"/>
  <c r="D11" i="6"/>
  <c r="I10" i="6"/>
  <c r="G10" i="6"/>
  <c r="F10" i="6"/>
  <c r="E10" i="6"/>
  <c r="D10" i="6"/>
  <c r="I9" i="6"/>
  <c r="H9" i="6"/>
  <c r="G9" i="6"/>
  <c r="F9" i="6"/>
  <c r="E9" i="6"/>
  <c r="I8" i="6"/>
  <c r="H8" i="6"/>
  <c r="F8" i="6"/>
  <c r="E8" i="6"/>
  <c r="D8" i="6"/>
  <c r="I7" i="6"/>
  <c r="H7" i="6"/>
  <c r="G7" i="6"/>
  <c r="F7" i="6"/>
  <c r="D7" i="6"/>
  <c r="I6" i="6"/>
  <c r="H6" i="6"/>
  <c r="F6" i="6"/>
  <c r="E6" i="6"/>
  <c r="D6" i="6"/>
  <c r="I5" i="6"/>
  <c r="H5" i="6"/>
  <c r="G5" i="6"/>
  <c r="F5" i="6"/>
  <c r="E5" i="6"/>
  <c r="I4" i="6"/>
  <c r="H4" i="6"/>
  <c r="G4" i="6"/>
  <c r="F4" i="6"/>
  <c r="D4" i="6"/>
  <c r="I3" i="6"/>
  <c r="H3" i="6"/>
  <c r="G3" i="6"/>
  <c r="E3" i="6"/>
  <c r="D3" i="6"/>
  <c r="I2" i="6"/>
  <c r="H2" i="6"/>
  <c r="G2" i="6"/>
  <c r="F2" i="6"/>
  <c r="E2" i="6"/>
  <c r="D2" i="6"/>
  <c r="I8" i="5"/>
  <c r="G8" i="5"/>
  <c r="F8" i="5"/>
  <c r="E8" i="5"/>
  <c r="D8" i="5"/>
  <c r="A8" i="5"/>
  <c r="I13" i="5"/>
  <c r="H13" i="5"/>
  <c r="G13" i="5"/>
  <c r="F13" i="5"/>
  <c r="E13" i="5"/>
  <c r="A13" i="5"/>
  <c r="I7" i="5"/>
  <c r="H7" i="5"/>
  <c r="F7" i="5"/>
  <c r="E7" i="5"/>
  <c r="D7" i="5"/>
  <c r="A7" i="5"/>
  <c r="I10" i="5"/>
  <c r="H10" i="5"/>
  <c r="G10" i="5"/>
  <c r="F10" i="5"/>
  <c r="D10" i="5"/>
  <c r="A10" i="5"/>
  <c r="I2" i="5"/>
  <c r="H2" i="5"/>
  <c r="F2" i="5"/>
  <c r="E2" i="5"/>
  <c r="D2" i="5"/>
  <c r="A2" i="5"/>
  <c r="I6" i="5"/>
  <c r="H6" i="5"/>
  <c r="G6" i="5"/>
  <c r="F6" i="5"/>
  <c r="E6" i="5"/>
  <c r="A6" i="5"/>
  <c r="I4" i="5"/>
  <c r="H4" i="5"/>
  <c r="G4" i="5"/>
  <c r="F4" i="5"/>
  <c r="D4" i="5"/>
  <c r="A4" i="5"/>
  <c r="I11" i="5"/>
  <c r="H11" i="5"/>
  <c r="G11" i="5"/>
  <c r="E11" i="5"/>
  <c r="D11" i="5"/>
  <c r="A11" i="5"/>
  <c r="I12" i="5"/>
  <c r="H12" i="5"/>
  <c r="G12" i="5"/>
  <c r="F12" i="5"/>
  <c r="E12" i="5"/>
  <c r="A12" i="5"/>
  <c r="I9" i="5"/>
  <c r="H9" i="5"/>
  <c r="G9" i="5"/>
  <c r="F9" i="5"/>
  <c r="E9" i="5"/>
  <c r="D9" i="5"/>
  <c r="A9" i="5"/>
  <c r="H5" i="5"/>
  <c r="G5" i="5"/>
  <c r="F5" i="5"/>
  <c r="E5" i="5"/>
  <c r="D5" i="5"/>
  <c r="A5" i="5"/>
  <c r="I3" i="5"/>
  <c r="H3" i="5"/>
  <c r="G3" i="5"/>
  <c r="F3" i="5"/>
  <c r="E3" i="5"/>
  <c r="D3" i="5"/>
  <c r="A3" i="5"/>
  <c r="B300" i="8" l="1"/>
  <c r="A267" i="8"/>
  <c r="B267" i="8"/>
  <c r="A333" i="8"/>
  <c r="B34" i="8"/>
  <c r="A36" i="8"/>
  <c r="B36" i="8"/>
  <c r="B102" i="8"/>
  <c r="B364" i="8"/>
  <c r="B133" i="8"/>
  <c r="B201" i="8"/>
  <c r="A366" i="8"/>
  <c r="B232" i="8"/>
  <c r="B166" i="8"/>
  <c r="B234" i="8"/>
  <c r="B331" i="8"/>
  <c r="B100" i="8"/>
  <c r="B168" i="8"/>
  <c r="A201" i="8"/>
  <c r="A135" i="8"/>
  <c r="B67" i="8"/>
  <c r="A69" i="8"/>
  <c r="B1" i="8"/>
  <c r="A3" i="8"/>
  <c r="A168" i="8"/>
  <c r="H10" i="6"/>
  <c r="H14" i="6" s="1"/>
  <c r="H8" i="5"/>
  <c r="H15" i="5" s="1"/>
  <c r="E7" i="6"/>
  <c r="E10" i="5"/>
  <c r="F11" i="5"/>
  <c r="F16" i="5" s="1"/>
  <c r="F3" i="6"/>
  <c r="D6" i="5"/>
  <c r="D5" i="6"/>
  <c r="I11" i="6"/>
  <c r="I5" i="5"/>
  <c r="D12" i="5"/>
  <c r="D13" i="6"/>
  <c r="G6" i="6"/>
  <c r="G2" i="5"/>
  <c r="G8" i="6"/>
  <c r="G7" i="5"/>
  <c r="D13" i="5"/>
  <c r="D9" i="6"/>
  <c r="C128" i="6"/>
  <c r="C127" i="6"/>
  <c r="C126" i="6"/>
  <c r="C125" i="6"/>
  <c r="C124" i="6"/>
  <c r="C134" i="6"/>
  <c r="C133" i="6"/>
  <c r="C132" i="6"/>
  <c r="C131" i="6"/>
  <c r="C130" i="6"/>
  <c r="D128" i="6"/>
  <c r="D134" i="6"/>
  <c r="D129" i="6"/>
  <c r="D124" i="6"/>
  <c r="D130" i="6"/>
  <c r="D125" i="6"/>
  <c r="D131" i="6"/>
  <c r="D126" i="6"/>
  <c r="D132" i="6"/>
  <c r="A123" i="6"/>
  <c r="D127" i="6"/>
  <c r="D133" i="6"/>
  <c r="E4" i="5"/>
  <c r="E4" i="6"/>
  <c r="E14" i="6" l="1"/>
  <c r="I16" i="5"/>
  <c r="D16" i="5"/>
  <c r="E15" i="5"/>
  <c r="F15" i="5"/>
  <c r="F17" i="5" s="1"/>
  <c r="B7" i="2" s="1"/>
  <c r="C7" i="2" s="1"/>
  <c r="H16" i="5"/>
  <c r="H17" i="5" s="1"/>
  <c r="J24" i="5" s="1"/>
  <c r="E16" i="5"/>
  <c r="D15" i="5"/>
  <c r="G16" i="5"/>
  <c r="G15" i="5"/>
  <c r="I15" i="5"/>
  <c r="F14" i="6"/>
  <c r="G14" i="6"/>
  <c r="I14" i="6"/>
  <c r="D14" i="6"/>
  <c r="D123" i="6"/>
  <c r="C123" i="6"/>
  <c r="G17" i="5" l="1"/>
  <c r="B8" i="2" s="1"/>
  <c r="C8" i="2" s="1"/>
  <c r="E17" i="5"/>
  <c r="I17" i="5"/>
  <c r="J25" i="5" s="1"/>
  <c r="D17" i="5"/>
  <c r="J20" i="5" s="1"/>
  <c r="J22" i="5"/>
  <c r="B9" i="2"/>
  <c r="C9" i="2" s="1"/>
  <c r="J23" i="5" l="1"/>
  <c r="B10" i="2"/>
  <c r="C10" i="2" s="1"/>
  <c r="B5" i="2"/>
  <c r="C5" i="2" s="1"/>
  <c r="B6" i="2"/>
  <c r="C6" i="2" s="1"/>
  <c r="J21" i="5"/>
  <c r="H39" i="8" l="1"/>
  <c r="H42" i="8"/>
  <c r="H7" i="8"/>
  <c r="K303" i="8" l="1"/>
  <c r="K102" i="8"/>
  <c r="K37" i="8"/>
  <c r="B111" i="8"/>
  <c r="K103" i="8"/>
  <c r="K36" i="8"/>
  <c r="H102" i="8"/>
  <c r="K38" i="8"/>
  <c r="H306" i="8"/>
  <c r="K299" i="8"/>
  <c r="H104" i="8"/>
  <c r="K104" i="8"/>
  <c r="K101" i="8"/>
  <c r="H107" i="8"/>
  <c r="K39" i="8"/>
  <c r="K4" i="8"/>
  <c r="H40" i="8"/>
  <c r="H48" i="8" s="1"/>
  <c r="K3" i="8"/>
  <c r="H170" i="8"/>
  <c r="H172" i="8"/>
  <c r="K169" i="8"/>
  <c r="H36" i="8"/>
  <c r="K300" i="8"/>
  <c r="H38" i="8"/>
  <c r="H46" i="8" s="1"/>
  <c r="H6" i="8"/>
  <c r="H15" i="8" s="1"/>
  <c r="H106" i="8"/>
  <c r="K6" i="8"/>
  <c r="H9" i="8"/>
  <c r="H108" i="8"/>
  <c r="B45" i="8"/>
  <c r="K35" i="8"/>
  <c r="H105" i="8"/>
  <c r="K105" i="8"/>
  <c r="K167" i="8"/>
  <c r="H41" i="8"/>
  <c r="K171" i="8"/>
  <c r="H174" i="8"/>
  <c r="K302" i="8"/>
  <c r="H305" i="8"/>
  <c r="H303" i="8"/>
  <c r="H304" i="8"/>
  <c r="B309" i="8"/>
  <c r="H300" i="8"/>
  <c r="H302" i="8"/>
  <c r="H369" i="8"/>
  <c r="K366" i="8"/>
  <c r="K301" i="8"/>
  <c r="H173" i="8"/>
  <c r="H168" i="8"/>
  <c r="B177" i="8"/>
  <c r="K170" i="8"/>
  <c r="K168" i="8"/>
  <c r="H171" i="8"/>
  <c r="H47" i="8" l="1"/>
  <c r="B48" i="8"/>
  <c r="B53" i="8" s="1"/>
  <c r="H113" i="8"/>
  <c r="H178" i="8"/>
  <c r="H314" i="8"/>
  <c r="B114" i="8"/>
  <c r="B119" i="8" s="1"/>
  <c r="K335" i="8"/>
  <c r="H114" i="8"/>
  <c r="H310" i="8"/>
  <c r="H116" i="8"/>
  <c r="K334" i="8"/>
  <c r="H336" i="8"/>
  <c r="H333" i="8"/>
  <c r="H69" i="8"/>
  <c r="H115" i="8"/>
  <c r="H49" i="8"/>
  <c r="H112" i="8"/>
  <c r="H72" i="8"/>
  <c r="H75" i="8"/>
  <c r="H50" i="8"/>
  <c r="K71" i="8"/>
  <c r="K72" i="8"/>
  <c r="B342" i="8"/>
  <c r="K136" i="8"/>
  <c r="H139" i="8"/>
  <c r="H337" i="8"/>
  <c r="K68" i="8"/>
  <c r="K333" i="8"/>
  <c r="H71" i="8"/>
  <c r="H73" i="8"/>
  <c r="H335" i="8"/>
  <c r="K70" i="8"/>
  <c r="K332" i="8"/>
  <c r="B78" i="8"/>
  <c r="H205" i="8"/>
  <c r="K202" i="8"/>
  <c r="H338" i="8"/>
  <c r="K336" i="8"/>
  <c r="H339" i="8"/>
  <c r="H207" i="8"/>
  <c r="K204" i="8"/>
  <c r="K69" i="8"/>
  <c r="H74" i="8"/>
  <c r="H313" i="8"/>
  <c r="B312" i="8"/>
  <c r="B317" i="8" s="1"/>
  <c r="H312" i="8"/>
  <c r="H311" i="8"/>
  <c r="B180" i="8"/>
  <c r="B185" i="8" s="1"/>
  <c r="H182" i="8"/>
  <c r="H181" i="8"/>
  <c r="H179" i="8"/>
  <c r="H180" i="8"/>
  <c r="H345" i="8" l="1"/>
  <c r="H344" i="8"/>
  <c r="H82" i="8"/>
  <c r="H118" i="8"/>
  <c r="H120" i="8" s="1"/>
  <c r="B113" i="8" s="1"/>
  <c r="B118" i="8" s="1"/>
  <c r="I5" i="3" s="1"/>
  <c r="H52" i="8"/>
  <c r="B46" i="8" s="1"/>
  <c r="B345" i="8"/>
  <c r="B350" i="8" s="1"/>
  <c r="H80" i="8"/>
  <c r="H81" i="8"/>
  <c r="B81" i="8"/>
  <c r="B86" i="8" s="1"/>
  <c r="H79" i="8"/>
  <c r="H347" i="8"/>
  <c r="H83" i="8"/>
  <c r="H346" i="8"/>
  <c r="H343" i="8"/>
  <c r="H316" i="8"/>
  <c r="B310" i="8" s="1"/>
  <c r="H184" i="8"/>
  <c r="B178" i="8" s="1"/>
  <c r="B112" i="8" l="1"/>
  <c r="H54" i="8"/>
  <c r="B47" i="8" s="1"/>
  <c r="B52" i="8" s="1"/>
  <c r="I3" i="3" s="1"/>
  <c r="H85" i="8"/>
  <c r="B79" i="8" s="1"/>
  <c r="H349" i="8"/>
  <c r="H351" i="8" s="1"/>
  <c r="B344" i="8" s="1"/>
  <c r="B349" i="8" s="1"/>
  <c r="I12" i="3" s="1"/>
  <c r="H318" i="8"/>
  <c r="B311" i="8" s="1"/>
  <c r="B316" i="8" s="1"/>
  <c r="H186" i="8"/>
  <c r="B179" i="8" s="1"/>
  <c r="B184" i="8" s="1"/>
  <c r="I11" i="3" l="1"/>
  <c r="L11" i="3" s="1"/>
  <c r="I7" i="3"/>
  <c r="L7" i="3" s="1"/>
  <c r="B343" i="8"/>
  <c r="H87" i="8"/>
  <c r="B80" i="8" s="1"/>
  <c r="B85" i="8" s="1"/>
  <c r="M7" i="3" l="1"/>
  <c r="C168" i="8" s="1"/>
  <c r="B183" i="8" s="1"/>
  <c r="B187" i="8" s="1"/>
  <c r="L4" i="3"/>
  <c r="M11" i="3"/>
  <c r="C300" i="8" s="1"/>
  <c r="B315" i="8" s="1"/>
  <c r="B319" i="8" s="1"/>
  <c r="B322" i="8" l="1"/>
  <c r="B158" i="8"/>
  <c r="C5" i="5"/>
  <c r="C11" i="6"/>
  <c r="J11" i="6" s="1"/>
  <c r="B389" i="8"/>
  <c r="B190" i="8"/>
  <c r="M4" i="3"/>
  <c r="C69" i="8" s="1"/>
  <c r="B84" i="8" s="1"/>
  <c r="B88" i="8" s="1"/>
  <c r="C10" i="5"/>
  <c r="C7" i="6"/>
  <c r="J7" i="6" s="1"/>
  <c r="H270" i="8"/>
  <c r="K267" i="8"/>
  <c r="K270" i="8"/>
  <c r="H273" i="8"/>
  <c r="B91" i="8" l="1"/>
  <c r="B257" i="8"/>
  <c r="K10" i="5"/>
  <c r="J10" i="5"/>
  <c r="C4" i="6"/>
  <c r="J4" i="6" s="1"/>
  <c r="C4" i="5"/>
  <c r="J5" i="5"/>
  <c r="K5" i="5"/>
  <c r="H140" i="8"/>
  <c r="H148" i="8" s="1"/>
  <c r="K134" i="8"/>
  <c r="H137" i="8"/>
  <c r="K137" i="8"/>
  <c r="K269" i="8"/>
  <c r="H272" i="8"/>
  <c r="H281" i="8" s="1"/>
  <c r="K368" i="8"/>
  <c r="H371" i="8"/>
  <c r="K365" i="8"/>
  <c r="H368" i="8"/>
  <c r="H377" i="8" s="1"/>
  <c r="H203" i="8"/>
  <c r="H211" i="8" s="1"/>
  <c r="K200" i="8"/>
  <c r="L10" i="5" l="1"/>
  <c r="L5" i="5"/>
  <c r="J4" i="5"/>
  <c r="K4" i="5"/>
  <c r="K235" i="8"/>
  <c r="H238" i="8"/>
  <c r="H267" i="8"/>
  <c r="H271" i="8"/>
  <c r="K266" i="8"/>
  <c r="K268" i="8"/>
  <c r="B276" i="8"/>
  <c r="H269" i="8"/>
  <c r="B144" i="8"/>
  <c r="H138" i="8"/>
  <c r="H135" i="8"/>
  <c r="H141" i="8"/>
  <c r="K138" i="8"/>
  <c r="K135" i="8"/>
  <c r="H237" i="8"/>
  <c r="K234" i="8"/>
  <c r="K367" i="8"/>
  <c r="H372" i="8"/>
  <c r="H366" i="8"/>
  <c r="H370" i="8"/>
  <c r="B375" i="8"/>
  <c r="K369" i="8"/>
  <c r="B243" i="8"/>
  <c r="H234" i="8"/>
  <c r="H236" i="8"/>
  <c r="K233" i="8"/>
  <c r="K236" i="8"/>
  <c r="H239" i="8"/>
  <c r="H5" i="8"/>
  <c r="H8" i="8"/>
  <c r="B12" i="8"/>
  <c r="K2" i="8"/>
  <c r="H3" i="8"/>
  <c r="K5" i="8"/>
  <c r="H201" i="8"/>
  <c r="K201" i="8"/>
  <c r="B210" i="8"/>
  <c r="K203" i="8"/>
  <c r="H204" i="8"/>
  <c r="H206" i="8"/>
  <c r="H240" i="8"/>
  <c r="K237" i="8"/>
  <c r="L4" i="5" l="1"/>
  <c r="H247" i="8"/>
  <c r="H248" i="8"/>
  <c r="H245" i="8"/>
  <c r="B147" i="8"/>
  <c r="B152" i="8" s="1"/>
  <c r="B279" i="8"/>
  <c r="B284" i="8" s="1"/>
  <c r="H149" i="8"/>
  <c r="H145" i="8"/>
  <c r="H147" i="8"/>
  <c r="H146" i="8"/>
  <c r="H379" i="8"/>
  <c r="H378" i="8"/>
  <c r="H278" i="8"/>
  <c r="H277" i="8"/>
  <c r="H17" i="8"/>
  <c r="H16" i="8"/>
  <c r="H380" i="8"/>
  <c r="H376" i="8"/>
  <c r="H213" i="8"/>
  <c r="H212" i="8"/>
  <c r="H280" i="8"/>
  <c r="H279" i="8"/>
  <c r="B15" i="8"/>
  <c r="B378" i="8"/>
  <c r="B383" i="8" s="1"/>
  <c r="H215" i="8"/>
  <c r="H214" i="8"/>
  <c r="H13" i="8"/>
  <c r="H14" i="8"/>
  <c r="B246" i="8"/>
  <c r="B251" i="8" s="1"/>
  <c r="H246" i="8"/>
  <c r="B213" i="8"/>
  <c r="B218" i="8" s="1"/>
  <c r="H244" i="8"/>
  <c r="H19" i="8" l="1"/>
  <c r="B13" i="8" s="1"/>
  <c r="H283" i="8"/>
  <c r="B20" i="8"/>
  <c r="H217" i="8"/>
  <c r="H382" i="8"/>
  <c r="H151" i="8"/>
  <c r="H250" i="8"/>
  <c r="H21" i="8" l="1"/>
  <c r="B14" i="8" s="1"/>
  <c r="B19" i="8" s="1"/>
  <c r="I2" i="3" s="1"/>
  <c r="B244" i="8"/>
  <c r="H252" i="8"/>
  <c r="B245" i="8" s="1"/>
  <c r="B250" i="8" s="1"/>
  <c r="I9" i="3" s="1"/>
  <c r="B211" i="8"/>
  <c r="H219" i="8"/>
  <c r="B212" i="8" s="1"/>
  <c r="B217" i="8" s="1"/>
  <c r="I8" i="3" s="1"/>
  <c r="B145" i="8"/>
  <c r="H153" i="8"/>
  <c r="B146" i="8" s="1"/>
  <c r="B151" i="8" s="1"/>
  <c r="B376" i="8"/>
  <c r="H384" i="8"/>
  <c r="B377" i="8" s="1"/>
  <c r="B382" i="8" s="1"/>
  <c r="B277" i="8"/>
  <c r="H285" i="8"/>
  <c r="B278" i="8" s="1"/>
  <c r="B283" i="8" s="1"/>
  <c r="I10" i="3" l="1"/>
  <c r="L10" i="3" s="1"/>
  <c r="I13" i="3"/>
  <c r="L13" i="3" s="1"/>
  <c r="I6" i="3"/>
  <c r="L6" i="3" s="1"/>
  <c r="M13" i="3" l="1"/>
  <c r="C366" i="8" s="1"/>
  <c r="B381" i="8" s="1"/>
  <c r="B385" i="8" s="1"/>
  <c r="M6" i="3"/>
  <c r="C135" i="8" s="1"/>
  <c r="B150" i="8" s="1"/>
  <c r="B154" i="8" s="1"/>
  <c r="M10" i="3"/>
  <c r="C267" i="8" s="1"/>
  <c r="B282" i="8" s="1"/>
  <c r="B286" i="8" s="1"/>
  <c r="C10" i="6" l="1"/>
  <c r="J10" i="6" s="1"/>
  <c r="C8" i="5"/>
  <c r="B289" i="8"/>
  <c r="B125" i="8"/>
  <c r="C6" i="6"/>
  <c r="J6" i="6" s="1"/>
  <c r="G14" i="4" s="1"/>
  <c r="H14" i="4" s="1"/>
  <c r="C2" i="5"/>
  <c r="B388" i="8"/>
  <c r="B392" i="8" s="1"/>
  <c r="B191" i="8"/>
  <c r="B194" i="8" s="1"/>
  <c r="B157" i="8"/>
  <c r="B161" i="8" s="1"/>
  <c r="B323" i="8"/>
  <c r="B326" i="8" s="1"/>
  <c r="C13" i="6"/>
  <c r="J13" i="6" s="1"/>
  <c r="G17" i="4" s="1"/>
  <c r="H17" i="4" s="1"/>
  <c r="C12" i="5"/>
  <c r="K12" i="5" l="1"/>
  <c r="J12" i="5"/>
  <c r="B328" i="8"/>
  <c r="K11" i="6"/>
  <c r="G132" i="6" s="1"/>
  <c r="K6" i="6"/>
  <c r="G127" i="6" s="1"/>
  <c r="B163" i="8"/>
  <c r="B196" i="8"/>
  <c r="K7" i="6"/>
  <c r="G128" i="6" s="1"/>
  <c r="K13" i="6"/>
  <c r="G134" i="6" s="1"/>
  <c r="B394" i="8"/>
  <c r="K2" i="5"/>
  <c r="J2" i="5"/>
  <c r="K8" i="5"/>
  <c r="J8" i="5"/>
  <c r="L12" i="5" l="1"/>
  <c r="L2" i="5"/>
  <c r="L8" i="5"/>
  <c r="G9" i="10"/>
  <c r="F25" i="7"/>
  <c r="N13" i="3"/>
  <c r="G10" i="10"/>
  <c r="F19" i="7"/>
  <c r="G11" i="10"/>
  <c r="F5" i="7"/>
  <c r="G7" i="10"/>
  <c r="F11" i="7"/>
  <c r="F26" i="7"/>
  <c r="G8" i="10"/>
  <c r="F17" i="7"/>
  <c r="G13" i="10"/>
  <c r="F12" i="7"/>
  <c r="F18" i="10"/>
  <c r="F24" i="7"/>
  <c r="G2" i="10"/>
  <c r="F2" i="7"/>
  <c r="F16" i="7"/>
  <c r="G20" i="10"/>
  <c r="N7" i="3"/>
  <c r="G12" i="10"/>
  <c r="F3" i="10"/>
  <c r="E4" i="7"/>
  <c r="E3" i="7"/>
  <c r="F31" i="7"/>
  <c r="F13" i="10"/>
  <c r="N6" i="3"/>
  <c r="F20" i="10"/>
  <c r="E6" i="10"/>
  <c r="F21" i="10"/>
  <c r="E2" i="7"/>
  <c r="F20" i="7"/>
  <c r="E11" i="10"/>
  <c r="G17" i="10"/>
  <c r="F10" i="10"/>
  <c r="E29" i="7"/>
  <c r="N11" i="3"/>
  <c r="F15" i="7"/>
  <c r="F30" i="7"/>
  <c r="G16" i="10"/>
  <c r="E25" i="7"/>
  <c r="F6" i="7"/>
  <c r="F19" i="10"/>
  <c r="G25" i="7" l="1"/>
  <c r="I25" i="7" s="1"/>
  <c r="Z18" i="10" s="1"/>
  <c r="G2" i="7"/>
  <c r="I2" i="7" s="1"/>
  <c r="H2" i="7"/>
  <c r="H25" i="7"/>
  <c r="F119" i="6"/>
  <c r="C119" i="6" a="1"/>
  <c r="C119" i="6" s="1"/>
  <c r="H119" i="6" s="1"/>
  <c r="X19" i="10" l="1"/>
  <c r="Z9" i="10"/>
  <c r="Z3" i="10"/>
  <c r="D119" i="6"/>
  <c r="A119" i="6"/>
  <c r="L8" i="3" l="1"/>
  <c r="M8" i="3" l="1"/>
  <c r="C201" i="8" s="1"/>
  <c r="B216" i="8" s="1"/>
  <c r="B220" i="8" s="1"/>
  <c r="C8" i="6" l="1"/>
  <c r="J8" i="6" s="1"/>
  <c r="C7" i="5"/>
  <c r="B59" i="8"/>
  <c r="B223" i="8"/>
  <c r="J7" i="5" l="1"/>
  <c r="K7" i="5"/>
  <c r="L7" i="5" l="1"/>
  <c r="L3" i="3" l="1"/>
  <c r="M3" i="3" s="1"/>
  <c r="C36" i="8" s="1"/>
  <c r="C3" i="6" l="1"/>
  <c r="C11" i="5"/>
  <c r="B51" i="8"/>
  <c r="B55" i="8" s="1"/>
  <c r="B58" i="8" l="1"/>
  <c r="B62" i="8" s="1"/>
  <c r="B224" i="8"/>
  <c r="B227" i="8" s="1"/>
  <c r="J11" i="5"/>
  <c r="K11" i="5"/>
  <c r="J3" i="6"/>
  <c r="G5" i="4" s="1"/>
  <c r="H5" i="4" s="1"/>
  <c r="L11" i="5" l="1"/>
  <c r="K8" i="6"/>
  <c r="G129" i="6" s="1"/>
  <c r="B229" i="8"/>
  <c r="K3" i="6"/>
  <c r="G124" i="6" s="1"/>
  <c r="B64" i="8"/>
  <c r="E16" i="10" l="1"/>
  <c r="E27" i="7"/>
  <c r="G14" i="10"/>
  <c r="G18" i="10"/>
  <c r="N3" i="3"/>
  <c r="E24" i="7"/>
  <c r="F10" i="7"/>
  <c r="E28" i="7"/>
  <c r="E17" i="10"/>
  <c r="F2" i="10"/>
  <c r="E15" i="7"/>
  <c r="F4" i="7"/>
  <c r="F5" i="10"/>
  <c r="F6" i="10"/>
  <c r="E8" i="10"/>
  <c r="N8" i="3"/>
  <c r="E5" i="7"/>
  <c r="G3" i="10"/>
  <c r="F21" i="7"/>
  <c r="E14" i="7"/>
  <c r="E22" i="7"/>
  <c r="E7" i="10"/>
  <c r="H4" i="7" l="1"/>
  <c r="G4" i="7"/>
  <c r="I4" i="7" s="1"/>
  <c r="H15" i="7"/>
  <c r="G15" i="7"/>
  <c r="I15" i="7" s="1"/>
  <c r="G5" i="7"/>
  <c r="I5" i="7" s="1"/>
  <c r="H5" i="7"/>
  <c r="G24" i="7"/>
  <c r="I24" i="7" s="1"/>
  <c r="H24" i="7"/>
  <c r="X5" i="10" l="1"/>
  <c r="X6" i="10"/>
  <c r="Z2" i="10"/>
  <c r="Z7" i="10"/>
  <c r="X15" i="10"/>
  <c r="X16" i="10"/>
  <c r="Z11" i="10"/>
  <c r="V14" i="10"/>
  <c r="L9" i="3" l="1"/>
  <c r="L12" i="3"/>
  <c r="M12" i="3" l="1"/>
  <c r="M9" i="3"/>
  <c r="C234" i="8" s="1"/>
  <c r="B249" i="8" s="1"/>
  <c r="B253" i="8" s="1"/>
  <c r="C9" i="5"/>
  <c r="B92" i="8" l="1"/>
  <c r="B95" i="8" s="1"/>
  <c r="B256" i="8"/>
  <c r="B260" i="8" s="1"/>
  <c r="C12" i="6"/>
  <c r="J12" i="6" s="1"/>
  <c r="C333" i="8"/>
  <c r="B348" i="8" s="1"/>
  <c r="B352" i="8" s="1"/>
  <c r="C13" i="5"/>
  <c r="C9" i="6"/>
  <c r="B97" i="8"/>
  <c r="K4" i="6"/>
  <c r="G125" i="6" s="1"/>
  <c r="J9" i="5"/>
  <c r="K9" i="5"/>
  <c r="K9" i="6"/>
  <c r="G130" i="6" s="1"/>
  <c r="B262" i="8"/>
  <c r="B355" i="8" l="1"/>
  <c r="B26" i="8"/>
  <c r="L9" i="5"/>
  <c r="K13" i="5"/>
  <c r="J13" i="5"/>
  <c r="E4" i="10"/>
  <c r="F17" i="10"/>
  <c r="N4" i="3"/>
  <c r="E13" i="7"/>
  <c r="E19" i="10"/>
  <c r="E23" i="7"/>
  <c r="F27" i="7"/>
  <c r="E6" i="7"/>
  <c r="E12" i="7"/>
  <c r="E18" i="10"/>
  <c r="E12" i="10"/>
  <c r="J9" i="6"/>
  <c r="G8" i="4" s="1"/>
  <c r="H8" i="4" s="1"/>
  <c r="F14" i="7"/>
  <c r="E7" i="7"/>
  <c r="F18" i="7"/>
  <c r="N9" i="3"/>
  <c r="E9" i="10"/>
  <c r="F7" i="10"/>
  <c r="G6" i="10"/>
  <c r="F15" i="10"/>
  <c r="F3" i="7"/>
  <c r="G21" i="10"/>
  <c r="E19" i="7"/>
  <c r="L13" i="5" l="1"/>
  <c r="H6" i="10"/>
  <c r="I6" i="10"/>
  <c r="J6" i="10" s="1"/>
  <c r="H6" i="7"/>
  <c r="G6" i="7"/>
  <c r="I6" i="7" s="1"/>
  <c r="H12" i="7"/>
  <c r="G12" i="7"/>
  <c r="I12" i="7" s="1"/>
  <c r="I7" i="10"/>
  <c r="J7" i="10" s="1"/>
  <c r="H7" i="10"/>
  <c r="G14" i="7"/>
  <c r="I14" i="7" s="1"/>
  <c r="H14" i="7"/>
  <c r="I17" i="10"/>
  <c r="J17" i="10" s="1"/>
  <c r="H17" i="10"/>
  <c r="H27" i="7"/>
  <c r="G27" i="7"/>
  <c r="I27" i="7" s="1"/>
  <c r="H19" i="7"/>
  <c r="G19" i="7"/>
  <c r="I19" i="7" s="1"/>
  <c r="H3" i="7"/>
  <c r="G3" i="7"/>
  <c r="I3" i="7" s="1"/>
  <c r="I18" i="10"/>
  <c r="J18" i="10" s="1"/>
  <c r="H18" i="10"/>
  <c r="Z14" i="10" l="1"/>
  <c r="V15" i="10"/>
  <c r="Z15" i="10"/>
  <c r="X17" i="10"/>
  <c r="V8" i="10"/>
  <c r="Z6" i="10"/>
  <c r="V6" i="10"/>
  <c r="X7" i="10"/>
  <c r="Z10" i="10"/>
  <c r="X14" i="10"/>
  <c r="V7" i="10"/>
  <c r="X20" i="10"/>
  <c r="AN14" i="10" l="1"/>
  <c r="L6" i="10" s="1"/>
  <c r="M6" i="10" s="1"/>
  <c r="AN15" i="10"/>
  <c r="L7" i="10" s="1"/>
  <c r="M7" i="10" s="1"/>
  <c r="AN7" i="10"/>
  <c r="L18" i="10" s="1"/>
  <c r="M18" i="10" s="1"/>
  <c r="AN6" i="10"/>
  <c r="L17" i="10" s="1"/>
  <c r="M17" i="10" s="1"/>
  <c r="AM15" i="10"/>
  <c r="AM6" i="10"/>
  <c r="AM7" i="10"/>
  <c r="AM14" i="10"/>
  <c r="C118" i="6" l="1" a="1"/>
  <c r="C118" i="6" s="1"/>
  <c r="F118" i="6"/>
  <c r="K7" i="10"/>
  <c r="K17" i="10"/>
  <c r="K18" i="10"/>
  <c r="K6" i="10"/>
  <c r="D118" i="6" l="1"/>
  <c r="H118" i="6"/>
  <c r="N6" i="10"/>
  <c r="O6" i="10"/>
  <c r="N18" i="10"/>
  <c r="O18" i="10"/>
  <c r="N17" i="10"/>
  <c r="O17" i="10"/>
  <c r="N7" i="10"/>
  <c r="O7" i="10"/>
  <c r="A118" i="6"/>
  <c r="L5" i="3"/>
  <c r="L2" i="3"/>
  <c r="M5" i="3" l="1"/>
  <c r="C102" i="8" s="1"/>
  <c r="B117" i="8" s="1"/>
  <c r="B121" i="8" s="1"/>
  <c r="M2" i="3"/>
  <c r="C3" i="8" s="1"/>
  <c r="B18" i="8" s="1"/>
  <c r="B22" i="8" s="1"/>
  <c r="B25" i="8" l="1"/>
  <c r="B29" i="8" s="1"/>
  <c r="B356" i="8"/>
  <c r="B359" i="8" s="1"/>
  <c r="B124" i="8"/>
  <c r="B128" i="8" s="1"/>
  <c r="B290" i="8"/>
  <c r="B293" i="8" s="1"/>
  <c r="C6" i="5"/>
  <c r="C5" i="6"/>
  <c r="J5" i="6" s="1"/>
  <c r="G11" i="4" s="1"/>
  <c r="H11" i="4" s="1"/>
  <c r="K2" i="6"/>
  <c r="G123" i="6" s="1"/>
  <c r="B31" i="8"/>
  <c r="C3" i="5"/>
  <c r="C2" i="6"/>
  <c r="K12" i="6"/>
  <c r="G133" i="6" s="1"/>
  <c r="B361" i="8"/>
  <c r="J6" i="5" l="1"/>
  <c r="K6" i="5"/>
  <c r="B295" i="8"/>
  <c r="K10" i="6"/>
  <c r="G131" i="6" s="1"/>
  <c r="B130" i="8"/>
  <c r="K5" i="6"/>
  <c r="G126" i="6" s="1"/>
  <c r="F22" i="7"/>
  <c r="F11" i="10"/>
  <c r="E11" i="7"/>
  <c r="F29" i="7"/>
  <c r="F8" i="10"/>
  <c r="G5" i="10"/>
  <c r="G4" i="10"/>
  <c r="F8" i="7"/>
  <c r="N12" i="3"/>
  <c r="G19" i="10"/>
  <c r="F23" i="7"/>
  <c r="C16" i="5"/>
  <c r="J3" i="5"/>
  <c r="C15" i="5"/>
  <c r="K3" i="5"/>
  <c r="J2" i="6"/>
  <c r="G2" i="4" s="1"/>
  <c r="H2" i="4" s="1"/>
  <c r="C14" i="6"/>
  <c r="N2" i="3"/>
  <c r="E18" i="7"/>
  <c r="E16" i="7"/>
  <c r="E20" i="7"/>
  <c r="E14" i="10"/>
  <c r="E2" i="10"/>
  <c r="E15" i="10"/>
  <c r="E10" i="7"/>
  <c r="E13" i="10"/>
  <c r="E9" i="7"/>
  <c r="E21" i="10"/>
  <c r="C55" i="6" l="1" a="1"/>
  <c r="C55" i="6" s="1"/>
  <c r="C51" i="6" a="1"/>
  <c r="C51" i="6" s="1"/>
  <c r="C48" i="6" a="1"/>
  <c r="C48" i="6" s="1"/>
  <c r="C47" i="6" a="1"/>
  <c r="C47" i="6" s="1"/>
  <c r="C57" i="6" a="1"/>
  <c r="C57" i="6" s="1"/>
  <c r="C49" i="6" a="1"/>
  <c r="C49" i="6" s="1"/>
  <c r="C53" i="6" a="1"/>
  <c r="C53" i="6" s="1"/>
  <c r="C54" i="6" a="1"/>
  <c r="C54" i="6" s="1"/>
  <c r="C52" i="6" a="1"/>
  <c r="C52" i="6" s="1"/>
  <c r="C58" i="6" a="1"/>
  <c r="C58" i="6" s="1"/>
  <c r="C50" i="6" a="1"/>
  <c r="C50" i="6" s="1"/>
  <c r="C56" i="6" a="1"/>
  <c r="C56" i="6" s="1"/>
  <c r="E20" i="10"/>
  <c r="E21" i="7"/>
  <c r="F13" i="7"/>
  <c r="E5" i="10"/>
  <c r="I5" i="10" s="1"/>
  <c r="J5" i="10" s="1"/>
  <c r="N5" i="3"/>
  <c r="E17" i="7"/>
  <c r="E3" i="10"/>
  <c r="F4" i="10"/>
  <c r="H4" i="10" s="1"/>
  <c r="F12" i="10"/>
  <c r="E31" i="7"/>
  <c r="E8" i="7"/>
  <c r="G8" i="7" s="1"/>
  <c r="I8" i="7" s="1"/>
  <c r="E26" i="7"/>
  <c r="F14" i="10"/>
  <c r="H14" i="10" s="1"/>
  <c r="N10" i="3"/>
  <c r="G15" i="10"/>
  <c r="H15" i="10" s="1"/>
  <c r="F28" i="7"/>
  <c r="F9" i="7"/>
  <c r="G9" i="7" s="1"/>
  <c r="I9" i="7" s="1"/>
  <c r="E10" i="10"/>
  <c r="F7" i="7"/>
  <c r="F16" i="10"/>
  <c r="E30" i="7"/>
  <c r="F9" i="10"/>
  <c r="L6" i="5"/>
  <c r="H23" i="7"/>
  <c r="G23" i="7"/>
  <c r="I23" i="7" s="1"/>
  <c r="I19" i="10"/>
  <c r="J19" i="10" s="1"/>
  <c r="H19" i="10"/>
  <c r="G10" i="7"/>
  <c r="I10" i="7" s="1"/>
  <c r="H10" i="7"/>
  <c r="H18" i="7"/>
  <c r="G18" i="7"/>
  <c r="I18" i="7" s="1"/>
  <c r="H2" i="10"/>
  <c r="I2" i="10"/>
  <c r="J2" i="10" s="1"/>
  <c r="I13" i="10"/>
  <c r="J13" i="10" s="1"/>
  <c r="H13" i="10"/>
  <c r="I8" i="10"/>
  <c r="J8" i="10" s="1"/>
  <c r="H8" i="10"/>
  <c r="H29" i="7"/>
  <c r="G29" i="7"/>
  <c r="I29" i="7" s="1"/>
  <c r="G11" i="7"/>
  <c r="I11" i="7" s="1"/>
  <c r="H11" i="7"/>
  <c r="G16" i="7"/>
  <c r="I16" i="7" s="1"/>
  <c r="H16" i="7"/>
  <c r="H21" i="10"/>
  <c r="I21" i="10"/>
  <c r="J21" i="10" s="1"/>
  <c r="G20" i="7"/>
  <c r="I20" i="7" s="1"/>
  <c r="H20" i="7"/>
  <c r="C17" i="5"/>
  <c r="I11" i="10"/>
  <c r="J11" i="10" s="1"/>
  <c r="H11" i="10"/>
  <c r="L3" i="5"/>
  <c r="H22" i="7"/>
  <c r="G22" i="7"/>
  <c r="I22" i="7" s="1"/>
  <c r="I15" i="10" l="1"/>
  <c r="J15" i="10" s="1"/>
  <c r="I14" i="10"/>
  <c r="J14" i="10" s="1"/>
  <c r="H5" i="10"/>
  <c r="B61" i="6" a="1"/>
  <c r="B61" i="6" s="1"/>
  <c r="C67" i="6" s="1" a="1"/>
  <c r="C67" i="6" s="1"/>
  <c r="H9" i="7"/>
  <c r="I9" i="10"/>
  <c r="J9" i="10" s="1"/>
  <c r="H9" i="10"/>
  <c r="G31" i="7"/>
  <c r="I31" i="7" s="1"/>
  <c r="H31" i="7"/>
  <c r="H12" i="10"/>
  <c r="I12" i="10"/>
  <c r="J12" i="10" s="1"/>
  <c r="H8" i="7"/>
  <c r="I16" i="10"/>
  <c r="J16" i="10" s="1"/>
  <c r="H16" i="10"/>
  <c r="G7" i="7"/>
  <c r="I7" i="7" s="1"/>
  <c r="H7" i="7"/>
  <c r="I3" i="10"/>
  <c r="J3" i="10" s="1"/>
  <c r="H3" i="10"/>
  <c r="G26" i="7"/>
  <c r="I26" i="7" s="1"/>
  <c r="H26" i="7"/>
  <c r="I10" i="10"/>
  <c r="J10" i="10" s="1"/>
  <c r="H10" i="10"/>
  <c r="G17" i="7"/>
  <c r="I17" i="7" s="1"/>
  <c r="H17" i="7"/>
  <c r="H28" i="7"/>
  <c r="G28" i="7"/>
  <c r="I28" i="7" s="1"/>
  <c r="G13" i="7"/>
  <c r="I13" i="7" s="1"/>
  <c r="H13" i="7"/>
  <c r="G30" i="7"/>
  <c r="I30" i="7" s="1"/>
  <c r="H30" i="7"/>
  <c r="I4" i="10"/>
  <c r="J4" i="10" s="1"/>
  <c r="H21" i="7"/>
  <c r="G21" i="7"/>
  <c r="I21" i="7" s="1"/>
  <c r="H20" i="10"/>
  <c r="I20" i="10"/>
  <c r="J20" i="10" s="1"/>
  <c r="X2" i="10"/>
  <c r="X3" i="10"/>
  <c r="Z13" i="10"/>
  <c r="V16" i="10"/>
  <c r="V21" i="10"/>
  <c r="X4" i="10"/>
  <c r="V4" i="10"/>
  <c r="X10" i="10"/>
  <c r="V10" i="10"/>
  <c r="V3" i="10"/>
  <c r="Z12" i="10"/>
  <c r="X13" i="10"/>
  <c r="Z19" i="10"/>
  <c r="Z16" i="10"/>
  <c r="V19" i="10"/>
  <c r="Z8" i="10"/>
  <c r="V2" i="10"/>
  <c r="X21" i="10"/>
  <c r="L15" i="5"/>
  <c r="B1" i="2" s="1"/>
  <c r="D1" i="2" s="1"/>
  <c r="J19" i="5"/>
  <c r="B4" i="2"/>
  <c r="C4" i="2" s="1"/>
  <c r="X12" i="10"/>
  <c r="X8" i="10"/>
  <c r="AN8" i="10" s="1"/>
  <c r="L19" i="10" s="1"/>
  <c r="AN3" i="10" l="1"/>
  <c r="L13" i="10" s="1"/>
  <c r="AN10" i="10"/>
  <c r="L21" i="10" s="1"/>
  <c r="AN16" i="10"/>
  <c r="L8" i="10" s="1"/>
  <c r="M8" i="10" s="1"/>
  <c r="AN2" i="10"/>
  <c r="L2" i="10" s="1"/>
  <c r="M2" i="10" s="1"/>
  <c r="AN19" i="10"/>
  <c r="L11" i="10" s="1"/>
  <c r="M11" i="10" s="1"/>
  <c r="C66" i="6" a="1"/>
  <c r="C66" i="6" s="1"/>
  <c r="O3" i="3" s="1"/>
  <c r="C74" i="6" a="1"/>
  <c r="C74" i="6" s="1"/>
  <c r="E132" i="6" s="1"/>
  <c r="C65" i="6" a="1"/>
  <c r="C65" i="6" s="1"/>
  <c r="C76" i="6" a="1"/>
  <c r="C76" i="6" s="1"/>
  <c r="E134" i="6" s="1"/>
  <c r="C71" i="6" a="1"/>
  <c r="C71" i="6" s="1"/>
  <c r="E129" i="6" s="1"/>
  <c r="C75" i="6" a="1"/>
  <c r="C75" i="6" s="1"/>
  <c r="O12" i="3" s="1"/>
  <c r="U12" i="3" s="1"/>
  <c r="C70" i="6" a="1"/>
  <c r="C70" i="6" s="1"/>
  <c r="E128" i="6" s="1"/>
  <c r="C68" i="6" a="1"/>
  <c r="C68" i="6" s="1"/>
  <c r="C69" i="6" a="1"/>
  <c r="C69" i="6" s="1"/>
  <c r="E127" i="6" s="1"/>
  <c r="C62" i="6"/>
  <c r="C73" i="6" a="1"/>
  <c r="C73" i="6" s="1"/>
  <c r="O10" i="3" s="1"/>
  <c r="U10" i="3" s="1"/>
  <c r="C72" i="6" a="1"/>
  <c r="C72" i="6" s="1"/>
  <c r="E130" i="6" s="1"/>
  <c r="V12" i="10"/>
  <c r="V20" i="10"/>
  <c r="V17" i="10"/>
  <c r="Z4" i="10"/>
  <c r="AM4" i="10" s="1"/>
  <c r="Z21" i="10"/>
  <c r="AM21" i="10" s="1"/>
  <c r="K14" i="10" s="1"/>
  <c r="V5" i="10"/>
  <c r="Z5" i="10"/>
  <c r="V18" i="10"/>
  <c r="X9" i="10"/>
  <c r="Z20" i="10"/>
  <c r="X11" i="10"/>
  <c r="V13" i="10"/>
  <c r="V11" i="10"/>
  <c r="V9" i="10"/>
  <c r="X18" i="10"/>
  <c r="Z17" i="10"/>
  <c r="M21" i="10"/>
  <c r="AM16" i="10"/>
  <c r="K8" i="10" s="1"/>
  <c r="O8" i="10" s="1"/>
  <c r="AM8" i="10"/>
  <c r="K19" i="10" s="1"/>
  <c r="O19" i="10" s="1"/>
  <c r="AM3" i="10"/>
  <c r="K13" i="10" s="1"/>
  <c r="O13" i="10" s="1"/>
  <c r="E125" i="6"/>
  <c r="O4" i="3"/>
  <c r="M19" i="10"/>
  <c r="AM10" i="10"/>
  <c r="C21" i="5"/>
  <c r="C20" i="5"/>
  <c r="AM2" i="10"/>
  <c r="AM19" i="10"/>
  <c r="M13" i="10"/>
  <c r="D85" i="6" l="1"/>
  <c r="O2" i="3"/>
  <c r="U2" i="3" s="1"/>
  <c r="O8" i="3"/>
  <c r="E124" i="6"/>
  <c r="E123" i="6"/>
  <c r="F123" i="6" s="1"/>
  <c r="H123" i="6" s="1"/>
  <c r="AN11" i="10"/>
  <c r="L3" i="10" s="1"/>
  <c r="M3" i="10" s="1"/>
  <c r="O11" i="3"/>
  <c r="AN20" i="10"/>
  <c r="L12" i="10" s="1"/>
  <c r="M12" i="10" s="1"/>
  <c r="AN5" i="10"/>
  <c r="L16" i="10" s="1"/>
  <c r="M16" i="10" s="1"/>
  <c r="AN9" i="10"/>
  <c r="L20" i="10" s="1"/>
  <c r="M20" i="10" s="1"/>
  <c r="AM12" i="10"/>
  <c r="K4" i="10" s="1"/>
  <c r="AN12" i="10"/>
  <c r="L4" i="10" s="1"/>
  <c r="M4" i="10" s="1"/>
  <c r="O13" i="3"/>
  <c r="U13" i="3" s="1"/>
  <c r="O7" i="3"/>
  <c r="AN17" i="10"/>
  <c r="L9" i="10" s="1"/>
  <c r="M9" i="10" s="1"/>
  <c r="E133" i="6"/>
  <c r="F133" i="6" s="1"/>
  <c r="H133" i="6" s="1"/>
  <c r="M133" i="6" s="1"/>
  <c r="AN18" i="10"/>
  <c r="L10" i="10" s="1"/>
  <c r="M10" i="10" s="1"/>
  <c r="AN21" i="10"/>
  <c r="L14" i="10" s="1"/>
  <c r="O14" i="10" s="1"/>
  <c r="AM13" i="10"/>
  <c r="K5" i="10" s="1"/>
  <c r="AN13" i="10"/>
  <c r="L5" i="10" s="1"/>
  <c r="M5" i="10" s="1"/>
  <c r="AN4" i="10"/>
  <c r="L15" i="10" s="1"/>
  <c r="M15" i="10" s="1"/>
  <c r="B108" i="6" a="1"/>
  <c r="O9" i="3"/>
  <c r="A90" i="6" a="1"/>
  <c r="A90" i="6" s="1"/>
  <c r="A102" i="6" s="1"/>
  <c r="B101" i="6" s="1"/>
  <c r="C101" i="6" s="1"/>
  <c r="E118" i="6"/>
  <c r="G118" i="6" s="1"/>
  <c r="L118" i="6" s="1"/>
  <c r="E119" i="6"/>
  <c r="G119" i="6" s="1"/>
  <c r="L119" i="6" s="1"/>
  <c r="E126" i="6"/>
  <c r="J126" i="6" s="1"/>
  <c r="O6" i="3"/>
  <c r="O5" i="3"/>
  <c r="U5" i="3" s="1"/>
  <c r="B81" i="6" a="1"/>
  <c r="B81" i="6" s="1"/>
  <c r="C81" i="6" s="1" a="1"/>
  <c r="C81" i="6" s="1"/>
  <c r="B82" i="6" a="1"/>
  <c r="B82" i="6" s="1"/>
  <c r="C82" i="6" s="1" a="1"/>
  <c r="C82" i="6" s="1"/>
  <c r="E131" i="6"/>
  <c r="F131" i="6" s="1"/>
  <c r="H131" i="6" s="1"/>
  <c r="M131" i="6" s="1"/>
  <c r="AM5" i="10"/>
  <c r="K16" i="10" s="1"/>
  <c r="AM11" i="10"/>
  <c r="AM20" i="10"/>
  <c r="K12" i="10" s="1"/>
  <c r="AM18" i="10"/>
  <c r="AM17" i="10"/>
  <c r="AM9" i="10"/>
  <c r="C22" i="5"/>
  <c r="E3" i="2" s="1"/>
  <c r="N8" i="10"/>
  <c r="K21" i="10"/>
  <c r="F130" i="6"/>
  <c r="H130" i="6" s="1"/>
  <c r="M130" i="6" s="1"/>
  <c r="K11" i="10"/>
  <c r="K2" i="10"/>
  <c r="N19" i="10"/>
  <c r="N13" i="10"/>
  <c r="K15" i="10"/>
  <c r="F134" i="6"/>
  <c r="H134" i="6" s="1"/>
  <c r="M134" i="6" s="1"/>
  <c r="J134" i="6"/>
  <c r="C111" i="6" a="1"/>
  <c r="C111" i="6" s="1"/>
  <c r="C115" i="6" a="1"/>
  <c r="C115" i="6" s="1"/>
  <c r="F127" i="6"/>
  <c r="H127" i="6" s="1"/>
  <c r="M127" i="6" s="1"/>
  <c r="F129" i="6"/>
  <c r="H129" i="6" s="1"/>
  <c r="M129" i="6" s="1"/>
  <c r="F128" i="6"/>
  <c r="H128" i="6" s="1"/>
  <c r="M128" i="6" s="1"/>
  <c r="F132" i="6"/>
  <c r="H132" i="6" s="1"/>
  <c r="M132" i="6" s="1"/>
  <c r="F124" i="6"/>
  <c r="H124" i="6" s="1"/>
  <c r="M124" i="6" s="1"/>
  <c r="F125" i="6"/>
  <c r="H125" i="6" s="1"/>
  <c r="M125" i="6" s="1"/>
  <c r="C112" i="6" l="1" a="1"/>
  <c r="C112" i="6" s="1"/>
  <c r="A112" i="6" s="1"/>
  <c r="C113" i="6" a="1"/>
  <c r="C113" i="6" s="1"/>
  <c r="D113" i="6" s="1"/>
  <c r="C109" i="6" a="1"/>
  <c r="C109" i="6" s="1"/>
  <c r="A109" i="6" s="1"/>
  <c r="C116" i="6" a="1"/>
  <c r="C116" i="6" s="1"/>
  <c r="A116" i="6" s="1"/>
  <c r="M123" i="6"/>
  <c r="C117" i="6" a="1"/>
  <c r="C117" i="6" s="1"/>
  <c r="F117" i="6"/>
  <c r="E117" i="6"/>
  <c r="G117" i="6" s="1"/>
  <c r="E113" i="6"/>
  <c r="C114" i="6" a="1"/>
  <c r="C114" i="6" s="1"/>
  <c r="H114" i="6" s="1"/>
  <c r="C110" i="6" a="1"/>
  <c r="C110" i="6" s="1"/>
  <c r="O16" i="10"/>
  <c r="J123" i="6"/>
  <c r="O12" i="10"/>
  <c r="O4" i="10"/>
  <c r="J133" i="6"/>
  <c r="N5" i="10"/>
  <c r="O5" i="10"/>
  <c r="O15" i="10"/>
  <c r="M14" i="10"/>
  <c r="N14" i="10" s="1"/>
  <c r="N11" i="10"/>
  <c r="O11" i="10"/>
  <c r="N2" i="10"/>
  <c r="O2" i="10"/>
  <c r="N21" i="10"/>
  <c r="O21" i="10"/>
  <c r="K3" i="10"/>
  <c r="O3" i="10" s="1"/>
  <c r="F112" i="6"/>
  <c r="F126" i="6"/>
  <c r="H126" i="6" s="1"/>
  <c r="M126" i="6" s="1"/>
  <c r="B108" i="6"/>
  <c r="E116" i="6"/>
  <c r="F116" i="6"/>
  <c r="E115" i="6"/>
  <c r="E110" i="6"/>
  <c r="F114" i="6"/>
  <c r="F113" i="6"/>
  <c r="F115" i="6"/>
  <c r="B84" i="6"/>
  <c r="A14" i="2" s="1"/>
  <c r="F109" i="6"/>
  <c r="E109" i="6"/>
  <c r="E114" i="6"/>
  <c r="F110" i="6"/>
  <c r="N15" i="10"/>
  <c r="F111" i="6"/>
  <c r="J124" i="6" s="1"/>
  <c r="E111" i="6"/>
  <c r="E112" i="6"/>
  <c r="N4" i="10"/>
  <c r="N16" i="10"/>
  <c r="K10" i="10"/>
  <c r="N12" i="10"/>
  <c r="K20" i="10"/>
  <c r="K9" i="10"/>
  <c r="J131" i="6"/>
  <c r="B100" i="6"/>
  <c r="C100" i="6" s="1"/>
  <c r="B93" i="6"/>
  <c r="C93" i="6" s="1"/>
  <c r="B95" i="6"/>
  <c r="C95" i="6" s="1"/>
  <c r="B97" i="6"/>
  <c r="C97" i="6" s="1"/>
  <c r="B90" i="6"/>
  <c r="C90" i="6" s="1"/>
  <c r="B91" i="6"/>
  <c r="C91" i="6" s="1"/>
  <c r="D111" i="6"/>
  <c r="A111" i="6"/>
  <c r="B96" i="6"/>
  <c r="C96" i="6" s="1"/>
  <c r="B94" i="6"/>
  <c r="C94" i="6" s="1"/>
  <c r="D115" i="6"/>
  <c r="A115" i="6"/>
  <c r="B92" i="6"/>
  <c r="C92" i="6" s="1"/>
  <c r="C108" i="6" a="1"/>
  <c r="C108" i="6" s="1"/>
  <c r="B99" i="6"/>
  <c r="C99" i="6" s="1"/>
  <c r="B98" i="6"/>
  <c r="C98" i="6" s="1"/>
  <c r="P2" i="3" l="1"/>
  <c r="V2" i="3" s="1"/>
  <c r="P8" i="3"/>
  <c r="V8" i="3" s="1"/>
  <c r="P3" i="3"/>
  <c r="V3" i="3" s="1"/>
  <c r="P6" i="3"/>
  <c r="P9" i="3"/>
  <c r="P7" i="3"/>
  <c r="P13" i="3"/>
  <c r="V13" i="3" s="1"/>
  <c r="P5" i="3"/>
  <c r="V5" i="3" s="1"/>
  <c r="P10" i="3"/>
  <c r="V10" i="3" s="1"/>
  <c r="P12" i="3"/>
  <c r="V12" i="3" s="1"/>
  <c r="P11" i="3"/>
  <c r="V11" i="3" s="1"/>
  <c r="D112" i="6"/>
  <c r="A113" i="6"/>
  <c r="D116" i="6"/>
  <c r="D109" i="6"/>
  <c r="G113" i="6"/>
  <c r="J129" i="6"/>
  <c r="U3" i="3"/>
  <c r="H117" i="6"/>
  <c r="D117" i="6"/>
  <c r="A117" i="6"/>
  <c r="L117" i="6" s="1"/>
  <c r="D114" i="6"/>
  <c r="A114" i="6"/>
  <c r="D110" i="6"/>
  <c r="A110" i="6"/>
  <c r="L116" i="6"/>
  <c r="G110" i="6"/>
  <c r="G111" i="6"/>
  <c r="L111" i="6" s="1"/>
  <c r="U6" i="3" s="1"/>
  <c r="H116" i="6" s="1"/>
  <c r="G109" i="6"/>
  <c r="L109" i="6" s="1"/>
  <c r="G112" i="6"/>
  <c r="L112" i="6" s="1"/>
  <c r="G115" i="6"/>
  <c r="L115" i="6" s="1"/>
  <c r="G114" i="6"/>
  <c r="E108" i="6"/>
  <c r="P4" i="3" s="1"/>
  <c r="F108" i="6"/>
  <c r="J130" i="6"/>
  <c r="J127" i="6"/>
  <c r="N3" i="10"/>
  <c r="N20" i="10"/>
  <c r="O20" i="10"/>
  <c r="N9" i="10"/>
  <c r="O9" i="10"/>
  <c r="N10" i="10"/>
  <c r="O10" i="10"/>
  <c r="J128" i="6"/>
  <c r="J132" i="6"/>
  <c r="C102" i="6"/>
  <c r="B104" i="6" s="1"/>
  <c r="B14" i="2" s="1"/>
  <c r="A108" i="6"/>
  <c r="D108" i="6"/>
  <c r="V7" i="3" l="1"/>
  <c r="V6" i="3"/>
  <c r="L113" i="6"/>
  <c r="H111" i="6"/>
  <c r="H115" i="6"/>
  <c r="L110" i="6"/>
  <c r="V9" i="3" s="1"/>
  <c r="L114" i="6"/>
  <c r="J125" i="6"/>
  <c r="U7" i="3"/>
  <c r="H109" i="6" s="1"/>
  <c r="G108" i="6"/>
  <c r="B16" i="2" l="1" a="1"/>
  <c r="B16" i="2" s="1"/>
  <c r="U8" i="3"/>
  <c r="U9" i="3"/>
  <c r="L108" i="6"/>
  <c r="V4" i="3" s="1"/>
  <c r="C24" i="5" a="1"/>
  <c r="C24" i="5" s="1"/>
  <c r="H113" i="6" l="1"/>
  <c r="H110" i="6"/>
  <c r="U4" i="3"/>
  <c r="H108" i="6" s="1"/>
  <c r="U11" i="3"/>
  <c r="H112"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murau</author>
  </authors>
  <commentList>
    <comment ref="C14" authorId="0" shapeId="0" xr:uid="{7606F28E-69BC-4E71-993B-EEFF10892835}">
      <text>
        <r>
          <rPr>
            <b/>
            <sz val="9"/>
            <color indexed="81"/>
            <rFont val="Tahoma"/>
            <family val="2"/>
            <charset val="186"/>
          </rPr>
          <t>Earth (Stability): Is it grounded? -&gt;</t>
        </r>
      </text>
    </comment>
    <comment ref="O14" authorId="0" shapeId="0" xr:uid="{4AF61EFE-795A-4E60-B0C1-85ACF9598D35}">
      <text>
        <r>
          <rPr>
            <b/>
            <sz val="9"/>
            <color indexed="81"/>
            <rFont val="Tahoma"/>
            <family val="2"/>
            <charset val="186"/>
          </rPr>
          <t>Stability</t>
        </r>
      </text>
    </comment>
    <comment ref="Z14" authorId="0" shapeId="0" xr:uid="{747E11E0-1BF8-4D89-A0C4-8E7C29BA4CEE}">
      <text>
        <r>
          <rPr>
            <b/>
            <sz val="9"/>
            <color indexed="81"/>
            <rFont val="Tahoma"/>
            <family val="2"/>
            <charset val="186"/>
          </rPr>
          <t>Stability</t>
        </r>
      </text>
    </comment>
    <comment ref="AK14" authorId="0" shapeId="0" xr:uid="{9A423014-82B8-47B4-A73C-D623007FB671}">
      <text>
        <r>
          <rPr>
            <b/>
            <sz val="9"/>
            <color indexed="81"/>
            <rFont val="Tahoma"/>
            <family val="2"/>
            <charset val="186"/>
          </rPr>
          <t>Stability</t>
        </r>
      </text>
    </comment>
    <comment ref="AV14" authorId="0" shapeId="0" xr:uid="{8F3944E5-F805-4B61-9B15-E8EB0672A015}">
      <text>
        <r>
          <rPr>
            <b/>
            <sz val="9"/>
            <color indexed="81"/>
            <rFont val="Tahoma"/>
            <family val="2"/>
            <charset val="186"/>
          </rPr>
          <t>Stability</t>
        </r>
      </text>
    </comment>
    <comment ref="BG14" authorId="0" shapeId="0" xr:uid="{C639C869-CAD2-4B87-9322-C6341F28F9AF}">
      <text>
        <r>
          <rPr>
            <b/>
            <sz val="9"/>
            <color indexed="81"/>
            <rFont val="Tahoma"/>
            <family val="2"/>
            <charset val="186"/>
          </rPr>
          <t>Stability</t>
        </r>
      </text>
    </comment>
    <comment ref="BR14" authorId="0" shapeId="0" xr:uid="{EF84B83A-0C2C-4F43-8902-B10347A03585}">
      <text>
        <r>
          <rPr>
            <b/>
            <sz val="9"/>
            <color indexed="81"/>
            <rFont val="Tahoma"/>
            <family val="2"/>
            <charset val="186"/>
          </rPr>
          <t>Stability</t>
        </r>
      </text>
    </comment>
    <comment ref="C15" authorId="0" shapeId="0" xr:uid="{A588540A-79FA-4E32-808B-DC3B1F995A03}">
      <text>
        <r>
          <rPr>
            <b/>
            <sz val="9"/>
            <color indexed="81"/>
            <rFont val="Tahoma"/>
            <family val="2"/>
            <charset val="186"/>
          </rPr>
          <t>Water (Flow): Is it managed? -&gt;</t>
        </r>
      </text>
    </comment>
    <comment ref="O15" authorId="0" shapeId="0" xr:uid="{03C1F775-9C61-4311-9136-C1E8A1D07558}">
      <text>
        <r>
          <rPr>
            <b/>
            <sz val="9"/>
            <color indexed="81"/>
            <rFont val="Tahoma"/>
            <family val="2"/>
            <charset val="186"/>
          </rPr>
          <t>Flow</t>
        </r>
      </text>
    </comment>
    <comment ref="Z15" authorId="0" shapeId="0" xr:uid="{0939B543-7A2D-4ECF-8126-03404ADA2F74}">
      <text>
        <r>
          <rPr>
            <b/>
            <sz val="9"/>
            <color indexed="81"/>
            <rFont val="Tahoma"/>
            <family val="2"/>
            <charset val="186"/>
          </rPr>
          <t>Flow</t>
        </r>
      </text>
    </comment>
    <comment ref="AK15" authorId="0" shapeId="0" xr:uid="{128ED387-DB85-49FD-B7D9-3B728DB28CBA}">
      <text>
        <r>
          <rPr>
            <b/>
            <sz val="9"/>
            <color indexed="81"/>
            <rFont val="Tahoma"/>
            <family val="2"/>
            <charset val="186"/>
          </rPr>
          <t>Flow</t>
        </r>
      </text>
    </comment>
    <comment ref="AV15" authorId="0" shapeId="0" xr:uid="{A1A9AF47-2A5E-449C-A074-31A9D1EAB761}">
      <text>
        <r>
          <rPr>
            <b/>
            <sz val="9"/>
            <color indexed="81"/>
            <rFont val="Tahoma"/>
            <family val="2"/>
            <charset val="186"/>
          </rPr>
          <t>Flow</t>
        </r>
      </text>
    </comment>
    <comment ref="BG15" authorId="0" shapeId="0" xr:uid="{294770F1-2DC1-4632-A8EF-DEDA2B947F1F}">
      <text>
        <r>
          <rPr>
            <b/>
            <sz val="9"/>
            <color indexed="81"/>
            <rFont val="Tahoma"/>
            <family val="2"/>
            <charset val="186"/>
          </rPr>
          <t>Flow</t>
        </r>
      </text>
    </comment>
    <comment ref="BR15" authorId="0" shapeId="0" xr:uid="{E8B622FF-230A-410D-A250-DBE75C594FD3}">
      <text>
        <r>
          <rPr>
            <b/>
            <sz val="9"/>
            <color indexed="81"/>
            <rFont val="Tahoma"/>
            <family val="2"/>
            <charset val="186"/>
          </rPr>
          <t>Flow</t>
        </r>
      </text>
    </comment>
    <comment ref="C16" authorId="0" shapeId="0" xr:uid="{8E6F9ABC-2187-4ECD-B392-E943D2BADEBB}">
      <text>
        <r>
          <rPr>
            <b/>
            <sz val="9"/>
            <color indexed="81"/>
            <rFont val="Tahoma"/>
            <family val="2"/>
            <charset val="186"/>
          </rPr>
          <t xml:space="preserve">Fire (Action/Transformation): Are we adding to it? -&gt; </t>
        </r>
      </text>
    </comment>
    <comment ref="O16" authorId="0" shapeId="0" xr:uid="{56267E0D-CE4B-4FE7-A0C5-8E1AC989F135}">
      <text>
        <r>
          <rPr>
            <b/>
            <sz val="9"/>
            <color indexed="81"/>
            <rFont val="Tahoma"/>
            <family val="2"/>
            <charset val="186"/>
          </rPr>
          <t>Action/Transformation</t>
        </r>
      </text>
    </comment>
    <comment ref="Z16" authorId="0" shapeId="0" xr:uid="{66D54161-94EB-4CDB-8840-8411AB393182}">
      <text>
        <r>
          <rPr>
            <b/>
            <sz val="9"/>
            <color indexed="81"/>
            <rFont val="Tahoma"/>
            <family val="2"/>
            <charset val="186"/>
          </rPr>
          <t>Action/Transformation</t>
        </r>
      </text>
    </comment>
    <comment ref="AK16" authorId="0" shapeId="0" xr:uid="{EDBEE316-4589-43DC-A4B7-4C0D2F8B34A6}">
      <text>
        <r>
          <rPr>
            <b/>
            <sz val="9"/>
            <color indexed="81"/>
            <rFont val="Tahoma"/>
            <family val="2"/>
            <charset val="186"/>
          </rPr>
          <t>Action/Transformation</t>
        </r>
      </text>
    </comment>
    <comment ref="AV16" authorId="0" shapeId="0" xr:uid="{0BD95D6B-F8A5-4202-A4C8-15F2B48D823A}">
      <text>
        <r>
          <rPr>
            <b/>
            <sz val="9"/>
            <color indexed="81"/>
            <rFont val="Tahoma"/>
            <family val="2"/>
            <charset val="186"/>
          </rPr>
          <t>Action/Transformation</t>
        </r>
      </text>
    </comment>
    <comment ref="BG16" authorId="0" shapeId="0" xr:uid="{0BD15CEC-405A-4696-81C1-4FE4CCA30B0D}">
      <text>
        <r>
          <rPr>
            <b/>
            <sz val="9"/>
            <color indexed="81"/>
            <rFont val="Tahoma"/>
            <family val="2"/>
            <charset val="186"/>
          </rPr>
          <t>Action/Transformation</t>
        </r>
      </text>
    </comment>
    <comment ref="BR16" authorId="0" shapeId="0" xr:uid="{5290131A-74AE-4874-ABBA-0B64AC93CC76}">
      <text>
        <r>
          <rPr>
            <b/>
            <sz val="9"/>
            <color indexed="81"/>
            <rFont val="Tahoma"/>
            <family val="2"/>
            <charset val="186"/>
          </rPr>
          <t>Action/Transformation</t>
        </r>
      </text>
    </comment>
    <comment ref="C17" authorId="0" shapeId="0" xr:uid="{175DF8E8-59EC-47BE-89F4-74B692B9973D}">
      <text>
        <r>
          <rPr>
            <b/>
            <sz val="9"/>
            <color indexed="81"/>
            <rFont val="Tahoma"/>
            <family val="2"/>
            <charset val="186"/>
          </rPr>
          <t xml:space="preserve">Air (Clarity/Communication): Is it understood? -&gt; </t>
        </r>
      </text>
    </comment>
    <comment ref="O17" authorId="0" shapeId="0" xr:uid="{DA265213-A483-4A98-91FB-9C07DF3E522C}">
      <text>
        <r>
          <rPr>
            <b/>
            <sz val="9"/>
            <color indexed="81"/>
            <rFont val="Tahoma"/>
            <family val="2"/>
            <charset val="186"/>
          </rPr>
          <t>Clarity/Communication</t>
        </r>
      </text>
    </comment>
    <comment ref="Z17" authorId="0" shapeId="0" xr:uid="{8A678A57-F635-4A07-8662-5DD94AC8A30F}">
      <text>
        <r>
          <rPr>
            <b/>
            <sz val="9"/>
            <color indexed="81"/>
            <rFont val="Tahoma"/>
            <family val="2"/>
            <charset val="186"/>
          </rPr>
          <t>Clarity/Communication</t>
        </r>
      </text>
    </comment>
    <comment ref="AK17" authorId="0" shapeId="0" xr:uid="{E16D16C2-D85A-45B4-A7C2-9A57FA572B35}">
      <text>
        <r>
          <rPr>
            <b/>
            <sz val="9"/>
            <color indexed="81"/>
            <rFont val="Tahoma"/>
            <family val="2"/>
            <charset val="186"/>
          </rPr>
          <t>Clarity/Communication</t>
        </r>
      </text>
    </comment>
    <comment ref="AV17" authorId="0" shapeId="0" xr:uid="{04D0AA02-D7D4-440A-84C6-844A14AF12BA}">
      <text>
        <r>
          <rPr>
            <b/>
            <sz val="9"/>
            <color indexed="81"/>
            <rFont val="Tahoma"/>
            <family val="2"/>
            <charset val="186"/>
          </rPr>
          <t>Clarity/Communication</t>
        </r>
      </text>
    </comment>
    <comment ref="BG17" authorId="0" shapeId="0" xr:uid="{D7FE1261-DD58-4A96-9BE8-82DADB705DAC}">
      <text>
        <r>
          <rPr>
            <b/>
            <sz val="9"/>
            <color indexed="81"/>
            <rFont val="Tahoma"/>
            <family val="2"/>
            <charset val="186"/>
          </rPr>
          <t>Clarity/Communication</t>
        </r>
      </text>
    </comment>
    <comment ref="BR17" authorId="0" shapeId="0" xr:uid="{9EB03B4F-E105-4712-A4C3-8FFE91297F1F}">
      <text>
        <r>
          <rPr>
            <b/>
            <sz val="9"/>
            <color indexed="81"/>
            <rFont val="Tahoma"/>
            <family val="2"/>
            <charset val="186"/>
          </rPr>
          <t>Clarity/Communication</t>
        </r>
      </text>
    </comment>
    <comment ref="C18" authorId="0" shapeId="0" xr:uid="{6CC70CBE-F0B6-40AB-8A37-E1928DDB6895}">
      <text>
        <r>
          <rPr>
            <b/>
            <sz val="9"/>
            <color indexed="81"/>
            <rFont val="Tahoma"/>
            <family val="2"/>
            <charset val="186"/>
          </rPr>
          <t>Ether (Purpose): Is it aligned? -&gt;</t>
        </r>
      </text>
    </comment>
    <comment ref="O18" authorId="0" shapeId="0" xr:uid="{31DE355B-5B2D-447C-A3B5-C29D92FD43B3}">
      <text>
        <r>
          <rPr>
            <b/>
            <sz val="9"/>
            <color indexed="81"/>
            <rFont val="Tahoma"/>
            <family val="2"/>
            <charset val="186"/>
          </rPr>
          <t>Purpose</t>
        </r>
      </text>
    </comment>
    <comment ref="Z18" authorId="0" shapeId="0" xr:uid="{AFF20331-4DAA-4403-AE91-28200527C870}">
      <text>
        <r>
          <rPr>
            <b/>
            <sz val="9"/>
            <color indexed="81"/>
            <rFont val="Tahoma"/>
            <family val="2"/>
            <charset val="186"/>
          </rPr>
          <t>Purpose</t>
        </r>
      </text>
    </comment>
    <comment ref="AK18" authorId="0" shapeId="0" xr:uid="{30C0C0B1-62DA-41A2-95A8-F0D04FADD4FE}">
      <text>
        <r>
          <rPr>
            <b/>
            <sz val="9"/>
            <color indexed="81"/>
            <rFont val="Tahoma"/>
            <family val="2"/>
            <charset val="186"/>
          </rPr>
          <t>Purpose</t>
        </r>
      </text>
    </comment>
    <comment ref="AV18" authorId="0" shapeId="0" xr:uid="{3E503ACE-D79A-4A4E-BBBC-92932D78AEA8}">
      <text>
        <r>
          <rPr>
            <b/>
            <sz val="9"/>
            <color indexed="81"/>
            <rFont val="Tahoma"/>
            <family val="2"/>
            <charset val="186"/>
          </rPr>
          <t>Purpose</t>
        </r>
      </text>
    </comment>
    <comment ref="BG18" authorId="0" shapeId="0" xr:uid="{0092DA38-F81E-4C2E-8ED4-32E95B51EF7D}">
      <text>
        <r>
          <rPr>
            <b/>
            <sz val="9"/>
            <color indexed="81"/>
            <rFont val="Tahoma"/>
            <family val="2"/>
            <charset val="186"/>
          </rPr>
          <t>Purpose</t>
        </r>
      </text>
    </comment>
    <comment ref="BR18" authorId="0" shapeId="0" xr:uid="{10B5DFCD-889E-4409-87E8-95E1E62D03DA}">
      <text>
        <r>
          <rPr>
            <b/>
            <sz val="9"/>
            <color indexed="81"/>
            <rFont val="Tahoma"/>
            <family val="2"/>
            <charset val="186"/>
          </rPr>
          <t>Purpose</t>
        </r>
      </text>
    </comment>
    <comment ref="C19" authorId="0" shapeId="0" xr:uid="{E8201FBB-6589-4353-AACC-5E6F03E63636}">
      <text>
        <r>
          <rPr>
            <b/>
            <sz val="9"/>
            <color indexed="81"/>
            <rFont val="Tahoma"/>
            <family val="2"/>
            <charset val="186"/>
          </rPr>
          <t>Stability</t>
        </r>
      </text>
    </comment>
    <comment ref="O19" authorId="0" shapeId="0" xr:uid="{A3B1443C-263D-4487-97FA-DD25F45990FB}">
      <text>
        <r>
          <rPr>
            <b/>
            <sz val="9"/>
            <color indexed="81"/>
            <rFont val="Tahoma"/>
            <family val="2"/>
            <charset val="186"/>
          </rPr>
          <t>Stability</t>
        </r>
      </text>
    </comment>
    <comment ref="Z19" authorId="0" shapeId="0" xr:uid="{0FD488BC-E9A9-4BDB-8905-B2EFB6809FB5}">
      <text>
        <r>
          <rPr>
            <b/>
            <sz val="9"/>
            <color indexed="81"/>
            <rFont val="Tahoma"/>
            <family val="2"/>
            <charset val="186"/>
          </rPr>
          <t>Stability</t>
        </r>
      </text>
    </comment>
    <comment ref="AK19" authorId="0" shapeId="0" xr:uid="{70F33222-7D1A-4C2C-B633-CDC7A4C0FB5D}">
      <text>
        <r>
          <rPr>
            <b/>
            <sz val="9"/>
            <color indexed="81"/>
            <rFont val="Tahoma"/>
            <family val="2"/>
            <charset val="186"/>
          </rPr>
          <t>Stability</t>
        </r>
      </text>
    </comment>
    <comment ref="AV19" authorId="0" shapeId="0" xr:uid="{D0909B1B-BD43-4A43-AEF6-25C384EE8351}">
      <text>
        <r>
          <rPr>
            <b/>
            <sz val="9"/>
            <color indexed="81"/>
            <rFont val="Tahoma"/>
            <family val="2"/>
            <charset val="186"/>
          </rPr>
          <t>Stability</t>
        </r>
      </text>
    </comment>
    <comment ref="BG19" authorId="0" shapeId="0" xr:uid="{A3B2BC70-3645-4F46-8EF9-293346255DD4}">
      <text>
        <r>
          <rPr>
            <b/>
            <sz val="9"/>
            <color indexed="81"/>
            <rFont val="Tahoma"/>
            <family val="2"/>
            <charset val="186"/>
          </rPr>
          <t>Stability</t>
        </r>
      </text>
    </comment>
    <comment ref="BR19" authorId="0" shapeId="0" xr:uid="{F2D12B02-36DB-4356-B7F5-FACC8FBE8400}">
      <text>
        <r>
          <rPr>
            <b/>
            <sz val="9"/>
            <color indexed="81"/>
            <rFont val="Tahoma"/>
            <family val="2"/>
            <charset val="186"/>
          </rPr>
          <t>Stability</t>
        </r>
      </text>
    </comment>
    <comment ref="C20" authorId="0" shapeId="0" xr:uid="{B598543B-0C2F-4A45-AB10-2B24BFD7998C}">
      <text>
        <r>
          <rPr>
            <b/>
            <sz val="9"/>
            <color indexed="81"/>
            <rFont val="Tahoma"/>
            <family val="2"/>
            <charset val="186"/>
          </rPr>
          <t>Flow</t>
        </r>
      </text>
    </comment>
    <comment ref="O20" authorId="0" shapeId="0" xr:uid="{D68BF153-3D40-4297-B5C3-352A6EA71CAB}">
      <text>
        <r>
          <rPr>
            <b/>
            <sz val="9"/>
            <color indexed="81"/>
            <rFont val="Tahoma"/>
            <family val="2"/>
            <charset val="186"/>
          </rPr>
          <t>Flow</t>
        </r>
      </text>
    </comment>
    <comment ref="Z20" authorId="0" shapeId="0" xr:uid="{AC620567-4065-446B-B470-841F113D11B0}">
      <text>
        <r>
          <rPr>
            <b/>
            <sz val="9"/>
            <color indexed="81"/>
            <rFont val="Tahoma"/>
            <family val="2"/>
            <charset val="186"/>
          </rPr>
          <t>Flow</t>
        </r>
      </text>
    </comment>
    <comment ref="AK20" authorId="0" shapeId="0" xr:uid="{D31477D5-1AAA-48D8-A349-29F01917EA13}">
      <text>
        <r>
          <rPr>
            <b/>
            <sz val="9"/>
            <color indexed="81"/>
            <rFont val="Tahoma"/>
            <family val="2"/>
            <charset val="186"/>
          </rPr>
          <t>Flow</t>
        </r>
      </text>
    </comment>
    <comment ref="AV20" authorId="0" shapeId="0" xr:uid="{BB8C020F-99DA-4A57-A2AD-E972A0E359DC}">
      <text>
        <r>
          <rPr>
            <b/>
            <sz val="9"/>
            <color indexed="81"/>
            <rFont val="Tahoma"/>
            <family val="2"/>
            <charset val="186"/>
          </rPr>
          <t>Flow</t>
        </r>
      </text>
    </comment>
    <comment ref="BG20" authorId="0" shapeId="0" xr:uid="{E4DE58FC-DB9F-4372-A0F0-5AD83A342D4B}">
      <text>
        <r>
          <rPr>
            <b/>
            <sz val="9"/>
            <color indexed="81"/>
            <rFont val="Tahoma"/>
            <family val="2"/>
            <charset val="186"/>
          </rPr>
          <t>Flow</t>
        </r>
      </text>
    </comment>
    <comment ref="BR20" authorId="0" shapeId="0" xr:uid="{7CFC88AE-3127-4214-8890-B8F56FE6604A}">
      <text>
        <r>
          <rPr>
            <b/>
            <sz val="9"/>
            <color indexed="81"/>
            <rFont val="Tahoma"/>
            <family val="2"/>
            <charset val="186"/>
          </rPr>
          <t>Flow</t>
        </r>
      </text>
    </comment>
    <comment ref="C21" authorId="0" shapeId="0" xr:uid="{57E78E76-D27B-477E-9C4C-890DA85B7C79}">
      <text>
        <r>
          <rPr>
            <b/>
            <sz val="9"/>
            <color indexed="81"/>
            <rFont val="Tahoma"/>
            <family val="2"/>
            <charset val="186"/>
          </rPr>
          <t>Action/Transformation</t>
        </r>
      </text>
    </comment>
    <comment ref="O21" authorId="0" shapeId="0" xr:uid="{2A827281-CE2B-4D93-9B7B-BBC57F1E7D95}">
      <text>
        <r>
          <rPr>
            <b/>
            <sz val="9"/>
            <color indexed="81"/>
            <rFont val="Tahoma"/>
            <family val="2"/>
            <charset val="186"/>
          </rPr>
          <t>Action/Transformation</t>
        </r>
      </text>
    </comment>
    <comment ref="Z21" authorId="0" shapeId="0" xr:uid="{9CCECEA1-18C4-4D87-819B-46308974735F}">
      <text>
        <r>
          <rPr>
            <b/>
            <sz val="9"/>
            <color indexed="81"/>
            <rFont val="Tahoma"/>
            <family val="2"/>
            <charset val="186"/>
          </rPr>
          <t>Action/Transformation</t>
        </r>
      </text>
    </comment>
    <comment ref="AK21" authorId="0" shapeId="0" xr:uid="{11B2ACD3-FC34-412E-BB44-B7DF9F345F01}">
      <text>
        <r>
          <rPr>
            <b/>
            <sz val="9"/>
            <color indexed="81"/>
            <rFont val="Tahoma"/>
            <family val="2"/>
            <charset val="186"/>
          </rPr>
          <t>Action/Transformation</t>
        </r>
      </text>
    </comment>
    <comment ref="AV21" authorId="0" shapeId="0" xr:uid="{D3EBDE20-2EF1-4DAE-BBB7-38F7C84387EF}">
      <text>
        <r>
          <rPr>
            <b/>
            <sz val="9"/>
            <color indexed="81"/>
            <rFont val="Tahoma"/>
            <family val="2"/>
            <charset val="186"/>
          </rPr>
          <t>Action/Transformation</t>
        </r>
      </text>
    </comment>
    <comment ref="BG21" authorId="0" shapeId="0" xr:uid="{5FDB66C0-9783-450B-86A7-872263F00005}">
      <text>
        <r>
          <rPr>
            <b/>
            <sz val="9"/>
            <color indexed="81"/>
            <rFont val="Tahoma"/>
            <family val="2"/>
            <charset val="186"/>
          </rPr>
          <t>Action/Transformation</t>
        </r>
      </text>
    </comment>
    <comment ref="BR21" authorId="0" shapeId="0" xr:uid="{E3158619-A1E1-49DE-ADCE-40AD1C6E3DFA}">
      <text>
        <r>
          <rPr>
            <b/>
            <sz val="9"/>
            <color indexed="81"/>
            <rFont val="Tahoma"/>
            <family val="2"/>
            <charset val="186"/>
          </rPr>
          <t>Action/Transformation</t>
        </r>
      </text>
    </comment>
    <comment ref="C22" authorId="0" shapeId="0" xr:uid="{CF6B84AF-6B86-4ED1-BF8A-7EED7A10EDDE}">
      <text>
        <r>
          <rPr>
            <b/>
            <sz val="9"/>
            <color indexed="81"/>
            <rFont val="Tahoma"/>
            <family val="2"/>
            <charset val="186"/>
          </rPr>
          <t>Clarity/Communication</t>
        </r>
      </text>
    </comment>
    <comment ref="O22" authorId="0" shapeId="0" xr:uid="{D60BF01B-75DB-440D-A68B-2A3622ACCAA7}">
      <text>
        <r>
          <rPr>
            <b/>
            <sz val="9"/>
            <color indexed="81"/>
            <rFont val="Tahoma"/>
            <family val="2"/>
            <charset val="186"/>
          </rPr>
          <t>Clarity/Communication</t>
        </r>
      </text>
    </comment>
    <comment ref="Z22" authorId="0" shapeId="0" xr:uid="{73087958-4D2D-4593-AF7E-E92D012EF678}">
      <text>
        <r>
          <rPr>
            <b/>
            <sz val="9"/>
            <color indexed="81"/>
            <rFont val="Tahoma"/>
            <family val="2"/>
            <charset val="186"/>
          </rPr>
          <t>Clarity/Communication</t>
        </r>
      </text>
    </comment>
    <comment ref="AK22" authorId="0" shapeId="0" xr:uid="{22B0CD3F-CC92-42B0-9082-543A21690FD6}">
      <text>
        <r>
          <rPr>
            <b/>
            <sz val="9"/>
            <color indexed="81"/>
            <rFont val="Tahoma"/>
            <family val="2"/>
            <charset val="186"/>
          </rPr>
          <t>Clarity/Communication</t>
        </r>
      </text>
    </comment>
    <comment ref="AV22" authorId="0" shapeId="0" xr:uid="{3C56F181-7497-4EB3-B1A5-25B27E6F83E8}">
      <text>
        <r>
          <rPr>
            <b/>
            <sz val="9"/>
            <color indexed="81"/>
            <rFont val="Tahoma"/>
            <family val="2"/>
            <charset val="186"/>
          </rPr>
          <t>Clarity/Communication</t>
        </r>
      </text>
    </comment>
    <comment ref="BG22" authorId="0" shapeId="0" xr:uid="{9F7A9241-DDBA-4BFA-8DB3-51335BCBC03C}">
      <text>
        <r>
          <rPr>
            <b/>
            <sz val="9"/>
            <color indexed="81"/>
            <rFont val="Tahoma"/>
            <family val="2"/>
            <charset val="186"/>
          </rPr>
          <t>Clarity/Communication</t>
        </r>
      </text>
    </comment>
    <comment ref="BR22" authorId="0" shapeId="0" xr:uid="{652B16DC-87ED-43F8-BB21-FF3EEB47D720}">
      <text>
        <r>
          <rPr>
            <b/>
            <sz val="9"/>
            <color indexed="81"/>
            <rFont val="Tahoma"/>
            <family val="2"/>
            <charset val="186"/>
          </rPr>
          <t>Clarity/Communication</t>
        </r>
      </text>
    </comment>
    <comment ref="C23" authorId="0" shapeId="0" xr:uid="{6E29E52B-4A64-4E65-A22A-CB7BBF6A72F8}">
      <text>
        <r>
          <rPr>
            <b/>
            <sz val="9"/>
            <color indexed="81"/>
            <rFont val="Tahoma"/>
            <family val="2"/>
            <charset val="186"/>
          </rPr>
          <t>Purpose</t>
        </r>
      </text>
    </comment>
    <comment ref="O23" authorId="0" shapeId="0" xr:uid="{E51AAB2B-9AEA-4AFD-950A-149D430958A2}">
      <text>
        <r>
          <rPr>
            <b/>
            <sz val="9"/>
            <color indexed="81"/>
            <rFont val="Tahoma"/>
            <family val="2"/>
            <charset val="186"/>
          </rPr>
          <t>Purpose</t>
        </r>
      </text>
    </comment>
    <comment ref="Z23" authorId="0" shapeId="0" xr:uid="{D861D873-1128-44F6-91C6-0E72951040D9}">
      <text>
        <r>
          <rPr>
            <b/>
            <sz val="9"/>
            <color indexed="81"/>
            <rFont val="Tahoma"/>
            <family val="2"/>
            <charset val="186"/>
          </rPr>
          <t>Purpose</t>
        </r>
      </text>
    </comment>
    <comment ref="AK23" authorId="0" shapeId="0" xr:uid="{E014EE80-4841-4023-A88A-DC19EC18557C}">
      <text>
        <r>
          <rPr>
            <b/>
            <sz val="9"/>
            <color indexed="81"/>
            <rFont val="Tahoma"/>
            <family val="2"/>
            <charset val="186"/>
          </rPr>
          <t>Purpose</t>
        </r>
      </text>
    </comment>
    <comment ref="AV23" authorId="0" shapeId="0" xr:uid="{A6D85BE7-F739-4619-ABFB-87C433A605A2}">
      <text>
        <r>
          <rPr>
            <b/>
            <sz val="9"/>
            <color indexed="81"/>
            <rFont val="Tahoma"/>
            <family val="2"/>
            <charset val="186"/>
          </rPr>
          <t>Purpose</t>
        </r>
      </text>
    </comment>
    <comment ref="BG23" authorId="0" shapeId="0" xr:uid="{C9624162-EEBD-40D5-A7AC-A2F0F95CA5A4}">
      <text>
        <r>
          <rPr>
            <b/>
            <sz val="9"/>
            <color indexed="81"/>
            <rFont val="Tahoma"/>
            <family val="2"/>
            <charset val="186"/>
          </rPr>
          <t>Purpose</t>
        </r>
      </text>
    </comment>
    <comment ref="BR23" authorId="0" shapeId="0" xr:uid="{739C2E1B-737B-4CB7-A926-A9111ACD7B99}">
      <text>
        <r>
          <rPr>
            <b/>
            <sz val="9"/>
            <color indexed="81"/>
            <rFont val="Tahoma"/>
            <family val="2"/>
            <charset val="186"/>
          </rPr>
          <t>Purpose</t>
        </r>
      </text>
    </comment>
    <comment ref="C24" authorId="0" shapeId="0" xr:uid="{5DF17E14-BCF8-4D40-8829-7BF33E300436}">
      <text>
        <r>
          <rPr>
            <b/>
            <sz val="9"/>
            <color indexed="81"/>
            <rFont val="Tahoma"/>
            <family val="2"/>
            <charset val="186"/>
          </rPr>
          <t>Stability</t>
        </r>
      </text>
    </comment>
    <comment ref="O24" authorId="0" shapeId="0" xr:uid="{E9B18288-5356-4D5B-AF44-9C5CE78009FF}">
      <text>
        <r>
          <rPr>
            <b/>
            <sz val="9"/>
            <color indexed="81"/>
            <rFont val="Tahoma"/>
            <family val="2"/>
            <charset val="186"/>
          </rPr>
          <t>Stability</t>
        </r>
      </text>
    </comment>
    <comment ref="Z24" authorId="0" shapeId="0" xr:uid="{6B678744-F8C0-4BB7-B141-58DB9D66CB3C}">
      <text>
        <r>
          <rPr>
            <b/>
            <sz val="9"/>
            <color indexed="81"/>
            <rFont val="Tahoma"/>
            <family val="2"/>
            <charset val="186"/>
          </rPr>
          <t>Stability</t>
        </r>
      </text>
    </comment>
    <comment ref="AK24" authorId="0" shapeId="0" xr:uid="{5E700CB5-00E0-4B1E-91DB-F93864DA482E}">
      <text>
        <r>
          <rPr>
            <b/>
            <sz val="9"/>
            <color indexed="81"/>
            <rFont val="Tahoma"/>
            <family val="2"/>
            <charset val="186"/>
          </rPr>
          <t>Stability</t>
        </r>
      </text>
    </comment>
    <comment ref="AV24" authorId="0" shapeId="0" xr:uid="{F48E5288-B55C-4BA9-923F-B93FE3C2F78D}">
      <text>
        <r>
          <rPr>
            <b/>
            <sz val="9"/>
            <color indexed="81"/>
            <rFont val="Tahoma"/>
            <family val="2"/>
            <charset val="186"/>
          </rPr>
          <t>Stability</t>
        </r>
      </text>
    </comment>
    <comment ref="BG24" authorId="0" shapeId="0" xr:uid="{3872D642-E846-4C65-98F4-B2581ECA84CF}">
      <text>
        <r>
          <rPr>
            <b/>
            <sz val="9"/>
            <color indexed="81"/>
            <rFont val="Tahoma"/>
            <family val="2"/>
            <charset val="186"/>
          </rPr>
          <t>Stability</t>
        </r>
      </text>
    </comment>
    <comment ref="BR24" authorId="0" shapeId="0" xr:uid="{C13E13AF-8882-485A-A2F2-C5B13D395C8A}">
      <text>
        <r>
          <rPr>
            <b/>
            <sz val="9"/>
            <color indexed="81"/>
            <rFont val="Tahoma"/>
            <family val="2"/>
            <charset val="186"/>
          </rPr>
          <t>Stability</t>
        </r>
      </text>
    </comment>
    <comment ref="C25" authorId="0" shapeId="0" xr:uid="{E9F30308-E38A-49A8-9B99-4446E1322F57}">
      <text>
        <r>
          <rPr>
            <b/>
            <sz val="9"/>
            <color indexed="81"/>
            <rFont val="Tahoma"/>
            <family val="2"/>
            <charset val="186"/>
          </rPr>
          <t>Flow</t>
        </r>
      </text>
    </comment>
    <comment ref="O25" authorId="0" shapeId="0" xr:uid="{89A9090F-AA92-4D18-AAB6-3D5C4FBE62B8}">
      <text>
        <r>
          <rPr>
            <b/>
            <sz val="9"/>
            <color indexed="81"/>
            <rFont val="Tahoma"/>
            <family val="2"/>
            <charset val="186"/>
          </rPr>
          <t>Flow</t>
        </r>
      </text>
    </comment>
    <comment ref="Z25" authorId="0" shapeId="0" xr:uid="{10350F7E-CCEB-4A9C-9A32-01991384CEDC}">
      <text>
        <r>
          <rPr>
            <b/>
            <sz val="9"/>
            <color indexed="81"/>
            <rFont val="Tahoma"/>
            <family val="2"/>
            <charset val="186"/>
          </rPr>
          <t>Flow</t>
        </r>
      </text>
    </comment>
    <comment ref="AK25" authorId="0" shapeId="0" xr:uid="{15A051EA-7B39-4A70-A457-32FAD1FB014C}">
      <text>
        <r>
          <rPr>
            <b/>
            <sz val="9"/>
            <color indexed="81"/>
            <rFont val="Tahoma"/>
            <family val="2"/>
            <charset val="186"/>
          </rPr>
          <t>Flow</t>
        </r>
      </text>
    </comment>
    <comment ref="AV25" authorId="0" shapeId="0" xr:uid="{C24CF1B0-977E-4DF7-8C08-E520B8A9E798}">
      <text>
        <r>
          <rPr>
            <b/>
            <sz val="9"/>
            <color indexed="81"/>
            <rFont val="Tahoma"/>
            <family val="2"/>
            <charset val="186"/>
          </rPr>
          <t>Flow</t>
        </r>
      </text>
    </comment>
    <comment ref="BG25" authorId="0" shapeId="0" xr:uid="{DA6F4617-9A31-41B2-98CF-68627967883D}">
      <text>
        <r>
          <rPr>
            <b/>
            <sz val="9"/>
            <color indexed="81"/>
            <rFont val="Tahoma"/>
            <family val="2"/>
            <charset val="186"/>
          </rPr>
          <t>Flow</t>
        </r>
      </text>
    </comment>
    <comment ref="BR25" authorId="0" shapeId="0" xr:uid="{B507DC28-57B5-427B-B0C0-038FF4910DF4}">
      <text>
        <r>
          <rPr>
            <b/>
            <sz val="9"/>
            <color indexed="81"/>
            <rFont val="Tahoma"/>
            <family val="2"/>
            <charset val="186"/>
          </rPr>
          <t>Flow</t>
        </r>
      </text>
    </comment>
    <comment ref="C26" authorId="0" shapeId="0" xr:uid="{543BB1D1-991F-43FB-911A-033ED1B4D422}">
      <text>
        <r>
          <rPr>
            <b/>
            <sz val="9"/>
            <color indexed="81"/>
            <rFont val="Tahoma"/>
            <family val="2"/>
            <charset val="186"/>
          </rPr>
          <t>Action/Transformation</t>
        </r>
      </text>
    </comment>
    <comment ref="O26" authorId="0" shapeId="0" xr:uid="{FF9EA73E-5AE8-4692-ACFC-176EE8C45A70}">
      <text>
        <r>
          <rPr>
            <b/>
            <sz val="9"/>
            <color indexed="81"/>
            <rFont val="Tahoma"/>
            <family val="2"/>
            <charset val="186"/>
          </rPr>
          <t>Action/Transformation</t>
        </r>
      </text>
    </comment>
    <comment ref="Z26" authorId="0" shapeId="0" xr:uid="{CB72EA17-17CF-4B67-A8FF-8D9B332061C4}">
      <text>
        <r>
          <rPr>
            <b/>
            <sz val="9"/>
            <color indexed="81"/>
            <rFont val="Tahoma"/>
            <family val="2"/>
            <charset val="186"/>
          </rPr>
          <t>Action/Transformation</t>
        </r>
      </text>
    </comment>
    <comment ref="AK26" authorId="0" shapeId="0" xr:uid="{A11CA4C8-2B13-417C-B39A-6998742436BD}">
      <text>
        <r>
          <rPr>
            <b/>
            <sz val="9"/>
            <color indexed="81"/>
            <rFont val="Tahoma"/>
            <family val="2"/>
            <charset val="186"/>
          </rPr>
          <t>Action/Transformation</t>
        </r>
      </text>
    </comment>
    <comment ref="AV26" authorId="0" shapeId="0" xr:uid="{93D5F859-9097-4324-B0D1-7A49AE273776}">
      <text>
        <r>
          <rPr>
            <b/>
            <sz val="9"/>
            <color indexed="81"/>
            <rFont val="Tahoma"/>
            <family val="2"/>
            <charset val="186"/>
          </rPr>
          <t>Action/Transformation</t>
        </r>
      </text>
    </comment>
    <comment ref="BG26" authorId="0" shapeId="0" xr:uid="{0C96F2E3-F880-4EF3-B428-9C4675C6CD05}">
      <text>
        <r>
          <rPr>
            <b/>
            <sz val="9"/>
            <color indexed="81"/>
            <rFont val="Tahoma"/>
            <family val="2"/>
            <charset val="186"/>
          </rPr>
          <t>Action/Transformation</t>
        </r>
      </text>
    </comment>
    <comment ref="BR26" authorId="0" shapeId="0" xr:uid="{0CFC33BE-F9CA-4807-B900-A1904180294B}">
      <text>
        <r>
          <rPr>
            <b/>
            <sz val="9"/>
            <color indexed="81"/>
            <rFont val="Tahoma"/>
            <family val="2"/>
            <charset val="186"/>
          </rPr>
          <t>Action/Transformation</t>
        </r>
      </text>
    </comment>
    <comment ref="C27" authorId="0" shapeId="0" xr:uid="{B410044A-327B-4DD4-852A-15FBA2AE7B0A}">
      <text>
        <r>
          <rPr>
            <b/>
            <sz val="9"/>
            <color indexed="81"/>
            <rFont val="Tahoma"/>
            <family val="2"/>
            <charset val="186"/>
          </rPr>
          <t>Clarity/Communication</t>
        </r>
      </text>
    </comment>
    <comment ref="O27" authorId="0" shapeId="0" xr:uid="{F1F67955-024D-490A-B2A0-F90AC6F4F66B}">
      <text>
        <r>
          <rPr>
            <b/>
            <sz val="9"/>
            <color indexed="81"/>
            <rFont val="Tahoma"/>
            <family val="2"/>
            <charset val="186"/>
          </rPr>
          <t>Clarity/Communication</t>
        </r>
      </text>
    </comment>
    <comment ref="Z27" authorId="0" shapeId="0" xr:uid="{2A3FF413-0273-4DC4-9E4E-2A702700F1BD}">
      <text>
        <r>
          <rPr>
            <b/>
            <sz val="9"/>
            <color indexed="81"/>
            <rFont val="Tahoma"/>
            <family val="2"/>
            <charset val="186"/>
          </rPr>
          <t>Clarity/Communication</t>
        </r>
      </text>
    </comment>
    <comment ref="AK27" authorId="0" shapeId="0" xr:uid="{D785EE49-E859-4DD3-946B-EA92B0C52D83}">
      <text>
        <r>
          <rPr>
            <b/>
            <sz val="9"/>
            <color indexed="81"/>
            <rFont val="Tahoma"/>
            <family val="2"/>
            <charset val="186"/>
          </rPr>
          <t>Clarity/Communication</t>
        </r>
      </text>
    </comment>
    <comment ref="AV27" authorId="0" shapeId="0" xr:uid="{D4377353-C8CC-4339-9E7C-2ACBDD1E0544}">
      <text>
        <r>
          <rPr>
            <b/>
            <sz val="9"/>
            <color indexed="81"/>
            <rFont val="Tahoma"/>
            <family val="2"/>
            <charset val="186"/>
          </rPr>
          <t>Clarity/Communication</t>
        </r>
      </text>
    </comment>
    <comment ref="BG27" authorId="0" shapeId="0" xr:uid="{43C08C64-7236-44EB-83E4-D42DEF27773C}">
      <text>
        <r>
          <rPr>
            <b/>
            <sz val="9"/>
            <color indexed="81"/>
            <rFont val="Tahoma"/>
            <family val="2"/>
            <charset val="186"/>
          </rPr>
          <t>Clarity/Communication</t>
        </r>
      </text>
    </comment>
    <comment ref="BR27" authorId="0" shapeId="0" xr:uid="{99E617F8-D49D-4B44-89DD-574271778226}">
      <text>
        <r>
          <rPr>
            <b/>
            <sz val="9"/>
            <color indexed="81"/>
            <rFont val="Tahoma"/>
            <family val="2"/>
            <charset val="186"/>
          </rPr>
          <t>Clarity/Communication</t>
        </r>
      </text>
    </comment>
    <comment ref="C28" authorId="0" shapeId="0" xr:uid="{3E141D85-9D41-422C-8055-9BA3A17358B1}">
      <text>
        <r>
          <rPr>
            <b/>
            <sz val="9"/>
            <color indexed="81"/>
            <rFont val="Tahoma"/>
            <family val="2"/>
            <charset val="186"/>
          </rPr>
          <t>Purpose</t>
        </r>
      </text>
    </comment>
    <comment ref="O28" authorId="0" shapeId="0" xr:uid="{C701AF2C-44DE-4156-A043-A370701B674C}">
      <text>
        <r>
          <rPr>
            <b/>
            <sz val="9"/>
            <color indexed="81"/>
            <rFont val="Tahoma"/>
            <family val="2"/>
            <charset val="186"/>
          </rPr>
          <t>Purpose</t>
        </r>
      </text>
    </comment>
    <comment ref="Z28" authorId="0" shapeId="0" xr:uid="{A0A4203C-F028-4A76-953C-611556D9402D}">
      <text>
        <r>
          <rPr>
            <b/>
            <sz val="9"/>
            <color indexed="81"/>
            <rFont val="Tahoma"/>
            <family val="2"/>
            <charset val="186"/>
          </rPr>
          <t>Purpose</t>
        </r>
      </text>
    </comment>
    <comment ref="AK28" authorId="0" shapeId="0" xr:uid="{B2D7866F-FF20-4E01-B3F1-6069C6E0EA6D}">
      <text>
        <r>
          <rPr>
            <b/>
            <sz val="9"/>
            <color indexed="81"/>
            <rFont val="Tahoma"/>
            <family val="2"/>
            <charset val="186"/>
          </rPr>
          <t>Purpose</t>
        </r>
      </text>
    </comment>
    <comment ref="AV28" authorId="0" shapeId="0" xr:uid="{A5645957-CDC2-489D-84C7-94900E7AD3FB}">
      <text>
        <r>
          <rPr>
            <b/>
            <sz val="9"/>
            <color indexed="81"/>
            <rFont val="Tahoma"/>
            <family val="2"/>
            <charset val="186"/>
          </rPr>
          <t>Purpose</t>
        </r>
      </text>
    </comment>
    <comment ref="BG28" authorId="0" shapeId="0" xr:uid="{234CAB9A-7BD3-4840-B240-9A00F46F527E}">
      <text>
        <r>
          <rPr>
            <b/>
            <sz val="9"/>
            <color indexed="81"/>
            <rFont val="Tahoma"/>
            <family val="2"/>
            <charset val="186"/>
          </rPr>
          <t>Purpose</t>
        </r>
      </text>
    </comment>
    <comment ref="BR28" authorId="0" shapeId="0" xr:uid="{2504B2FB-6D7D-4E45-B951-5F8B5A561891}">
      <text>
        <r>
          <rPr>
            <b/>
            <sz val="9"/>
            <color indexed="81"/>
            <rFont val="Tahoma"/>
            <family val="2"/>
            <charset val="186"/>
          </rPr>
          <t>Purpose</t>
        </r>
      </text>
    </comment>
    <comment ref="C29" authorId="0" shapeId="0" xr:uid="{13FAFB0C-B23C-4EFD-BFD4-7932DDC30230}">
      <text>
        <r>
          <rPr>
            <b/>
            <sz val="9"/>
            <color indexed="81"/>
            <rFont val="Tahoma"/>
            <family val="2"/>
            <charset val="186"/>
          </rPr>
          <t>Stability</t>
        </r>
      </text>
    </comment>
    <comment ref="O29" authorId="0" shapeId="0" xr:uid="{62B02363-3939-434D-9033-4689BEA4F9F0}">
      <text>
        <r>
          <rPr>
            <b/>
            <sz val="9"/>
            <color indexed="81"/>
            <rFont val="Tahoma"/>
            <family val="2"/>
            <charset val="186"/>
          </rPr>
          <t>Stability</t>
        </r>
      </text>
    </comment>
    <comment ref="Z29" authorId="0" shapeId="0" xr:uid="{B9690EB0-D56A-4DB8-A208-86F8986D7A58}">
      <text>
        <r>
          <rPr>
            <b/>
            <sz val="9"/>
            <color indexed="81"/>
            <rFont val="Tahoma"/>
            <family val="2"/>
            <charset val="186"/>
          </rPr>
          <t>Stability</t>
        </r>
      </text>
    </comment>
    <comment ref="AK29" authorId="0" shapeId="0" xr:uid="{39DF6EB7-1E23-4C95-955C-CC32A5F36AA4}">
      <text>
        <r>
          <rPr>
            <b/>
            <sz val="9"/>
            <color indexed="81"/>
            <rFont val="Tahoma"/>
            <family val="2"/>
            <charset val="186"/>
          </rPr>
          <t>Stability</t>
        </r>
      </text>
    </comment>
    <comment ref="AV29" authorId="0" shapeId="0" xr:uid="{045C0A3F-12C4-4F66-B57E-CA479BA4016C}">
      <text>
        <r>
          <rPr>
            <b/>
            <sz val="9"/>
            <color indexed="81"/>
            <rFont val="Tahoma"/>
            <family val="2"/>
            <charset val="186"/>
          </rPr>
          <t>Stability</t>
        </r>
      </text>
    </comment>
    <comment ref="BG29" authorId="0" shapeId="0" xr:uid="{7D5C5923-5864-4B57-97EF-F256496CA39D}">
      <text>
        <r>
          <rPr>
            <b/>
            <sz val="9"/>
            <color indexed="81"/>
            <rFont val="Tahoma"/>
            <family val="2"/>
            <charset val="186"/>
          </rPr>
          <t>Stability</t>
        </r>
      </text>
    </comment>
    <comment ref="BR29" authorId="0" shapeId="0" xr:uid="{A7D355B7-E602-42C3-A217-E30E7E720C9B}">
      <text>
        <r>
          <rPr>
            <b/>
            <sz val="9"/>
            <color indexed="81"/>
            <rFont val="Tahoma"/>
            <family val="2"/>
            <charset val="186"/>
          </rPr>
          <t>Stability</t>
        </r>
      </text>
    </comment>
    <comment ref="C30" authorId="0" shapeId="0" xr:uid="{D198CC7D-15D7-489F-8D6B-EDD29950D925}">
      <text>
        <r>
          <rPr>
            <b/>
            <sz val="9"/>
            <color indexed="81"/>
            <rFont val="Tahoma"/>
            <family val="2"/>
            <charset val="186"/>
          </rPr>
          <t>Flow</t>
        </r>
      </text>
    </comment>
    <comment ref="O30" authorId="0" shapeId="0" xr:uid="{3D887642-847F-4D7D-84C5-76CF2E59465E}">
      <text>
        <r>
          <rPr>
            <b/>
            <sz val="9"/>
            <color indexed="81"/>
            <rFont val="Tahoma"/>
            <family val="2"/>
            <charset val="186"/>
          </rPr>
          <t>Flow</t>
        </r>
      </text>
    </comment>
    <comment ref="Z30" authorId="0" shapeId="0" xr:uid="{89552996-DA2D-4040-AD38-49399191819A}">
      <text>
        <r>
          <rPr>
            <b/>
            <sz val="9"/>
            <color indexed="81"/>
            <rFont val="Tahoma"/>
            <family val="2"/>
            <charset val="186"/>
          </rPr>
          <t>Flow</t>
        </r>
      </text>
    </comment>
    <comment ref="AK30" authorId="0" shapeId="0" xr:uid="{9B952ACC-AD20-49DC-8B62-249EA1B4DF02}">
      <text>
        <r>
          <rPr>
            <b/>
            <sz val="9"/>
            <color indexed="81"/>
            <rFont val="Tahoma"/>
            <family val="2"/>
            <charset val="186"/>
          </rPr>
          <t>Flow</t>
        </r>
      </text>
    </comment>
    <comment ref="AV30" authorId="0" shapeId="0" xr:uid="{E57A239A-5E2E-4F08-A6E1-3B1C9581F80A}">
      <text>
        <r>
          <rPr>
            <b/>
            <sz val="9"/>
            <color indexed="81"/>
            <rFont val="Tahoma"/>
            <family val="2"/>
            <charset val="186"/>
          </rPr>
          <t>Flow</t>
        </r>
      </text>
    </comment>
    <comment ref="BG30" authorId="0" shapeId="0" xr:uid="{755EDF85-A5F5-4851-AF13-67D8F703B398}">
      <text>
        <r>
          <rPr>
            <b/>
            <sz val="9"/>
            <color indexed="81"/>
            <rFont val="Tahoma"/>
            <family val="2"/>
            <charset val="186"/>
          </rPr>
          <t>Flow</t>
        </r>
      </text>
    </comment>
    <comment ref="BR30" authorId="0" shapeId="0" xr:uid="{89F75505-B68B-4CAB-BA13-5A96605E8EB2}">
      <text>
        <r>
          <rPr>
            <b/>
            <sz val="9"/>
            <color indexed="81"/>
            <rFont val="Tahoma"/>
            <family val="2"/>
            <charset val="186"/>
          </rPr>
          <t>Flow</t>
        </r>
      </text>
    </comment>
    <comment ref="C31" authorId="0" shapeId="0" xr:uid="{6E85EA13-1EF7-4FF4-9CED-388916E8837F}">
      <text>
        <r>
          <rPr>
            <b/>
            <sz val="9"/>
            <color indexed="81"/>
            <rFont val="Tahoma"/>
            <family val="2"/>
            <charset val="186"/>
          </rPr>
          <t>Action/Transformation</t>
        </r>
      </text>
    </comment>
    <comment ref="O31" authorId="0" shapeId="0" xr:uid="{19AB44CE-FB00-4644-A5E1-0C5C6568872A}">
      <text>
        <r>
          <rPr>
            <b/>
            <sz val="9"/>
            <color indexed="81"/>
            <rFont val="Tahoma"/>
            <family val="2"/>
            <charset val="186"/>
          </rPr>
          <t>Action/Transformation</t>
        </r>
      </text>
    </comment>
    <comment ref="Z31" authorId="0" shapeId="0" xr:uid="{E4A9DF60-4585-4F79-B8C0-4DF720F92522}">
      <text>
        <r>
          <rPr>
            <b/>
            <sz val="9"/>
            <color indexed="81"/>
            <rFont val="Tahoma"/>
            <family val="2"/>
            <charset val="186"/>
          </rPr>
          <t>Action/Transformation</t>
        </r>
      </text>
    </comment>
    <comment ref="AK31" authorId="0" shapeId="0" xr:uid="{08D0A5CF-8850-40EC-A089-DEB3E8D5A11A}">
      <text>
        <r>
          <rPr>
            <b/>
            <sz val="9"/>
            <color indexed="81"/>
            <rFont val="Tahoma"/>
            <family val="2"/>
            <charset val="186"/>
          </rPr>
          <t>Action/Transformation</t>
        </r>
      </text>
    </comment>
    <comment ref="AV31" authorId="0" shapeId="0" xr:uid="{0848840D-09B0-4C6F-B7C5-E6B95F833A62}">
      <text>
        <r>
          <rPr>
            <b/>
            <sz val="9"/>
            <color indexed="81"/>
            <rFont val="Tahoma"/>
            <family val="2"/>
            <charset val="186"/>
          </rPr>
          <t>Action/Transformation</t>
        </r>
      </text>
    </comment>
    <comment ref="BG31" authorId="0" shapeId="0" xr:uid="{6C1A1B9A-E29C-4C8F-A8ED-5D62CECFF038}">
      <text>
        <r>
          <rPr>
            <b/>
            <sz val="9"/>
            <color indexed="81"/>
            <rFont val="Tahoma"/>
            <family val="2"/>
            <charset val="186"/>
          </rPr>
          <t>Action/Transformation</t>
        </r>
      </text>
    </comment>
    <comment ref="BR31" authorId="0" shapeId="0" xr:uid="{DD590B38-766E-4F34-B3A0-CD4737B5B171}">
      <text>
        <r>
          <rPr>
            <b/>
            <sz val="9"/>
            <color indexed="81"/>
            <rFont val="Tahoma"/>
            <family val="2"/>
            <charset val="186"/>
          </rPr>
          <t>Action/Transformation</t>
        </r>
      </text>
    </comment>
    <comment ref="C32" authorId="0" shapeId="0" xr:uid="{5AC1D283-CE1B-4843-A2DC-441DD73F13EA}">
      <text>
        <r>
          <rPr>
            <b/>
            <sz val="9"/>
            <color indexed="81"/>
            <rFont val="Tahoma"/>
            <family val="2"/>
            <charset val="186"/>
          </rPr>
          <t>Clarity/Communication</t>
        </r>
      </text>
    </comment>
    <comment ref="O32" authorId="0" shapeId="0" xr:uid="{AE950A53-274E-48F3-A33A-D541BD5FFD38}">
      <text>
        <r>
          <rPr>
            <b/>
            <sz val="9"/>
            <color indexed="81"/>
            <rFont val="Tahoma"/>
            <family val="2"/>
            <charset val="186"/>
          </rPr>
          <t>Clarity/Communication</t>
        </r>
      </text>
    </comment>
    <comment ref="Z32" authorId="0" shapeId="0" xr:uid="{523A141B-EC2E-4F8D-A0EE-1A3A288DE04B}">
      <text>
        <r>
          <rPr>
            <b/>
            <sz val="9"/>
            <color indexed="81"/>
            <rFont val="Tahoma"/>
            <family val="2"/>
            <charset val="186"/>
          </rPr>
          <t>Clarity/Communication</t>
        </r>
      </text>
    </comment>
    <comment ref="AK32" authorId="0" shapeId="0" xr:uid="{D15A5864-DA2D-4EF4-87AB-3EC9D6EC64EB}">
      <text>
        <r>
          <rPr>
            <b/>
            <sz val="9"/>
            <color indexed="81"/>
            <rFont val="Tahoma"/>
            <family val="2"/>
            <charset val="186"/>
          </rPr>
          <t>Clarity/Communication</t>
        </r>
      </text>
    </comment>
    <comment ref="AV32" authorId="0" shapeId="0" xr:uid="{BB1FF78D-600A-4002-8305-85CC8B68A206}">
      <text>
        <r>
          <rPr>
            <b/>
            <sz val="9"/>
            <color indexed="81"/>
            <rFont val="Tahoma"/>
            <family val="2"/>
            <charset val="186"/>
          </rPr>
          <t>Clarity/Communication</t>
        </r>
      </text>
    </comment>
    <comment ref="BG32" authorId="0" shapeId="0" xr:uid="{ADA67506-40BC-4550-8397-DF38115E7FBC}">
      <text>
        <r>
          <rPr>
            <b/>
            <sz val="9"/>
            <color indexed="81"/>
            <rFont val="Tahoma"/>
            <family val="2"/>
            <charset val="186"/>
          </rPr>
          <t>Clarity/Communication</t>
        </r>
      </text>
    </comment>
    <comment ref="BR32" authorId="0" shapeId="0" xr:uid="{D12588E0-2612-45E0-9E44-977225F30B96}">
      <text>
        <r>
          <rPr>
            <b/>
            <sz val="9"/>
            <color indexed="81"/>
            <rFont val="Tahoma"/>
            <family val="2"/>
            <charset val="186"/>
          </rPr>
          <t>Clarity/Communication</t>
        </r>
      </text>
    </comment>
    <comment ref="C33" authorId="0" shapeId="0" xr:uid="{36DD0C4B-F6FC-426A-B8FE-5C556E5C14B9}">
      <text>
        <r>
          <rPr>
            <b/>
            <sz val="9"/>
            <color indexed="81"/>
            <rFont val="Tahoma"/>
            <family val="2"/>
            <charset val="186"/>
          </rPr>
          <t>Purpose</t>
        </r>
      </text>
    </comment>
    <comment ref="O33" authorId="0" shapeId="0" xr:uid="{14B0DDB1-9884-4DC1-B77E-45366CA3C7BE}">
      <text>
        <r>
          <rPr>
            <b/>
            <sz val="9"/>
            <color indexed="81"/>
            <rFont val="Tahoma"/>
            <family val="2"/>
            <charset val="186"/>
          </rPr>
          <t>Purpose</t>
        </r>
      </text>
    </comment>
    <comment ref="Z33" authorId="0" shapeId="0" xr:uid="{0CE20277-2F3E-4FE3-9C98-B1B4CDA06DE9}">
      <text>
        <r>
          <rPr>
            <b/>
            <sz val="9"/>
            <color indexed="81"/>
            <rFont val="Tahoma"/>
            <family val="2"/>
            <charset val="186"/>
          </rPr>
          <t>Purpose</t>
        </r>
      </text>
    </comment>
    <comment ref="AK33" authorId="0" shapeId="0" xr:uid="{4E462830-8843-48B2-91FC-65DF7DD8389D}">
      <text>
        <r>
          <rPr>
            <b/>
            <sz val="9"/>
            <color indexed="81"/>
            <rFont val="Tahoma"/>
            <family val="2"/>
            <charset val="186"/>
          </rPr>
          <t>Purpose</t>
        </r>
      </text>
    </comment>
    <comment ref="AV33" authorId="0" shapeId="0" xr:uid="{323FF748-CD1E-4117-BC45-9CD09EE4B992}">
      <text>
        <r>
          <rPr>
            <b/>
            <sz val="9"/>
            <color indexed="81"/>
            <rFont val="Tahoma"/>
            <family val="2"/>
            <charset val="186"/>
          </rPr>
          <t>Purpose</t>
        </r>
      </text>
    </comment>
    <comment ref="BG33" authorId="0" shapeId="0" xr:uid="{A65E3265-5149-45CA-989E-571D292BF1BA}">
      <text>
        <r>
          <rPr>
            <b/>
            <sz val="9"/>
            <color indexed="81"/>
            <rFont val="Tahoma"/>
            <family val="2"/>
            <charset val="186"/>
          </rPr>
          <t>Purpose</t>
        </r>
      </text>
    </comment>
    <comment ref="BR33" authorId="0" shapeId="0" xr:uid="{FC2B86CA-1E92-4466-A993-23F8A722B5F9}">
      <text>
        <r>
          <rPr>
            <b/>
            <sz val="9"/>
            <color indexed="81"/>
            <rFont val="Tahoma"/>
            <family val="2"/>
            <charset val="186"/>
          </rPr>
          <t>Purpose</t>
        </r>
      </text>
    </comment>
    <comment ref="C34" authorId="0" shapeId="0" xr:uid="{84518B73-9C11-4697-A5ED-6F5BB231B92D}">
      <text>
        <r>
          <rPr>
            <b/>
            <sz val="9"/>
            <color indexed="81"/>
            <rFont val="Tahoma"/>
            <family val="2"/>
            <charset val="186"/>
          </rPr>
          <t>Stability</t>
        </r>
      </text>
    </comment>
    <comment ref="O34" authorId="0" shapeId="0" xr:uid="{C3CEB19B-3738-477B-A853-87E9212EC3BD}">
      <text>
        <r>
          <rPr>
            <b/>
            <sz val="9"/>
            <color indexed="81"/>
            <rFont val="Tahoma"/>
            <family val="2"/>
            <charset val="186"/>
          </rPr>
          <t>Stability</t>
        </r>
      </text>
    </comment>
    <comment ref="Z34" authorId="0" shapeId="0" xr:uid="{9185FF20-A869-4346-A85D-447716D8C5AE}">
      <text>
        <r>
          <rPr>
            <b/>
            <sz val="9"/>
            <color indexed="81"/>
            <rFont val="Tahoma"/>
            <family val="2"/>
            <charset val="186"/>
          </rPr>
          <t>Stability</t>
        </r>
      </text>
    </comment>
    <comment ref="AK34" authorId="0" shapeId="0" xr:uid="{FD17FCDB-50C2-456C-BACE-F5B25AE604FA}">
      <text>
        <r>
          <rPr>
            <b/>
            <sz val="9"/>
            <color indexed="81"/>
            <rFont val="Tahoma"/>
            <family val="2"/>
            <charset val="186"/>
          </rPr>
          <t>Stability</t>
        </r>
      </text>
    </comment>
    <comment ref="AV34" authorId="0" shapeId="0" xr:uid="{2EACC847-F041-4023-978D-6EE82E94C7AB}">
      <text>
        <r>
          <rPr>
            <b/>
            <sz val="9"/>
            <color indexed="81"/>
            <rFont val="Tahoma"/>
            <family val="2"/>
            <charset val="186"/>
          </rPr>
          <t>Stability</t>
        </r>
      </text>
    </comment>
    <comment ref="BG34" authorId="0" shapeId="0" xr:uid="{68C4AA75-7D28-477B-B6A7-B2A396BC95BE}">
      <text>
        <r>
          <rPr>
            <b/>
            <sz val="9"/>
            <color indexed="81"/>
            <rFont val="Tahoma"/>
            <family val="2"/>
            <charset val="186"/>
          </rPr>
          <t>Stability</t>
        </r>
      </text>
    </comment>
    <comment ref="BR34" authorId="0" shapeId="0" xr:uid="{DF6B288F-B699-4C97-9188-30CB3F845B30}">
      <text>
        <r>
          <rPr>
            <b/>
            <sz val="9"/>
            <color indexed="81"/>
            <rFont val="Tahoma"/>
            <family val="2"/>
            <charset val="186"/>
          </rPr>
          <t>Stability</t>
        </r>
      </text>
    </comment>
    <comment ref="C35" authorId="0" shapeId="0" xr:uid="{15013021-4530-4B3B-A8F4-A69147E253CF}">
      <text>
        <r>
          <rPr>
            <b/>
            <sz val="9"/>
            <color indexed="81"/>
            <rFont val="Tahoma"/>
            <family val="2"/>
            <charset val="186"/>
          </rPr>
          <t>Flow</t>
        </r>
      </text>
    </comment>
    <comment ref="O35" authorId="0" shapeId="0" xr:uid="{44A2B7A9-CD28-469B-855A-3771EA60B9C9}">
      <text>
        <r>
          <rPr>
            <b/>
            <sz val="9"/>
            <color indexed="81"/>
            <rFont val="Tahoma"/>
            <family val="2"/>
            <charset val="186"/>
          </rPr>
          <t>Flow</t>
        </r>
      </text>
    </comment>
    <comment ref="Z35" authorId="0" shapeId="0" xr:uid="{8842576F-2017-45E6-8F46-A9D540BA009F}">
      <text>
        <r>
          <rPr>
            <b/>
            <sz val="9"/>
            <color indexed="81"/>
            <rFont val="Tahoma"/>
            <family val="2"/>
            <charset val="186"/>
          </rPr>
          <t>Flow</t>
        </r>
      </text>
    </comment>
    <comment ref="AK35" authorId="0" shapeId="0" xr:uid="{33F51375-9CD8-43F3-9329-5457CC1B355F}">
      <text>
        <r>
          <rPr>
            <b/>
            <sz val="9"/>
            <color indexed="81"/>
            <rFont val="Tahoma"/>
            <family val="2"/>
            <charset val="186"/>
          </rPr>
          <t>Flow</t>
        </r>
      </text>
    </comment>
    <comment ref="AV35" authorId="0" shapeId="0" xr:uid="{BD58BB86-76BC-4B88-93B4-D33A8D255FF4}">
      <text>
        <r>
          <rPr>
            <b/>
            <sz val="9"/>
            <color indexed="81"/>
            <rFont val="Tahoma"/>
            <family val="2"/>
            <charset val="186"/>
          </rPr>
          <t>Flow</t>
        </r>
      </text>
    </comment>
    <comment ref="BG35" authorId="0" shapeId="0" xr:uid="{85F96924-0DD5-49EA-90D9-7CFE9E5B39BE}">
      <text>
        <r>
          <rPr>
            <b/>
            <sz val="9"/>
            <color indexed="81"/>
            <rFont val="Tahoma"/>
            <family val="2"/>
            <charset val="186"/>
          </rPr>
          <t>Flow</t>
        </r>
      </text>
    </comment>
    <comment ref="BR35" authorId="0" shapeId="0" xr:uid="{868DD76F-4457-4A48-BEE7-C9D896CE37B9}">
      <text>
        <r>
          <rPr>
            <b/>
            <sz val="9"/>
            <color indexed="81"/>
            <rFont val="Tahoma"/>
            <family val="2"/>
            <charset val="186"/>
          </rPr>
          <t>Flow</t>
        </r>
      </text>
    </comment>
    <comment ref="C36" authorId="0" shapeId="0" xr:uid="{7ADC8267-813D-4D54-B9D9-64F3E71E5A42}">
      <text>
        <r>
          <rPr>
            <b/>
            <sz val="9"/>
            <color indexed="81"/>
            <rFont val="Tahoma"/>
            <family val="2"/>
            <charset val="186"/>
          </rPr>
          <t>Action/Transformation</t>
        </r>
      </text>
    </comment>
    <comment ref="O36" authorId="0" shapeId="0" xr:uid="{4A89C47B-C7C6-437B-9B04-94C2030DADCA}">
      <text>
        <r>
          <rPr>
            <b/>
            <sz val="9"/>
            <color indexed="81"/>
            <rFont val="Tahoma"/>
            <family val="2"/>
            <charset val="186"/>
          </rPr>
          <t>Action/Transformation</t>
        </r>
      </text>
    </comment>
    <comment ref="Z36" authorId="0" shapeId="0" xr:uid="{A3155E10-AA05-43E9-BD40-72F11EFC05DA}">
      <text>
        <r>
          <rPr>
            <b/>
            <sz val="9"/>
            <color indexed="81"/>
            <rFont val="Tahoma"/>
            <family val="2"/>
            <charset val="186"/>
          </rPr>
          <t>Action/Transformation</t>
        </r>
      </text>
    </comment>
    <comment ref="AK36" authorId="0" shapeId="0" xr:uid="{749BB5E6-C7DA-4A21-8CC5-ACBBE0AED6CF}">
      <text>
        <r>
          <rPr>
            <b/>
            <sz val="9"/>
            <color indexed="81"/>
            <rFont val="Tahoma"/>
            <family val="2"/>
            <charset val="186"/>
          </rPr>
          <t>Action/Transformation</t>
        </r>
      </text>
    </comment>
    <comment ref="AV36" authorId="0" shapeId="0" xr:uid="{1FE80252-65C3-427D-B914-D29707C9A636}">
      <text>
        <r>
          <rPr>
            <b/>
            <sz val="9"/>
            <color indexed="81"/>
            <rFont val="Tahoma"/>
            <family val="2"/>
            <charset val="186"/>
          </rPr>
          <t>Action/Transformation</t>
        </r>
      </text>
    </comment>
    <comment ref="BG36" authorId="0" shapeId="0" xr:uid="{6FEEBD58-C3FB-43B9-A3E1-724C9BDF1BD4}">
      <text>
        <r>
          <rPr>
            <b/>
            <sz val="9"/>
            <color indexed="81"/>
            <rFont val="Tahoma"/>
            <family val="2"/>
            <charset val="186"/>
          </rPr>
          <t>Action/Transformation</t>
        </r>
      </text>
    </comment>
    <comment ref="BR36" authorId="0" shapeId="0" xr:uid="{2F43598C-B5B3-4BC9-92F3-BDB866280220}">
      <text>
        <r>
          <rPr>
            <b/>
            <sz val="9"/>
            <color indexed="81"/>
            <rFont val="Tahoma"/>
            <family val="2"/>
            <charset val="186"/>
          </rPr>
          <t>Action/Transformation</t>
        </r>
      </text>
    </comment>
    <comment ref="C37" authorId="0" shapeId="0" xr:uid="{28EA6AF7-1BA2-464F-99B5-C71809183BB9}">
      <text>
        <r>
          <rPr>
            <b/>
            <sz val="9"/>
            <color indexed="81"/>
            <rFont val="Tahoma"/>
            <family val="2"/>
            <charset val="186"/>
          </rPr>
          <t>Clarity/Communication</t>
        </r>
      </text>
    </comment>
    <comment ref="O37" authorId="0" shapeId="0" xr:uid="{259D5C0A-5BB9-4920-8E0C-5882F2EE87F5}">
      <text>
        <r>
          <rPr>
            <b/>
            <sz val="9"/>
            <color indexed="81"/>
            <rFont val="Tahoma"/>
            <family val="2"/>
            <charset val="186"/>
          </rPr>
          <t>Clarity/Communication</t>
        </r>
      </text>
    </comment>
    <comment ref="Z37" authorId="0" shapeId="0" xr:uid="{283DB8C9-391E-468E-8B7D-4C244DD2DCF5}">
      <text>
        <r>
          <rPr>
            <b/>
            <sz val="9"/>
            <color indexed="81"/>
            <rFont val="Tahoma"/>
            <family val="2"/>
            <charset val="186"/>
          </rPr>
          <t>Clarity/Communication</t>
        </r>
      </text>
    </comment>
    <comment ref="AK37" authorId="0" shapeId="0" xr:uid="{226EB648-878A-4B48-88E5-F02381F0E23F}">
      <text>
        <r>
          <rPr>
            <b/>
            <sz val="9"/>
            <color indexed="81"/>
            <rFont val="Tahoma"/>
            <family val="2"/>
            <charset val="186"/>
          </rPr>
          <t>Clarity/Communication</t>
        </r>
      </text>
    </comment>
    <comment ref="AV37" authorId="0" shapeId="0" xr:uid="{5C04C1F3-81AD-419B-95D3-86A87FE6530C}">
      <text>
        <r>
          <rPr>
            <b/>
            <sz val="9"/>
            <color indexed="81"/>
            <rFont val="Tahoma"/>
            <family val="2"/>
            <charset val="186"/>
          </rPr>
          <t>Clarity/Communication</t>
        </r>
      </text>
    </comment>
    <comment ref="BG37" authorId="0" shapeId="0" xr:uid="{2D16CA01-A240-4E2C-886C-B1FD148768F2}">
      <text>
        <r>
          <rPr>
            <b/>
            <sz val="9"/>
            <color indexed="81"/>
            <rFont val="Tahoma"/>
            <family val="2"/>
            <charset val="186"/>
          </rPr>
          <t>Clarity/Communication</t>
        </r>
      </text>
    </comment>
    <comment ref="BR37" authorId="0" shapeId="0" xr:uid="{3E2C95C7-FF09-49A8-BB47-E612BF7EE97A}">
      <text>
        <r>
          <rPr>
            <b/>
            <sz val="9"/>
            <color indexed="81"/>
            <rFont val="Tahoma"/>
            <family val="2"/>
            <charset val="186"/>
          </rPr>
          <t>Clarity/Communication</t>
        </r>
      </text>
    </comment>
    <comment ref="C38" authorId="0" shapeId="0" xr:uid="{91794438-E4F9-49C5-BD8F-4AE0682A06D5}">
      <text>
        <r>
          <rPr>
            <b/>
            <sz val="9"/>
            <color indexed="81"/>
            <rFont val="Tahoma"/>
            <family val="2"/>
            <charset val="186"/>
          </rPr>
          <t>Purpose</t>
        </r>
      </text>
    </comment>
    <comment ref="O38" authorId="0" shapeId="0" xr:uid="{7242151D-739B-4C6A-9D57-5A51B3FA7DC6}">
      <text>
        <r>
          <rPr>
            <b/>
            <sz val="9"/>
            <color indexed="81"/>
            <rFont val="Tahoma"/>
            <family val="2"/>
            <charset val="186"/>
          </rPr>
          <t>Purpose</t>
        </r>
      </text>
    </comment>
    <comment ref="Z38" authorId="0" shapeId="0" xr:uid="{970F7474-4E6D-4C27-8B61-29BC198E8A58}">
      <text>
        <r>
          <rPr>
            <b/>
            <sz val="9"/>
            <color indexed="81"/>
            <rFont val="Tahoma"/>
            <family val="2"/>
            <charset val="186"/>
          </rPr>
          <t>Purpose</t>
        </r>
      </text>
    </comment>
    <comment ref="AK38" authorId="0" shapeId="0" xr:uid="{CA39C5DF-4949-4D08-B46C-545EA2432E3F}">
      <text>
        <r>
          <rPr>
            <b/>
            <sz val="9"/>
            <color indexed="81"/>
            <rFont val="Tahoma"/>
            <family val="2"/>
            <charset val="186"/>
          </rPr>
          <t>Purpose</t>
        </r>
      </text>
    </comment>
    <comment ref="AV38" authorId="0" shapeId="0" xr:uid="{D018C6D3-E91B-4EF9-B75C-0F9AA2B8B91A}">
      <text>
        <r>
          <rPr>
            <b/>
            <sz val="9"/>
            <color indexed="81"/>
            <rFont val="Tahoma"/>
            <family val="2"/>
            <charset val="186"/>
          </rPr>
          <t>Purpose</t>
        </r>
      </text>
    </comment>
    <comment ref="BG38" authorId="0" shapeId="0" xr:uid="{7D856774-36ED-4283-9623-4EC88906CCA3}">
      <text>
        <r>
          <rPr>
            <b/>
            <sz val="9"/>
            <color indexed="81"/>
            <rFont val="Tahoma"/>
            <family val="2"/>
            <charset val="186"/>
          </rPr>
          <t>Purpose</t>
        </r>
      </text>
    </comment>
    <comment ref="BR38" authorId="0" shapeId="0" xr:uid="{AB5D0399-BAEA-4911-81F4-8ED2E010C9BA}">
      <text>
        <r>
          <rPr>
            <b/>
            <sz val="9"/>
            <color indexed="81"/>
            <rFont val="Tahoma"/>
            <family val="2"/>
            <charset val="186"/>
          </rPr>
          <t>Purpose</t>
        </r>
      </text>
    </comment>
    <comment ref="C39" authorId="0" shapeId="0" xr:uid="{3D69CFFD-5A8C-45FD-885B-BED3F2BCD061}">
      <text>
        <r>
          <rPr>
            <b/>
            <sz val="9"/>
            <color indexed="81"/>
            <rFont val="Tahoma"/>
            <family val="2"/>
            <charset val="186"/>
          </rPr>
          <t>Stability</t>
        </r>
      </text>
    </comment>
    <comment ref="O39" authorId="0" shapeId="0" xr:uid="{C76E870B-FE75-403C-8389-526B735D4388}">
      <text>
        <r>
          <rPr>
            <b/>
            <sz val="9"/>
            <color indexed="81"/>
            <rFont val="Tahoma"/>
            <family val="2"/>
            <charset val="186"/>
          </rPr>
          <t>Stability</t>
        </r>
      </text>
    </comment>
    <comment ref="Z39" authorId="0" shapeId="0" xr:uid="{B8FB447C-AFEC-49EC-8D09-F83E392504DD}">
      <text>
        <r>
          <rPr>
            <b/>
            <sz val="9"/>
            <color indexed="81"/>
            <rFont val="Tahoma"/>
            <family val="2"/>
            <charset val="186"/>
          </rPr>
          <t>Stability</t>
        </r>
      </text>
    </comment>
    <comment ref="AK39" authorId="0" shapeId="0" xr:uid="{ABED2DEA-78C7-4CDA-A997-73916F74DABF}">
      <text>
        <r>
          <rPr>
            <b/>
            <sz val="9"/>
            <color indexed="81"/>
            <rFont val="Tahoma"/>
            <family val="2"/>
            <charset val="186"/>
          </rPr>
          <t>Stability</t>
        </r>
      </text>
    </comment>
    <comment ref="AV39" authorId="0" shapeId="0" xr:uid="{6E4F1439-F8E9-40CD-9108-4AE9E97066EC}">
      <text>
        <r>
          <rPr>
            <b/>
            <sz val="9"/>
            <color indexed="81"/>
            <rFont val="Tahoma"/>
            <family val="2"/>
            <charset val="186"/>
          </rPr>
          <t>Stability</t>
        </r>
      </text>
    </comment>
    <comment ref="BG39" authorId="0" shapeId="0" xr:uid="{2481AE66-BE5A-4BC3-B3F2-C9EB31C77B17}">
      <text>
        <r>
          <rPr>
            <b/>
            <sz val="9"/>
            <color indexed="81"/>
            <rFont val="Tahoma"/>
            <family val="2"/>
            <charset val="186"/>
          </rPr>
          <t>Stability</t>
        </r>
      </text>
    </comment>
    <comment ref="BR39" authorId="0" shapeId="0" xr:uid="{B3F6AAE4-BFFE-4418-8C67-0A111D8B39A3}">
      <text>
        <r>
          <rPr>
            <b/>
            <sz val="9"/>
            <color indexed="81"/>
            <rFont val="Tahoma"/>
            <family val="2"/>
            <charset val="186"/>
          </rPr>
          <t>Stability</t>
        </r>
      </text>
    </comment>
    <comment ref="C40" authorId="0" shapeId="0" xr:uid="{FF1BBE94-3A8C-49F1-8B8D-E9721B941367}">
      <text>
        <r>
          <rPr>
            <b/>
            <sz val="9"/>
            <color indexed="81"/>
            <rFont val="Tahoma"/>
            <family val="2"/>
            <charset val="186"/>
          </rPr>
          <t>Flow</t>
        </r>
      </text>
    </comment>
    <comment ref="O40" authorId="0" shapeId="0" xr:uid="{A74AD46D-E81B-437C-93DE-977E8EECEEBA}">
      <text>
        <r>
          <rPr>
            <b/>
            <sz val="9"/>
            <color indexed="81"/>
            <rFont val="Tahoma"/>
            <family val="2"/>
            <charset val="186"/>
          </rPr>
          <t>Flow</t>
        </r>
      </text>
    </comment>
    <comment ref="Z40" authorId="0" shapeId="0" xr:uid="{5299DABD-44E7-4613-A271-3025C9B03FF4}">
      <text>
        <r>
          <rPr>
            <b/>
            <sz val="9"/>
            <color indexed="81"/>
            <rFont val="Tahoma"/>
            <family val="2"/>
            <charset val="186"/>
          </rPr>
          <t>Flow</t>
        </r>
      </text>
    </comment>
    <comment ref="AK40" authorId="0" shapeId="0" xr:uid="{47BDB2CE-642C-4AC2-806B-0ED579A90FD0}">
      <text>
        <r>
          <rPr>
            <b/>
            <sz val="9"/>
            <color indexed="81"/>
            <rFont val="Tahoma"/>
            <family val="2"/>
            <charset val="186"/>
          </rPr>
          <t>Flow</t>
        </r>
      </text>
    </comment>
    <comment ref="AV40" authorId="0" shapeId="0" xr:uid="{0E69F33D-7617-42FC-B0B1-4C0B3EF34ED6}">
      <text>
        <r>
          <rPr>
            <b/>
            <sz val="9"/>
            <color indexed="81"/>
            <rFont val="Tahoma"/>
            <family val="2"/>
            <charset val="186"/>
          </rPr>
          <t>Flow</t>
        </r>
      </text>
    </comment>
    <comment ref="BG40" authorId="0" shapeId="0" xr:uid="{40C44BC3-CE97-4413-A34C-F7D62AD590C4}">
      <text>
        <r>
          <rPr>
            <b/>
            <sz val="9"/>
            <color indexed="81"/>
            <rFont val="Tahoma"/>
            <family val="2"/>
            <charset val="186"/>
          </rPr>
          <t>Flow</t>
        </r>
      </text>
    </comment>
    <comment ref="BR40" authorId="0" shapeId="0" xr:uid="{5C1408A6-5C04-4F8A-9AC6-CB2FDBBA6EF9}">
      <text>
        <r>
          <rPr>
            <b/>
            <sz val="9"/>
            <color indexed="81"/>
            <rFont val="Tahoma"/>
            <family val="2"/>
            <charset val="186"/>
          </rPr>
          <t>Flow</t>
        </r>
      </text>
    </comment>
    <comment ref="C41" authorId="0" shapeId="0" xr:uid="{5CA54C3E-B78A-44A8-A43B-5D0566BDCB48}">
      <text>
        <r>
          <rPr>
            <b/>
            <sz val="9"/>
            <color indexed="81"/>
            <rFont val="Tahoma"/>
            <family val="2"/>
            <charset val="186"/>
          </rPr>
          <t>Action/Transformation</t>
        </r>
      </text>
    </comment>
    <comment ref="O41" authorId="0" shapeId="0" xr:uid="{7AECF15D-096E-43D8-8661-3F3E104D0E8C}">
      <text>
        <r>
          <rPr>
            <b/>
            <sz val="9"/>
            <color indexed="81"/>
            <rFont val="Tahoma"/>
            <family val="2"/>
            <charset val="186"/>
          </rPr>
          <t>Action/Transformation</t>
        </r>
      </text>
    </comment>
    <comment ref="Z41" authorId="0" shapeId="0" xr:uid="{5B6DA0F4-EA1A-4EF5-B8C9-5BB425C3F8BE}">
      <text>
        <r>
          <rPr>
            <b/>
            <sz val="9"/>
            <color indexed="81"/>
            <rFont val="Tahoma"/>
            <family val="2"/>
            <charset val="186"/>
          </rPr>
          <t>Action/Transformation</t>
        </r>
      </text>
    </comment>
    <comment ref="AK41" authorId="0" shapeId="0" xr:uid="{AB1C3E96-0C4F-4207-986C-6293490A857F}">
      <text>
        <r>
          <rPr>
            <b/>
            <sz val="9"/>
            <color indexed="81"/>
            <rFont val="Tahoma"/>
            <family val="2"/>
            <charset val="186"/>
          </rPr>
          <t>Action/Transformation</t>
        </r>
      </text>
    </comment>
    <comment ref="AV41" authorId="0" shapeId="0" xr:uid="{47CF912C-CBA5-4D27-A1FA-2E2A62F12C5B}">
      <text>
        <r>
          <rPr>
            <b/>
            <sz val="9"/>
            <color indexed="81"/>
            <rFont val="Tahoma"/>
            <family val="2"/>
            <charset val="186"/>
          </rPr>
          <t>Action/Transformation</t>
        </r>
      </text>
    </comment>
    <comment ref="BG41" authorId="0" shapeId="0" xr:uid="{2220A4D0-34E0-4516-AAE2-0D719F7DAB64}">
      <text>
        <r>
          <rPr>
            <b/>
            <sz val="9"/>
            <color indexed="81"/>
            <rFont val="Tahoma"/>
            <family val="2"/>
            <charset val="186"/>
          </rPr>
          <t>Action/Transformation</t>
        </r>
      </text>
    </comment>
    <comment ref="BR41" authorId="0" shapeId="0" xr:uid="{07D4BA65-2E09-4A75-B5E3-A3DF78A6417A}">
      <text>
        <r>
          <rPr>
            <b/>
            <sz val="9"/>
            <color indexed="81"/>
            <rFont val="Tahoma"/>
            <family val="2"/>
            <charset val="186"/>
          </rPr>
          <t>Action/Transformation</t>
        </r>
      </text>
    </comment>
    <comment ref="C42" authorId="0" shapeId="0" xr:uid="{B9E96132-7AAC-4A5E-AD3D-2F3FE0C4B7F4}">
      <text>
        <r>
          <rPr>
            <b/>
            <sz val="9"/>
            <color indexed="81"/>
            <rFont val="Tahoma"/>
            <family val="2"/>
            <charset val="186"/>
          </rPr>
          <t>Clarity/Communication</t>
        </r>
      </text>
    </comment>
    <comment ref="O42" authorId="0" shapeId="0" xr:uid="{70C32810-4485-44CE-97C7-6738C155F4E7}">
      <text>
        <r>
          <rPr>
            <b/>
            <sz val="9"/>
            <color indexed="81"/>
            <rFont val="Tahoma"/>
            <family val="2"/>
            <charset val="186"/>
          </rPr>
          <t>Clarity/Communication</t>
        </r>
      </text>
    </comment>
    <comment ref="Z42" authorId="0" shapeId="0" xr:uid="{CF61D5AE-9A04-4E62-982A-1721F5E6B780}">
      <text>
        <r>
          <rPr>
            <b/>
            <sz val="9"/>
            <color indexed="81"/>
            <rFont val="Tahoma"/>
            <family val="2"/>
            <charset val="186"/>
          </rPr>
          <t>Clarity/Communication</t>
        </r>
      </text>
    </comment>
    <comment ref="AK42" authorId="0" shapeId="0" xr:uid="{800AB287-FFC0-4441-A754-A371C2DE0F36}">
      <text>
        <r>
          <rPr>
            <b/>
            <sz val="9"/>
            <color indexed="81"/>
            <rFont val="Tahoma"/>
            <family val="2"/>
            <charset val="186"/>
          </rPr>
          <t>Clarity/Communication</t>
        </r>
      </text>
    </comment>
    <comment ref="AV42" authorId="0" shapeId="0" xr:uid="{7D54BB19-3B54-428A-9C82-6C4C0D0D2945}">
      <text>
        <r>
          <rPr>
            <b/>
            <sz val="9"/>
            <color indexed="81"/>
            <rFont val="Tahoma"/>
            <family val="2"/>
            <charset val="186"/>
          </rPr>
          <t>Clarity/Communication</t>
        </r>
      </text>
    </comment>
    <comment ref="BG42" authorId="0" shapeId="0" xr:uid="{1E8684D2-0E9C-4A19-80F6-698AD80EB3DC}">
      <text>
        <r>
          <rPr>
            <b/>
            <sz val="9"/>
            <color indexed="81"/>
            <rFont val="Tahoma"/>
            <family val="2"/>
            <charset val="186"/>
          </rPr>
          <t>Clarity/Communication</t>
        </r>
      </text>
    </comment>
    <comment ref="BR42" authorId="0" shapeId="0" xr:uid="{09137E1C-7E11-4BA7-8EFA-4E7129BA5C59}">
      <text>
        <r>
          <rPr>
            <b/>
            <sz val="9"/>
            <color indexed="81"/>
            <rFont val="Tahoma"/>
            <family val="2"/>
            <charset val="186"/>
          </rPr>
          <t>Clarity/Communication</t>
        </r>
      </text>
    </comment>
    <comment ref="C43" authorId="0" shapeId="0" xr:uid="{C305F9C1-BB28-4FCC-9216-5F4558343D75}">
      <text>
        <r>
          <rPr>
            <b/>
            <sz val="9"/>
            <color indexed="81"/>
            <rFont val="Tahoma"/>
            <family val="2"/>
            <charset val="186"/>
          </rPr>
          <t>Purpose</t>
        </r>
      </text>
    </comment>
    <comment ref="O43" authorId="0" shapeId="0" xr:uid="{C04E1ABC-867B-47FE-9274-6AC12D2806F7}">
      <text>
        <r>
          <rPr>
            <b/>
            <sz val="9"/>
            <color indexed="81"/>
            <rFont val="Tahoma"/>
            <family val="2"/>
            <charset val="186"/>
          </rPr>
          <t>Purpose</t>
        </r>
      </text>
    </comment>
    <comment ref="Z43" authorId="0" shapeId="0" xr:uid="{31EE4797-264E-468D-948F-FF3C37832D07}">
      <text>
        <r>
          <rPr>
            <b/>
            <sz val="9"/>
            <color indexed="81"/>
            <rFont val="Tahoma"/>
            <family val="2"/>
            <charset val="186"/>
          </rPr>
          <t>Purpose</t>
        </r>
      </text>
    </comment>
    <comment ref="AK43" authorId="0" shapeId="0" xr:uid="{DD8E76A3-E668-43B7-8442-F4B988313C6F}">
      <text>
        <r>
          <rPr>
            <b/>
            <sz val="9"/>
            <color indexed="81"/>
            <rFont val="Tahoma"/>
            <family val="2"/>
            <charset val="186"/>
          </rPr>
          <t>Purpose</t>
        </r>
      </text>
    </comment>
    <comment ref="AV43" authorId="0" shapeId="0" xr:uid="{65B499EF-E643-4B59-B008-15AE2F8BBC0E}">
      <text>
        <r>
          <rPr>
            <b/>
            <sz val="9"/>
            <color indexed="81"/>
            <rFont val="Tahoma"/>
            <family val="2"/>
            <charset val="186"/>
          </rPr>
          <t>Purpose</t>
        </r>
      </text>
    </comment>
    <comment ref="BG43" authorId="0" shapeId="0" xr:uid="{A1544C54-52CB-4FB8-A51E-8509CEEF25E0}">
      <text>
        <r>
          <rPr>
            <b/>
            <sz val="9"/>
            <color indexed="81"/>
            <rFont val="Tahoma"/>
            <family val="2"/>
            <charset val="186"/>
          </rPr>
          <t>Purpose</t>
        </r>
      </text>
    </comment>
    <comment ref="BR43" authorId="0" shapeId="0" xr:uid="{C444AE51-9072-44D9-8AD8-820CA45AEB09}">
      <text>
        <r>
          <rPr>
            <b/>
            <sz val="9"/>
            <color indexed="81"/>
            <rFont val="Tahoma"/>
            <family val="2"/>
            <charset val="186"/>
          </rPr>
          <t>Purpose</t>
        </r>
      </text>
    </comment>
    <comment ref="C44" authorId="0" shapeId="0" xr:uid="{CC00C9C3-92CA-4606-B513-F7A4989BFDE6}">
      <text>
        <r>
          <rPr>
            <b/>
            <sz val="9"/>
            <color indexed="81"/>
            <rFont val="Tahoma"/>
            <family val="2"/>
            <charset val="186"/>
          </rPr>
          <t>Stability</t>
        </r>
      </text>
    </comment>
    <comment ref="O44" authorId="0" shapeId="0" xr:uid="{8CE51299-6441-4C69-9863-B42FEA5DF5C4}">
      <text>
        <r>
          <rPr>
            <b/>
            <sz val="9"/>
            <color indexed="81"/>
            <rFont val="Tahoma"/>
            <family val="2"/>
            <charset val="186"/>
          </rPr>
          <t>Stability</t>
        </r>
      </text>
    </comment>
    <comment ref="Z44" authorId="0" shapeId="0" xr:uid="{EB609D00-E9CC-40C2-9A56-7BBA146664DB}">
      <text>
        <r>
          <rPr>
            <b/>
            <sz val="9"/>
            <color indexed="81"/>
            <rFont val="Tahoma"/>
            <family val="2"/>
            <charset val="186"/>
          </rPr>
          <t>Stability</t>
        </r>
      </text>
    </comment>
    <comment ref="AK44" authorId="0" shapeId="0" xr:uid="{AA7DD757-2073-43D0-9DEE-FBDB96AC8996}">
      <text>
        <r>
          <rPr>
            <b/>
            <sz val="9"/>
            <color indexed="81"/>
            <rFont val="Tahoma"/>
            <family val="2"/>
            <charset val="186"/>
          </rPr>
          <t>Stability</t>
        </r>
      </text>
    </comment>
    <comment ref="AV44" authorId="0" shapeId="0" xr:uid="{12118549-5F9D-4776-8B8E-7F6DF8172DA1}">
      <text>
        <r>
          <rPr>
            <b/>
            <sz val="9"/>
            <color indexed="81"/>
            <rFont val="Tahoma"/>
            <family val="2"/>
            <charset val="186"/>
          </rPr>
          <t>Stability</t>
        </r>
      </text>
    </comment>
    <comment ref="BG44" authorId="0" shapeId="0" xr:uid="{160AB1BF-DF82-4F41-8B0F-68DF4A3C19EB}">
      <text>
        <r>
          <rPr>
            <b/>
            <sz val="9"/>
            <color indexed="81"/>
            <rFont val="Tahoma"/>
            <family val="2"/>
            <charset val="186"/>
          </rPr>
          <t>Stability</t>
        </r>
      </text>
    </comment>
    <comment ref="BR44" authorId="0" shapeId="0" xr:uid="{D0445510-DA7A-4958-BC15-1F4E2E1F8F3D}">
      <text>
        <r>
          <rPr>
            <b/>
            <sz val="9"/>
            <color indexed="81"/>
            <rFont val="Tahoma"/>
            <family val="2"/>
            <charset val="186"/>
          </rPr>
          <t>Stability</t>
        </r>
      </text>
    </comment>
    <comment ref="C45" authorId="0" shapeId="0" xr:uid="{4808DCE5-29F8-4D97-86C0-77D7B44E0B33}">
      <text>
        <r>
          <rPr>
            <b/>
            <sz val="9"/>
            <color indexed="81"/>
            <rFont val="Tahoma"/>
            <family val="2"/>
            <charset val="186"/>
          </rPr>
          <t>Flow</t>
        </r>
      </text>
    </comment>
    <comment ref="O45" authorId="0" shapeId="0" xr:uid="{B6380134-216D-4092-99E3-3E6296EF78B0}">
      <text>
        <r>
          <rPr>
            <b/>
            <sz val="9"/>
            <color indexed="81"/>
            <rFont val="Tahoma"/>
            <family val="2"/>
            <charset val="186"/>
          </rPr>
          <t>Flow</t>
        </r>
      </text>
    </comment>
    <comment ref="Z45" authorId="0" shapeId="0" xr:uid="{E2C694E8-CA46-4C32-B6DC-DA3F7AB15F17}">
      <text>
        <r>
          <rPr>
            <b/>
            <sz val="9"/>
            <color indexed="81"/>
            <rFont val="Tahoma"/>
            <family val="2"/>
            <charset val="186"/>
          </rPr>
          <t>Flow</t>
        </r>
      </text>
    </comment>
    <comment ref="AK45" authorId="0" shapeId="0" xr:uid="{E04B342F-2795-4E40-959E-1AAF0606D565}">
      <text>
        <r>
          <rPr>
            <b/>
            <sz val="9"/>
            <color indexed="81"/>
            <rFont val="Tahoma"/>
            <family val="2"/>
            <charset val="186"/>
          </rPr>
          <t>Flow</t>
        </r>
      </text>
    </comment>
    <comment ref="AV45" authorId="0" shapeId="0" xr:uid="{91B436A8-6A74-41E3-A986-6FCBE97EC919}">
      <text>
        <r>
          <rPr>
            <b/>
            <sz val="9"/>
            <color indexed="81"/>
            <rFont val="Tahoma"/>
            <family val="2"/>
            <charset val="186"/>
          </rPr>
          <t>Flow</t>
        </r>
      </text>
    </comment>
    <comment ref="BG45" authorId="0" shapeId="0" xr:uid="{12F76FA8-EEA5-4C67-9038-E22E52493C1D}">
      <text>
        <r>
          <rPr>
            <b/>
            <sz val="9"/>
            <color indexed="81"/>
            <rFont val="Tahoma"/>
            <family val="2"/>
            <charset val="186"/>
          </rPr>
          <t>Flow</t>
        </r>
      </text>
    </comment>
    <comment ref="BR45" authorId="0" shapeId="0" xr:uid="{96B5CF8F-83C9-4CF9-B6B8-5F2D6A8326C8}">
      <text>
        <r>
          <rPr>
            <b/>
            <sz val="9"/>
            <color indexed="81"/>
            <rFont val="Tahoma"/>
            <family val="2"/>
            <charset val="186"/>
          </rPr>
          <t>Flow</t>
        </r>
      </text>
    </comment>
    <comment ref="C46" authorId="0" shapeId="0" xr:uid="{EB088E13-961F-4ADB-BF9C-F91A08FDAD04}">
      <text>
        <r>
          <rPr>
            <b/>
            <sz val="9"/>
            <color indexed="81"/>
            <rFont val="Tahoma"/>
            <family val="2"/>
            <charset val="186"/>
          </rPr>
          <t>Action/Transformation</t>
        </r>
      </text>
    </comment>
    <comment ref="O46" authorId="0" shapeId="0" xr:uid="{5C50FEB6-0EA8-4C71-91EF-ABF3F2122CCF}">
      <text>
        <r>
          <rPr>
            <b/>
            <sz val="9"/>
            <color indexed="81"/>
            <rFont val="Tahoma"/>
            <family val="2"/>
            <charset val="186"/>
          </rPr>
          <t>Action/Transformation</t>
        </r>
      </text>
    </comment>
    <comment ref="Z46" authorId="0" shapeId="0" xr:uid="{A5A4702D-9910-46F2-AC1A-4E5B38119784}">
      <text>
        <r>
          <rPr>
            <b/>
            <sz val="9"/>
            <color indexed="81"/>
            <rFont val="Tahoma"/>
            <family val="2"/>
            <charset val="186"/>
          </rPr>
          <t>Action/Transformation</t>
        </r>
      </text>
    </comment>
    <comment ref="AK46" authorId="0" shapeId="0" xr:uid="{59A0D6F8-83E6-4813-BF08-30A945880C58}">
      <text>
        <r>
          <rPr>
            <b/>
            <sz val="9"/>
            <color indexed="81"/>
            <rFont val="Tahoma"/>
            <family val="2"/>
            <charset val="186"/>
          </rPr>
          <t>Action/Transformation</t>
        </r>
      </text>
    </comment>
    <comment ref="AV46" authorId="0" shapeId="0" xr:uid="{05053884-548F-405E-A7A7-613FC408F335}">
      <text>
        <r>
          <rPr>
            <b/>
            <sz val="9"/>
            <color indexed="81"/>
            <rFont val="Tahoma"/>
            <family val="2"/>
            <charset val="186"/>
          </rPr>
          <t>Action/Transformation</t>
        </r>
      </text>
    </comment>
    <comment ref="BG46" authorId="0" shapeId="0" xr:uid="{198F4B6C-D768-4BDC-BB21-0B6B5A881A3D}">
      <text>
        <r>
          <rPr>
            <b/>
            <sz val="9"/>
            <color indexed="81"/>
            <rFont val="Tahoma"/>
            <family val="2"/>
            <charset val="186"/>
          </rPr>
          <t>Action/Transformation</t>
        </r>
      </text>
    </comment>
    <comment ref="BR46" authorId="0" shapeId="0" xr:uid="{7F285627-D611-4B36-B96B-29CC4518F4DD}">
      <text>
        <r>
          <rPr>
            <b/>
            <sz val="9"/>
            <color indexed="81"/>
            <rFont val="Tahoma"/>
            <family val="2"/>
            <charset val="186"/>
          </rPr>
          <t>Action/Transformation</t>
        </r>
      </text>
    </comment>
    <comment ref="C47" authorId="0" shapeId="0" xr:uid="{FB92B488-E0CA-45F5-8735-510AA2432716}">
      <text>
        <r>
          <rPr>
            <b/>
            <sz val="9"/>
            <color indexed="81"/>
            <rFont val="Tahoma"/>
            <family val="2"/>
            <charset val="186"/>
          </rPr>
          <t>Clarity/Communication</t>
        </r>
      </text>
    </comment>
    <comment ref="O47" authorId="0" shapeId="0" xr:uid="{581B7FC4-1386-49A9-9CA2-499C60341650}">
      <text>
        <r>
          <rPr>
            <b/>
            <sz val="9"/>
            <color indexed="81"/>
            <rFont val="Tahoma"/>
            <family val="2"/>
            <charset val="186"/>
          </rPr>
          <t>Clarity/Communication</t>
        </r>
      </text>
    </comment>
    <comment ref="Z47" authorId="0" shapeId="0" xr:uid="{EA5F6D31-7A1F-433D-A8B5-BF54F7919ACC}">
      <text>
        <r>
          <rPr>
            <b/>
            <sz val="9"/>
            <color indexed="81"/>
            <rFont val="Tahoma"/>
            <family val="2"/>
            <charset val="186"/>
          </rPr>
          <t>Clarity/Communication</t>
        </r>
      </text>
    </comment>
    <comment ref="AK47" authorId="0" shapeId="0" xr:uid="{D91EC664-8994-4BE9-86B3-2F9B656BBA1A}">
      <text>
        <r>
          <rPr>
            <b/>
            <sz val="9"/>
            <color indexed="81"/>
            <rFont val="Tahoma"/>
            <family val="2"/>
            <charset val="186"/>
          </rPr>
          <t>Clarity/Communication</t>
        </r>
      </text>
    </comment>
    <comment ref="AV47" authorId="0" shapeId="0" xr:uid="{884E0B5D-9284-4228-9136-00E3D1E2F4F9}">
      <text>
        <r>
          <rPr>
            <b/>
            <sz val="9"/>
            <color indexed="81"/>
            <rFont val="Tahoma"/>
            <family val="2"/>
            <charset val="186"/>
          </rPr>
          <t>Clarity/Communication</t>
        </r>
      </text>
    </comment>
    <comment ref="BG47" authorId="0" shapeId="0" xr:uid="{F3B1A839-E925-4D89-8298-35EA7AD4BA08}">
      <text>
        <r>
          <rPr>
            <b/>
            <sz val="9"/>
            <color indexed="81"/>
            <rFont val="Tahoma"/>
            <family val="2"/>
            <charset val="186"/>
          </rPr>
          <t>Clarity/Communication</t>
        </r>
      </text>
    </comment>
    <comment ref="BR47" authorId="0" shapeId="0" xr:uid="{C5EF6661-E87C-426E-899F-2A63D837C648}">
      <text>
        <r>
          <rPr>
            <b/>
            <sz val="9"/>
            <color indexed="81"/>
            <rFont val="Tahoma"/>
            <family val="2"/>
            <charset val="186"/>
          </rPr>
          <t>Clarity/Communication</t>
        </r>
      </text>
    </comment>
    <comment ref="C48" authorId="0" shapeId="0" xr:uid="{D9F516BC-65B3-470E-83F7-C1F8C6CCAB3C}">
      <text>
        <r>
          <rPr>
            <b/>
            <sz val="9"/>
            <color indexed="81"/>
            <rFont val="Tahoma"/>
            <family val="2"/>
            <charset val="186"/>
          </rPr>
          <t>Purpose</t>
        </r>
      </text>
    </comment>
    <comment ref="O48" authorId="0" shapeId="0" xr:uid="{1AF958DF-6753-4881-AC71-B53C1DAF57DF}">
      <text>
        <r>
          <rPr>
            <b/>
            <sz val="9"/>
            <color indexed="81"/>
            <rFont val="Tahoma"/>
            <family val="2"/>
            <charset val="186"/>
          </rPr>
          <t>Purpose</t>
        </r>
      </text>
    </comment>
    <comment ref="Z48" authorId="0" shapeId="0" xr:uid="{4D4A46D0-B49F-4B84-AF5F-B72636CA5DC7}">
      <text>
        <r>
          <rPr>
            <b/>
            <sz val="9"/>
            <color indexed="81"/>
            <rFont val="Tahoma"/>
            <family val="2"/>
            <charset val="186"/>
          </rPr>
          <t>Purpose</t>
        </r>
      </text>
    </comment>
    <comment ref="AK48" authorId="0" shapeId="0" xr:uid="{72D304CB-A1B4-4968-B36C-7F0515A02B04}">
      <text>
        <r>
          <rPr>
            <b/>
            <sz val="9"/>
            <color indexed="81"/>
            <rFont val="Tahoma"/>
            <family val="2"/>
            <charset val="186"/>
          </rPr>
          <t>Purpose</t>
        </r>
      </text>
    </comment>
    <comment ref="AV48" authorId="0" shapeId="0" xr:uid="{2CC66464-349B-407C-999E-C351E1E7F96A}">
      <text>
        <r>
          <rPr>
            <b/>
            <sz val="9"/>
            <color indexed="81"/>
            <rFont val="Tahoma"/>
            <family val="2"/>
            <charset val="186"/>
          </rPr>
          <t>Purpose</t>
        </r>
      </text>
    </comment>
    <comment ref="BG48" authorId="0" shapeId="0" xr:uid="{A1F2266E-0054-44C1-B357-B54CED4B2C8A}">
      <text>
        <r>
          <rPr>
            <b/>
            <sz val="9"/>
            <color indexed="81"/>
            <rFont val="Tahoma"/>
            <family val="2"/>
            <charset val="186"/>
          </rPr>
          <t>Purpose</t>
        </r>
      </text>
    </comment>
    <comment ref="BR48" authorId="0" shapeId="0" xr:uid="{C08D80A4-1CED-4EA1-8B2A-D71FAB860191}">
      <text>
        <r>
          <rPr>
            <b/>
            <sz val="9"/>
            <color indexed="81"/>
            <rFont val="Tahoma"/>
            <family val="2"/>
            <charset val="186"/>
          </rPr>
          <t>Purpose</t>
        </r>
      </text>
    </comment>
    <comment ref="C49" authorId="0" shapeId="0" xr:uid="{195AD04B-6D21-47FF-882D-06BE12EE6365}">
      <text>
        <r>
          <rPr>
            <b/>
            <sz val="9"/>
            <color indexed="81"/>
            <rFont val="Tahoma"/>
            <family val="2"/>
            <charset val="186"/>
          </rPr>
          <t>Stability</t>
        </r>
      </text>
    </comment>
    <comment ref="O49" authorId="0" shapeId="0" xr:uid="{CC2271DE-24F4-4C21-93FC-051DE047FF81}">
      <text>
        <r>
          <rPr>
            <b/>
            <sz val="9"/>
            <color indexed="81"/>
            <rFont val="Tahoma"/>
            <family val="2"/>
            <charset val="186"/>
          </rPr>
          <t>Stability</t>
        </r>
      </text>
    </comment>
    <comment ref="Z49" authorId="0" shapeId="0" xr:uid="{59CC47D3-B7E4-4FC5-A504-FF50DA96407E}">
      <text>
        <r>
          <rPr>
            <b/>
            <sz val="9"/>
            <color indexed="81"/>
            <rFont val="Tahoma"/>
            <family val="2"/>
            <charset val="186"/>
          </rPr>
          <t>Stability</t>
        </r>
      </text>
    </comment>
    <comment ref="AK49" authorId="0" shapeId="0" xr:uid="{3D60E6C9-6C8C-4FC7-9D3D-D8DC1CAE1401}">
      <text>
        <r>
          <rPr>
            <b/>
            <sz val="9"/>
            <color indexed="81"/>
            <rFont val="Tahoma"/>
            <family val="2"/>
            <charset val="186"/>
          </rPr>
          <t>Stability</t>
        </r>
      </text>
    </comment>
    <comment ref="AV49" authorId="0" shapeId="0" xr:uid="{C77E4A6A-F93D-44E1-8C2C-0404076D2342}">
      <text>
        <r>
          <rPr>
            <b/>
            <sz val="9"/>
            <color indexed="81"/>
            <rFont val="Tahoma"/>
            <family val="2"/>
            <charset val="186"/>
          </rPr>
          <t>Stability</t>
        </r>
      </text>
    </comment>
    <comment ref="BG49" authorId="0" shapeId="0" xr:uid="{E1740FD9-7804-419D-AE61-76BA26ABF934}">
      <text>
        <r>
          <rPr>
            <b/>
            <sz val="9"/>
            <color indexed="81"/>
            <rFont val="Tahoma"/>
            <family val="2"/>
            <charset val="186"/>
          </rPr>
          <t>Stability</t>
        </r>
      </text>
    </comment>
    <comment ref="BR49" authorId="0" shapeId="0" xr:uid="{AFB24B85-F6F0-4F00-96D3-9E83A6C05C67}">
      <text>
        <r>
          <rPr>
            <b/>
            <sz val="9"/>
            <color indexed="81"/>
            <rFont val="Tahoma"/>
            <family val="2"/>
            <charset val="186"/>
          </rPr>
          <t>Stability</t>
        </r>
      </text>
    </comment>
    <comment ref="C50" authorId="0" shapeId="0" xr:uid="{CF8514A9-FD58-4680-A375-D7BF2CD3187C}">
      <text>
        <r>
          <rPr>
            <b/>
            <sz val="9"/>
            <color indexed="81"/>
            <rFont val="Tahoma"/>
            <family val="2"/>
            <charset val="186"/>
          </rPr>
          <t>Flow</t>
        </r>
      </text>
    </comment>
    <comment ref="O50" authorId="0" shapeId="0" xr:uid="{404A4AB0-C4EC-4DF4-96B0-9BC2BA6AD007}">
      <text>
        <r>
          <rPr>
            <b/>
            <sz val="9"/>
            <color indexed="81"/>
            <rFont val="Tahoma"/>
            <family val="2"/>
            <charset val="186"/>
          </rPr>
          <t>Flow</t>
        </r>
      </text>
    </comment>
    <comment ref="Z50" authorId="0" shapeId="0" xr:uid="{DD553550-AFFA-4006-B6F0-ADB8AB80FEA2}">
      <text>
        <r>
          <rPr>
            <b/>
            <sz val="9"/>
            <color indexed="81"/>
            <rFont val="Tahoma"/>
            <family val="2"/>
            <charset val="186"/>
          </rPr>
          <t>Flow</t>
        </r>
      </text>
    </comment>
    <comment ref="AK50" authorId="0" shapeId="0" xr:uid="{4C38F782-1687-48C1-8EDE-7507AE5110D7}">
      <text>
        <r>
          <rPr>
            <b/>
            <sz val="9"/>
            <color indexed="81"/>
            <rFont val="Tahoma"/>
            <family val="2"/>
            <charset val="186"/>
          </rPr>
          <t>Flow</t>
        </r>
      </text>
    </comment>
    <comment ref="AV50" authorId="0" shapeId="0" xr:uid="{EDC1C1A4-7373-4BB2-A663-CED95E367D0C}">
      <text>
        <r>
          <rPr>
            <b/>
            <sz val="9"/>
            <color indexed="81"/>
            <rFont val="Tahoma"/>
            <family val="2"/>
            <charset val="186"/>
          </rPr>
          <t>Flow</t>
        </r>
      </text>
    </comment>
    <comment ref="BG50" authorId="0" shapeId="0" xr:uid="{69AA8E05-DF19-4B56-A300-FF849C2445E8}">
      <text>
        <r>
          <rPr>
            <b/>
            <sz val="9"/>
            <color indexed="81"/>
            <rFont val="Tahoma"/>
            <family val="2"/>
            <charset val="186"/>
          </rPr>
          <t>Flow</t>
        </r>
      </text>
    </comment>
    <comment ref="BR50" authorId="0" shapeId="0" xr:uid="{8F0FF98C-8965-47A2-AFDA-9C61C72B04AE}">
      <text>
        <r>
          <rPr>
            <b/>
            <sz val="9"/>
            <color indexed="81"/>
            <rFont val="Tahoma"/>
            <family val="2"/>
            <charset val="186"/>
          </rPr>
          <t>Flow</t>
        </r>
      </text>
    </comment>
    <comment ref="C51" authorId="0" shapeId="0" xr:uid="{BD77FDB4-6FC7-44ED-902A-9806EE64F231}">
      <text>
        <r>
          <rPr>
            <b/>
            <sz val="9"/>
            <color indexed="81"/>
            <rFont val="Tahoma"/>
            <family val="2"/>
            <charset val="186"/>
          </rPr>
          <t>Action/Transformation</t>
        </r>
      </text>
    </comment>
    <comment ref="O51" authorId="0" shapeId="0" xr:uid="{D6584429-BA6E-43FF-8E79-317AC8B76263}">
      <text>
        <r>
          <rPr>
            <b/>
            <sz val="9"/>
            <color indexed="81"/>
            <rFont val="Tahoma"/>
            <family val="2"/>
            <charset val="186"/>
          </rPr>
          <t>Action/Transformation</t>
        </r>
      </text>
    </comment>
    <comment ref="Z51" authorId="0" shapeId="0" xr:uid="{24D5CF5D-4059-42A7-A3F9-ACD4EBD7CBF7}">
      <text>
        <r>
          <rPr>
            <b/>
            <sz val="9"/>
            <color indexed="81"/>
            <rFont val="Tahoma"/>
            <family val="2"/>
            <charset val="186"/>
          </rPr>
          <t>Action/Transformation</t>
        </r>
      </text>
    </comment>
    <comment ref="AK51" authorId="0" shapeId="0" xr:uid="{1D369EBC-63E2-4166-B192-338235767A13}">
      <text>
        <r>
          <rPr>
            <b/>
            <sz val="9"/>
            <color indexed="81"/>
            <rFont val="Tahoma"/>
            <family val="2"/>
            <charset val="186"/>
          </rPr>
          <t>Action/Transformation</t>
        </r>
      </text>
    </comment>
    <comment ref="AV51" authorId="0" shapeId="0" xr:uid="{0EA4016B-F0B8-4EFE-ADC5-3361A71364C7}">
      <text>
        <r>
          <rPr>
            <b/>
            <sz val="9"/>
            <color indexed="81"/>
            <rFont val="Tahoma"/>
            <family val="2"/>
            <charset val="186"/>
          </rPr>
          <t>Action/Transformation</t>
        </r>
      </text>
    </comment>
    <comment ref="BG51" authorId="0" shapeId="0" xr:uid="{FD9BF5C0-49C7-41E7-8DAA-F5E76E7EDA21}">
      <text>
        <r>
          <rPr>
            <b/>
            <sz val="9"/>
            <color indexed="81"/>
            <rFont val="Tahoma"/>
            <family val="2"/>
            <charset val="186"/>
          </rPr>
          <t>Action/Transformation</t>
        </r>
      </text>
    </comment>
    <comment ref="BR51" authorId="0" shapeId="0" xr:uid="{A933133F-9E9A-482D-8CF3-6A23275EB0A7}">
      <text>
        <r>
          <rPr>
            <b/>
            <sz val="9"/>
            <color indexed="81"/>
            <rFont val="Tahoma"/>
            <family val="2"/>
            <charset val="186"/>
          </rPr>
          <t>Action/Transformation</t>
        </r>
      </text>
    </comment>
    <comment ref="C52" authorId="0" shapeId="0" xr:uid="{5C47AFDD-23B3-41AD-A8AA-E1738B999E93}">
      <text>
        <r>
          <rPr>
            <b/>
            <sz val="9"/>
            <color indexed="81"/>
            <rFont val="Tahoma"/>
            <family val="2"/>
            <charset val="186"/>
          </rPr>
          <t>Clarity/Communication</t>
        </r>
      </text>
    </comment>
    <comment ref="O52" authorId="0" shapeId="0" xr:uid="{AF84AA2D-3F4F-4319-A77B-1690EFE990B8}">
      <text>
        <r>
          <rPr>
            <b/>
            <sz val="9"/>
            <color indexed="81"/>
            <rFont val="Tahoma"/>
            <family val="2"/>
            <charset val="186"/>
          </rPr>
          <t>Clarity/Communication</t>
        </r>
      </text>
    </comment>
    <comment ref="Z52" authorId="0" shapeId="0" xr:uid="{30009D3A-9F20-4DD4-ABE4-DCC9004BEA9E}">
      <text>
        <r>
          <rPr>
            <b/>
            <sz val="9"/>
            <color indexed="81"/>
            <rFont val="Tahoma"/>
            <family val="2"/>
            <charset val="186"/>
          </rPr>
          <t>Clarity/Communication</t>
        </r>
      </text>
    </comment>
    <comment ref="AK52" authorId="0" shapeId="0" xr:uid="{DC906C1D-C891-4CD5-B4F0-1D4C6EF5541B}">
      <text>
        <r>
          <rPr>
            <b/>
            <sz val="9"/>
            <color indexed="81"/>
            <rFont val="Tahoma"/>
            <family val="2"/>
            <charset val="186"/>
          </rPr>
          <t>Clarity/Communication</t>
        </r>
      </text>
    </comment>
    <comment ref="AV52" authorId="0" shapeId="0" xr:uid="{02886A30-2F30-4B15-B185-0CF4C55E8F98}">
      <text>
        <r>
          <rPr>
            <b/>
            <sz val="9"/>
            <color indexed="81"/>
            <rFont val="Tahoma"/>
            <family val="2"/>
            <charset val="186"/>
          </rPr>
          <t>Clarity/Communication</t>
        </r>
      </text>
    </comment>
    <comment ref="BG52" authorId="0" shapeId="0" xr:uid="{06154D52-C195-4DBB-9FD1-A80CEEF63686}">
      <text>
        <r>
          <rPr>
            <b/>
            <sz val="9"/>
            <color indexed="81"/>
            <rFont val="Tahoma"/>
            <family val="2"/>
            <charset val="186"/>
          </rPr>
          <t>Clarity/Communication</t>
        </r>
      </text>
    </comment>
    <comment ref="BR52" authorId="0" shapeId="0" xr:uid="{2A30E769-FDBB-4446-A483-954516CCDCEA}">
      <text>
        <r>
          <rPr>
            <b/>
            <sz val="9"/>
            <color indexed="81"/>
            <rFont val="Tahoma"/>
            <family val="2"/>
            <charset val="186"/>
          </rPr>
          <t>Clarity/Communication</t>
        </r>
      </text>
    </comment>
    <comment ref="C53" authorId="0" shapeId="0" xr:uid="{48758494-45E4-48E4-8154-53356BE831CC}">
      <text>
        <r>
          <rPr>
            <b/>
            <sz val="9"/>
            <color indexed="81"/>
            <rFont val="Tahoma"/>
            <family val="2"/>
            <charset val="186"/>
          </rPr>
          <t>Purpose</t>
        </r>
      </text>
    </comment>
    <comment ref="O53" authorId="0" shapeId="0" xr:uid="{E58C8E84-9DFE-4597-99B7-96E0461F1D7D}">
      <text>
        <r>
          <rPr>
            <b/>
            <sz val="9"/>
            <color indexed="81"/>
            <rFont val="Tahoma"/>
            <family val="2"/>
            <charset val="186"/>
          </rPr>
          <t>Purpose</t>
        </r>
      </text>
    </comment>
    <comment ref="Z53" authorId="0" shapeId="0" xr:uid="{C594C06E-12C6-401C-A025-0FC7F7FC9CB0}">
      <text>
        <r>
          <rPr>
            <b/>
            <sz val="9"/>
            <color indexed="81"/>
            <rFont val="Tahoma"/>
            <family val="2"/>
            <charset val="186"/>
          </rPr>
          <t>Purpose</t>
        </r>
      </text>
    </comment>
    <comment ref="AK53" authorId="0" shapeId="0" xr:uid="{6F9FBAE8-0579-4968-87ED-BF105CF8A269}">
      <text>
        <r>
          <rPr>
            <b/>
            <sz val="9"/>
            <color indexed="81"/>
            <rFont val="Tahoma"/>
            <family val="2"/>
            <charset val="186"/>
          </rPr>
          <t>Purpose</t>
        </r>
      </text>
    </comment>
    <comment ref="AV53" authorId="0" shapeId="0" xr:uid="{8A8697D0-940D-47EB-9400-F57837A69489}">
      <text>
        <r>
          <rPr>
            <b/>
            <sz val="9"/>
            <color indexed="81"/>
            <rFont val="Tahoma"/>
            <family val="2"/>
            <charset val="186"/>
          </rPr>
          <t>Purpose</t>
        </r>
      </text>
    </comment>
    <comment ref="BG53" authorId="0" shapeId="0" xr:uid="{B2FEEC2C-29E1-46F4-8936-2F97539187A4}">
      <text>
        <r>
          <rPr>
            <b/>
            <sz val="9"/>
            <color indexed="81"/>
            <rFont val="Tahoma"/>
            <family val="2"/>
            <charset val="186"/>
          </rPr>
          <t>Purpose</t>
        </r>
      </text>
    </comment>
    <comment ref="BR53" authorId="0" shapeId="0" xr:uid="{746004CD-AD0F-4BB2-81FA-B38298FD06D6}">
      <text>
        <r>
          <rPr>
            <b/>
            <sz val="9"/>
            <color indexed="81"/>
            <rFont val="Tahoma"/>
            <family val="2"/>
            <charset val="186"/>
          </rPr>
          <t>Purpose</t>
        </r>
      </text>
    </comment>
    <comment ref="C54" authorId="0" shapeId="0" xr:uid="{9576C761-B656-4278-896C-A27BBD89629B}">
      <text>
        <r>
          <rPr>
            <b/>
            <sz val="9"/>
            <color indexed="81"/>
            <rFont val="Tahoma"/>
            <family val="2"/>
            <charset val="186"/>
          </rPr>
          <t>Stability</t>
        </r>
      </text>
    </comment>
    <comment ref="O54" authorId="0" shapeId="0" xr:uid="{39754E79-4D83-4C76-B5BF-020B3146C5A4}">
      <text>
        <r>
          <rPr>
            <b/>
            <sz val="9"/>
            <color indexed="81"/>
            <rFont val="Tahoma"/>
            <family val="2"/>
            <charset val="186"/>
          </rPr>
          <t>Stability</t>
        </r>
      </text>
    </comment>
    <comment ref="Z54" authorId="0" shapeId="0" xr:uid="{0E0C32F3-D237-40C8-9BE0-F496086EE04F}">
      <text>
        <r>
          <rPr>
            <b/>
            <sz val="9"/>
            <color indexed="81"/>
            <rFont val="Tahoma"/>
            <family val="2"/>
            <charset val="186"/>
          </rPr>
          <t>Stability</t>
        </r>
      </text>
    </comment>
    <comment ref="AK54" authorId="0" shapeId="0" xr:uid="{6BFA1250-8BBF-4867-9CE1-AEFFAE1D5386}">
      <text>
        <r>
          <rPr>
            <b/>
            <sz val="9"/>
            <color indexed="81"/>
            <rFont val="Tahoma"/>
            <family val="2"/>
            <charset val="186"/>
          </rPr>
          <t>Stability</t>
        </r>
      </text>
    </comment>
    <comment ref="AV54" authorId="0" shapeId="0" xr:uid="{87716C2A-61FE-436B-AEC1-69C1F58CBDB4}">
      <text>
        <r>
          <rPr>
            <b/>
            <sz val="9"/>
            <color indexed="81"/>
            <rFont val="Tahoma"/>
            <family val="2"/>
            <charset val="186"/>
          </rPr>
          <t>Stability</t>
        </r>
      </text>
    </comment>
    <comment ref="BG54" authorId="0" shapeId="0" xr:uid="{847D09A7-B794-41DB-AE39-71CD838E5AE9}">
      <text>
        <r>
          <rPr>
            <b/>
            <sz val="9"/>
            <color indexed="81"/>
            <rFont val="Tahoma"/>
            <family val="2"/>
            <charset val="186"/>
          </rPr>
          <t>Stability</t>
        </r>
      </text>
    </comment>
    <comment ref="BR54" authorId="0" shapeId="0" xr:uid="{04ACF878-A3CA-4856-A33B-C6E1B1755502}">
      <text>
        <r>
          <rPr>
            <b/>
            <sz val="9"/>
            <color indexed="81"/>
            <rFont val="Tahoma"/>
            <family val="2"/>
            <charset val="186"/>
          </rPr>
          <t>Stability</t>
        </r>
      </text>
    </comment>
    <comment ref="C55" authorId="0" shapeId="0" xr:uid="{59661EDA-009D-4C9F-957A-046E1A68FA51}">
      <text>
        <r>
          <rPr>
            <b/>
            <sz val="9"/>
            <color indexed="81"/>
            <rFont val="Tahoma"/>
            <family val="2"/>
            <charset val="186"/>
          </rPr>
          <t>Flow</t>
        </r>
      </text>
    </comment>
    <comment ref="O55" authorId="0" shapeId="0" xr:uid="{18039740-624D-4B91-AAC7-B52B59016A40}">
      <text>
        <r>
          <rPr>
            <b/>
            <sz val="9"/>
            <color indexed="81"/>
            <rFont val="Tahoma"/>
            <family val="2"/>
            <charset val="186"/>
          </rPr>
          <t>Flow</t>
        </r>
      </text>
    </comment>
    <comment ref="Z55" authorId="0" shapeId="0" xr:uid="{39DE5D19-1B1D-47D4-A5F4-A5CE8BB0766D}">
      <text>
        <r>
          <rPr>
            <b/>
            <sz val="9"/>
            <color indexed="81"/>
            <rFont val="Tahoma"/>
            <family val="2"/>
            <charset val="186"/>
          </rPr>
          <t>Flow</t>
        </r>
      </text>
    </comment>
    <comment ref="AK55" authorId="0" shapeId="0" xr:uid="{89DD9DDB-9F34-4818-A557-1185F1BFD0CE}">
      <text>
        <r>
          <rPr>
            <b/>
            <sz val="9"/>
            <color indexed="81"/>
            <rFont val="Tahoma"/>
            <family val="2"/>
            <charset val="186"/>
          </rPr>
          <t>Flow</t>
        </r>
      </text>
    </comment>
    <comment ref="AV55" authorId="0" shapeId="0" xr:uid="{98D91706-BAF3-4C33-9B95-09F2A168F462}">
      <text>
        <r>
          <rPr>
            <b/>
            <sz val="9"/>
            <color indexed="81"/>
            <rFont val="Tahoma"/>
            <family val="2"/>
            <charset val="186"/>
          </rPr>
          <t>Flow</t>
        </r>
      </text>
    </comment>
    <comment ref="BG55" authorId="0" shapeId="0" xr:uid="{6A6DBCDD-3873-489C-8F0B-1B49E5874029}">
      <text>
        <r>
          <rPr>
            <b/>
            <sz val="9"/>
            <color indexed="81"/>
            <rFont val="Tahoma"/>
            <family val="2"/>
            <charset val="186"/>
          </rPr>
          <t>Flow</t>
        </r>
      </text>
    </comment>
    <comment ref="BR55" authorId="0" shapeId="0" xr:uid="{205477A8-27AD-4282-817E-77A12C716C55}">
      <text>
        <r>
          <rPr>
            <b/>
            <sz val="9"/>
            <color indexed="81"/>
            <rFont val="Tahoma"/>
            <family val="2"/>
            <charset val="186"/>
          </rPr>
          <t>Flow</t>
        </r>
      </text>
    </comment>
    <comment ref="C56" authorId="0" shapeId="0" xr:uid="{91D56C3A-D6AA-41FE-AB8F-E8BA618E4211}">
      <text>
        <r>
          <rPr>
            <b/>
            <sz val="9"/>
            <color indexed="81"/>
            <rFont val="Tahoma"/>
            <family val="2"/>
            <charset val="186"/>
          </rPr>
          <t>Action/Transformation</t>
        </r>
      </text>
    </comment>
    <comment ref="O56" authorId="0" shapeId="0" xr:uid="{3F3F1B4D-1C8C-4246-9C44-BD793451014E}">
      <text>
        <r>
          <rPr>
            <b/>
            <sz val="9"/>
            <color indexed="81"/>
            <rFont val="Tahoma"/>
            <family val="2"/>
            <charset val="186"/>
          </rPr>
          <t>Action/Transformation</t>
        </r>
      </text>
    </comment>
    <comment ref="Z56" authorId="0" shapeId="0" xr:uid="{5FAF43A1-0AAB-4ACC-8C2E-E7071422B440}">
      <text>
        <r>
          <rPr>
            <b/>
            <sz val="9"/>
            <color indexed="81"/>
            <rFont val="Tahoma"/>
            <family val="2"/>
            <charset val="186"/>
          </rPr>
          <t>Action/Transformation</t>
        </r>
      </text>
    </comment>
    <comment ref="AK56" authorId="0" shapeId="0" xr:uid="{7C1E7A70-415F-4C30-916B-B84B919AD458}">
      <text>
        <r>
          <rPr>
            <b/>
            <sz val="9"/>
            <color indexed="81"/>
            <rFont val="Tahoma"/>
            <family val="2"/>
            <charset val="186"/>
          </rPr>
          <t>Action/Transformation</t>
        </r>
      </text>
    </comment>
    <comment ref="AV56" authorId="0" shapeId="0" xr:uid="{CE0B5C11-39BE-4771-AE17-CC3109E9A4A0}">
      <text>
        <r>
          <rPr>
            <b/>
            <sz val="9"/>
            <color indexed="81"/>
            <rFont val="Tahoma"/>
            <family val="2"/>
            <charset val="186"/>
          </rPr>
          <t>Action/Transformation</t>
        </r>
      </text>
    </comment>
    <comment ref="BG56" authorId="0" shapeId="0" xr:uid="{F2C74E26-985A-4EAB-9605-70DBE2EE8D0F}">
      <text>
        <r>
          <rPr>
            <b/>
            <sz val="9"/>
            <color indexed="81"/>
            <rFont val="Tahoma"/>
            <family val="2"/>
            <charset val="186"/>
          </rPr>
          <t>Action/Transformation</t>
        </r>
      </text>
    </comment>
    <comment ref="BR56" authorId="0" shapeId="0" xr:uid="{EC92FBF5-A3D9-451A-BC8C-810F3019EF08}">
      <text>
        <r>
          <rPr>
            <b/>
            <sz val="9"/>
            <color indexed="81"/>
            <rFont val="Tahoma"/>
            <family val="2"/>
            <charset val="186"/>
          </rPr>
          <t>Action/Transformation</t>
        </r>
      </text>
    </comment>
    <comment ref="C57" authorId="0" shapeId="0" xr:uid="{0E696EC3-A2E4-461C-8226-249B7C19CB4A}">
      <text>
        <r>
          <rPr>
            <b/>
            <sz val="9"/>
            <color indexed="81"/>
            <rFont val="Tahoma"/>
            <family val="2"/>
            <charset val="186"/>
          </rPr>
          <t>Clarity/Communication</t>
        </r>
      </text>
    </comment>
    <comment ref="O57" authorId="0" shapeId="0" xr:uid="{6A935454-35B6-4CF9-95BD-3D0EC72AB8DC}">
      <text>
        <r>
          <rPr>
            <b/>
            <sz val="9"/>
            <color indexed="81"/>
            <rFont val="Tahoma"/>
            <family val="2"/>
            <charset val="186"/>
          </rPr>
          <t>Clarity/Communication</t>
        </r>
      </text>
    </comment>
    <comment ref="Z57" authorId="0" shapeId="0" xr:uid="{DB421DB1-56E5-4FBE-8647-802064C1946B}">
      <text>
        <r>
          <rPr>
            <b/>
            <sz val="9"/>
            <color indexed="81"/>
            <rFont val="Tahoma"/>
            <family val="2"/>
            <charset val="186"/>
          </rPr>
          <t>Clarity/Communication</t>
        </r>
      </text>
    </comment>
    <comment ref="AK57" authorId="0" shapeId="0" xr:uid="{CFA0042C-54E7-4677-8A9D-2DE3D2A66F90}">
      <text>
        <r>
          <rPr>
            <b/>
            <sz val="9"/>
            <color indexed="81"/>
            <rFont val="Tahoma"/>
            <family val="2"/>
            <charset val="186"/>
          </rPr>
          <t>Clarity/Communication</t>
        </r>
      </text>
    </comment>
    <comment ref="AV57" authorId="0" shapeId="0" xr:uid="{240C7C59-EE28-4230-8362-9533BB12EDA5}">
      <text>
        <r>
          <rPr>
            <b/>
            <sz val="9"/>
            <color indexed="81"/>
            <rFont val="Tahoma"/>
            <family val="2"/>
            <charset val="186"/>
          </rPr>
          <t>Clarity/Communication</t>
        </r>
      </text>
    </comment>
    <comment ref="BG57" authorId="0" shapeId="0" xr:uid="{3C5438FB-848B-4F38-B96D-BD65726E54FB}">
      <text>
        <r>
          <rPr>
            <b/>
            <sz val="9"/>
            <color indexed="81"/>
            <rFont val="Tahoma"/>
            <family val="2"/>
            <charset val="186"/>
          </rPr>
          <t>Clarity/Communication</t>
        </r>
      </text>
    </comment>
    <comment ref="BR57" authorId="0" shapeId="0" xr:uid="{C573DB6F-B1AB-47DF-9EAC-478C68CA4FFE}">
      <text>
        <r>
          <rPr>
            <b/>
            <sz val="9"/>
            <color indexed="81"/>
            <rFont val="Tahoma"/>
            <family val="2"/>
            <charset val="186"/>
          </rPr>
          <t>Clarity/Communication</t>
        </r>
      </text>
    </comment>
    <comment ref="C58" authorId="0" shapeId="0" xr:uid="{573B280E-A6AB-40EF-B5C6-7506C04127A7}">
      <text>
        <r>
          <rPr>
            <b/>
            <sz val="9"/>
            <color indexed="81"/>
            <rFont val="Tahoma"/>
            <family val="2"/>
            <charset val="186"/>
          </rPr>
          <t>Purpose</t>
        </r>
      </text>
    </comment>
    <comment ref="O58" authorId="0" shapeId="0" xr:uid="{F7D2EF4B-C82A-43EA-B682-278011A20DD2}">
      <text>
        <r>
          <rPr>
            <b/>
            <sz val="9"/>
            <color indexed="81"/>
            <rFont val="Tahoma"/>
            <family val="2"/>
            <charset val="186"/>
          </rPr>
          <t>Purpose</t>
        </r>
      </text>
    </comment>
    <comment ref="Z58" authorId="0" shapeId="0" xr:uid="{2E9335CE-B874-46E7-9B84-0239A944889D}">
      <text>
        <r>
          <rPr>
            <b/>
            <sz val="9"/>
            <color indexed="81"/>
            <rFont val="Tahoma"/>
            <family val="2"/>
            <charset val="186"/>
          </rPr>
          <t>Purpose</t>
        </r>
      </text>
    </comment>
    <comment ref="AK58" authorId="0" shapeId="0" xr:uid="{23B35FCF-8D40-4210-929F-DBFC1D7C925A}">
      <text>
        <r>
          <rPr>
            <b/>
            <sz val="9"/>
            <color indexed="81"/>
            <rFont val="Tahoma"/>
            <family val="2"/>
            <charset val="186"/>
          </rPr>
          <t>Purpose</t>
        </r>
      </text>
    </comment>
    <comment ref="AV58" authorId="0" shapeId="0" xr:uid="{DCC0B043-A6E9-42F5-8686-FFE065756BF9}">
      <text>
        <r>
          <rPr>
            <b/>
            <sz val="9"/>
            <color indexed="81"/>
            <rFont val="Tahoma"/>
            <family val="2"/>
            <charset val="186"/>
          </rPr>
          <t>Purpose</t>
        </r>
      </text>
    </comment>
    <comment ref="BG58" authorId="0" shapeId="0" xr:uid="{D2414399-B6F1-4386-A819-08EC6343B215}">
      <text>
        <r>
          <rPr>
            <b/>
            <sz val="9"/>
            <color indexed="81"/>
            <rFont val="Tahoma"/>
            <family val="2"/>
            <charset val="186"/>
          </rPr>
          <t>Purpose</t>
        </r>
      </text>
    </comment>
    <comment ref="BR58" authorId="0" shapeId="0" xr:uid="{ABA2B9E7-16E8-4D33-9ECB-18B597C43132}">
      <text>
        <r>
          <rPr>
            <b/>
            <sz val="9"/>
            <color indexed="81"/>
            <rFont val="Tahoma"/>
            <family val="2"/>
            <charset val="186"/>
          </rPr>
          <t>Purpose</t>
        </r>
      </text>
    </comment>
    <comment ref="C59" authorId="0" shapeId="0" xr:uid="{84612ABE-8368-4D24-8AA3-A6B1A8D5767A}">
      <text>
        <r>
          <rPr>
            <b/>
            <sz val="9"/>
            <color indexed="81"/>
            <rFont val="Tahoma"/>
            <family val="2"/>
            <charset val="186"/>
          </rPr>
          <t>Stability</t>
        </r>
      </text>
    </comment>
    <comment ref="O59" authorId="0" shapeId="0" xr:uid="{19DCA92C-73A9-4F12-A0E7-45FF04FF0EDB}">
      <text>
        <r>
          <rPr>
            <b/>
            <sz val="9"/>
            <color indexed="81"/>
            <rFont val="Tahoma"/>
            <family val="2"/>
            <charset val="186"/>
          </rPr>
          <t>Stability</t>
        </r>
      </text>
    </comment>
    <comment ref="Z59" authorId="0" shapeId="0" xr:uid="{E76E8D91-FC98-41D1-AC30-E58F49205604}">
      <text>
        <r>
          <rPr>
            <b/>
            <sz val="9"/>
            <color indexed="81"/>
            <rFont val="Tahoma"/>
            <family val="2"/>
            <charset val="186"/>
          </rPr>
          <t>Stability</t>
        </r>
      </text>
    </comment>
    <comment ref="AK59" authorId="0" shapeId="0" xr:uid="{99A0B842-B9BB-433E-AE1C-71F199C5AC43}">
      <text>
        <r>
          <rPr>
            <b/>
            <sz val="9"/>
            <color indexed="81"/>
            <rFont val="Tahoma"/>
            <family val="2"/>
            <charset val="186"/>
          </rPr>
          <t>Stability</t>
        </r>
      </text>
    </comment>
    <comment ref="AV59" authorId="0" shapeId="0" xr:uid="{DDFBF3B8-378F-4495-A7DC-992431872B4D}">
      <text>
        <r>
          <rPr>
            <b/>
            <sz val="9"/>
            <color indexed="81"/>
            <rFont val="Tahoma"/>
            <family val="2"/>
            <charset val="186"/>
          </rPr>
          <t>Stability</t>
        </r>
      </text>
    </comment>
    <comment ref="BG59" authorId="0" shapeId="0" xr:uid="{72D08A42-E343-40EB-865C-FB68E9D4475A}">
      <text>
        <r>
          <rPr>
            <b/>
            <sz val="9"/>
            <color indexed="81"/>
            <rFont val="Tahoma"/>
            <family val="2"/>
            <charset val="186"/>
          </rPr>
          <t>Stability</t>
        </r>
      </text>
    </comment>
    <comment ref="BR59" authorId="0" shapeId="0" xr:uid="{1F958A29-77D6-439C-972C-ECE6E64DBAD8}">
      <text>
        <r>
          <rPr>
            <b/>
            <sz val="9"/>
            <color indexed="81"/>
            <rFont val="Tahoma"/>
            <family val="2"/>
            <charset val="186"/>
          </rPr>
          <t>Stability</t>
        </r>
      </text>
    </comment>
    <comment ref="C60" authorId="0" shapeId="0" xr:uid="{DCA31349-DA06-4ED7-A533-B72B83092E41}">
      <text>
        <r>
          <rPr>
            <b/>
            <sz val="9"/>
            <color indexed="81"/>
            <rFont val="Tahoma"/>
            <family val="2"/>
            <charset val="186"/>
          </rPr>
          <t>Flow</t>
        </r>
      </text>
    </comment>
    <comment ref="O60" authorId="0" shapeId="0" xr:uid="{1FDFE107-FE15-4ADA-9FC7-D6B97F6A9151}">
      <text>
        <r>
          <rPr>
            <b/>
            <sz val="9"/>
            <color indexed="81"/>
            <rFont val="Tahoma"/>
            <family val="2"/>
            <charset val="186"/>
          </rPr>
          <t>Flow</t>
        </r>
      </text>
    </comment>
    <comment ref="Z60" authorId="0" shapeId="0" xr:uid="{34D06321-23EF-4395-9956-5B64535A7718}">
      <text>
        <r>
          <rPr>
            <b/>
            <sz val="9"/>
            <color indexed="81"/>
            <rFont val="Tahoma"/>
            <family val="2"/>
            <charset val="186"/>
          </rPr>
          <t>Flow</t>
        </r>
      </text>
    </comment>
    <comment ref="AK60" authorId="0" shapeId="0" xr:uid="{5B2499FE-6719-4635-844C-442A97E93D61}">
      <text>
        <r>
          <rPr>
            <b/>
            <sz val="9"/>
            <color indexed="81"/>
            <rFont val="Tahoma"/>
            <family val="2"/>
            <charset val="186"/>
          </rPr>
          <t>Flow</t>
        </r>
      </text>
    </comment>
    <comment ref="AV60" authorId="0" shapeId="0" xr:uid="{602777CE-92F5-49FD-BA87-E4637EC7EEBD}">
      <text>
        <r>
          <rPr>
            <b/>
            <sz val="9"/>
            <color indexed="81"/>
            <rFont val="Tahoma"/>
            <family val="2"/>
            <charset val="186"/>
          </rPr>
          <t>Flow</t>
        </r>
      </text>
    </comment>
    <comment ref="BG60" authorId="0" shapeId="0" xr:uid="{C6F5C6C2-78FE-4D4F-96CF-A75583910AF4}">
      <text>
        <r>
          <rPr>
            <b/>
            <sz val="9"/>
            <color indexed="81"/>
            <rFont val="Tahoma"/>
            <family val="2"/>
            <charset val="186"/>
          </rPr>
          <t>Flow</t>
        </r>
      </text>
    </comment>
    <comment ref="BR60" authorId="0" shapeId="0" xr:uid="{4860CD11-641B-4404-BF92-2FDB5B1A61D5}">
      <text>
        <r>
          <rPr>
            <b/>
            <sz val="9"/>
            <color indexed="81"/>
            <rFont val="Tahoma"/>
            <family val="2"/>
            <charset val="186"/>
          </rPr>
          <t>Flow</t>
        </r>
      </text>
    </comment>
    <comment ref="C61" authorId="0" shapeId="0" xr:uid="{FE8EE450-9725-483A-8303-BAD1C4033A3F}">
      <text>
        <r>
          <rPr>
            <b/>
            <sz val="9"/>
            <color indexed="81"/>
            <rFont val="Tahoma"/>
            <family val="2"/>
            <charset val="186"/>
          </rPr>
          <t>Action/Transformation</t>
        </r>
      </text>
    </comment>
    <comment ref="O61" authorId="0" shapeId="0" xr:uid="{FE2F117F-A61B-4FD9-8A9B-AB592C85C35C}">
      <text>
        <r>
          <rPr>
            <b/>
            <sz val="9"/>
            <color indexed="81"/>
            <rFont val="Tahoma"/>
            <family val="2"/>
            <charset val="186"/>
          </rPr>
          <t>Action/Transformation</t>
        </r>
      </text>
    </comment>
    <comment ref="Z61" authorId="0" shapeId="0" xr:uid="{0985F01C-35A5-47CA-8E79-829006F9ACF1}">
      <text>
        <r>
          <rPr>
            <b/>
            <sz val="9"/>
            <color indexed="81"/>
            <rFont val="Tahoma"/>
            <family val="2"/>
            <charset val="186"/>
          </rPr>
          <t>Action/Transformation</t>
        </r>
      </text>
    </comment>
    <comment ref="AK61" authorId="0" shapeId="0" xr:uid="{A3776646-AF81-4D3F-8F89-A3718ABD029C}">
      <text>
        <r>
          <rPr>
            <b/>
            <sz val="9"/>
            <color indexed="81"/>
            <rFont val="Tahoma"/>
            <family val="2"/>
            <charset val="186"/>
          </rPr>
          <t>Action/Transformation</t>
        </r>
      </text>
    </comment>
    <comment ref="AV61" authorId="0" shapeId="0" xr:uid="{F4743E7F-9E86-4EC9-A01C-D112D31472FE}">
      <text>
        <r>
          <rPr>
            <b/>
            <sz val="9"/>
            <color indexed="81"/>
            <rFont val="Tahoma"/>
            <family val="2"/>
            <charset val="186"/>
          </rPr>
          <t>Action/Transformation</t>
        </r>
      </text>
    </comment>
    <comment ref="BG61" authorId="0" shapeId="0" xr:uid="{DA70800C-A6D6-47CA-BE6E-7BAFFDFAFB7B}">
      <text>
        <r>
          <rPr>
            <b/>
            <sz val="9"/>
            <color indexed="81"/>
            <rFont val="Tahoma"/>
            <family val="2"/>
            <charset val="186"/>
          </rPr>
          <t>Action/Transformation</t>
        </r>
      </text>
    </comment>
    <comment ref="BR61" authorId="0" shapeId="0" xr:uid="{6C3C762D-9517-4C7D-A25D-7BE3AEC10297}">
      <text>
        <r>
          <rPr>
            <b/>
            <sz val="9"/>
            <color indexed="81"/>
            <rFont val="Tahoma"/>
            <family val="2"/>
            <charset val="186"/>
          </rPr>
          <t>Action/Transformation</t>
        </r>
      </text>
    </comment>
    <comment ref="C62" authorId="0" shapeId="0" xr:uid="{DDC4FE6E-C1BD-466F-8EBB-E8EBBE939141}">
      <text>
        <r>
          <rPr>
            <b/>
            <sz val="9"/>
            <color indexed="81"/>
            <rFont val="Tahoma"/>
            <family val="2"/>
            <charset val="186"/>
          </rPr>
          <t>Clarity/Communication</t>
        </r>
      </text>
    </comment>
    <comment ref="O62" authorId="0" shapeId="0" xr:uid="{F9277C3C-95F2-41C5-856E-688877BAE262}">
      <text>
        <r>
          <rPr>
            <b/>
            <sz val="9"/>
            <color indexed="81"/>
            <rFont val="Tahoma"/>
            <family val="2"/>
            <charset val="186"/>
          </rPr>
          <t>Clarity/Communication</t>
        </r>
      </text>
    </comment>
    <comment ref="Z62" authorId="0" shapeId="0" xr:uid="{3983B2AA-68A7-4043-8F7F-6543948D2C28}">
      <text>
        <r>
          <rPr>
            <b/>
            <sz val="9"/>
            <color indexed="81"/>
            <rFont val="Tahoma"/>
            <family val="2"/>
            <charset val="186"/>
          </rPr>
          <t>Clarity/Communication</t>
        </r>
      </text>
    </comment>
    <comment ref="AK62" authorId="0" shapeId="0" xr:uid="{8D2E0892-0B7F-42DF-A41E-FFB8856571D1}">
      <text>
        <r>
          <rPr>
            <b/>
            <sz val="9"/>
            <color indexed="81"/>
            <rFont val="Tahoma"/>
            <family val="2"/>
            <charset val="186"/>
          </rPr>
          <t>Clarity/Communication</t>
        </r>
      </text>
    </comment>
    <comment ref="AV62" authorId="0" shapeId="0" xr:uid="{1CD67C4E-F509-431D-8AF0-BA8A35416635}">
      <text>
        <r>
          <rPr>
            <b/>
            <sz val="9"/>
            <color indexed="81"/>
            <rFont val="Tahoma"/>
            <family val="2"/>
            <charset val="186"/>
          </rPr>
          <t>Clarity/Communication</t>
        </r>
      </text>
    </comment>
    <comment ref="BG62" authorId="0" shapeId="0" xr:uid="{10A43AF9-F481-4E25-B4D3-8EEE205B8FFD}">
      <text>
        <r>
          <rPr>
            <b/>
            <sz val="9"/>
            <color indexed="81"/>
            <rFont val="Tahoma"/>
            <family val="2"/>
            <charset val="186"/>
          </rPr>
          <t>Clarity/Communication</t>
        </r>
      </text>
    </comment>
    <comment ref="BR62" authorId="0" shapeId="0" xr:uid="{16415C78-063B-403D-8A49-CFFFF8AB9F0F}">
      <text>
        <r>
          <rPr>
            <b/>
            <sz val="9"/>
            <color indexed="81"/>
            <rFont val="Tahoma"/>
            <family val="2"/>
            <charset val="186"/>
          </rPr>
          <t>Clarity/Communication</t>
        </r>
      </text>
    </comment>
    <comment ref="C63" authorId="0" shapeId="0" xr:uid="{705F3DEE-9C70-41BA-B4DB-2A5711750F57}">
      <text>
        <r>
          <rPr>
            <b/>
            <sz val="9"/>
            <color indexed="81"/>
            <rFont val="Tahoma"/>
            <family val="2"/>
            <charset val="186"/>
          </rPr>
          <t>Purpose</t>
        </r>
      </text>
    </comment>
    <comment ref="O63" authorId="0" shapeId="0" xr:uid="{59D4CC4E-C857-4040-A7AF-066AA33E7080}">
      <text>
        <r>
          <rPr>
            <b/>
            <sz val="9"/>
            <color indexed="81"/>
            <rFont val="Tahoma"/>
            <family val="2"/>
            <charset val="186"/>
          </rPr>
          <t>Purpose</t>
        </r>
      </text>
    </comment>
    <comment ref="Z63" authorId="0" shapeId="0" xr:uid="{A004AF2A-8CCC-4A54-A84F-3DC660563CA4}">
      <text>
        <r>
          <rPr>
            <b/>
            <sz val="9"/>
            <color indexed="81"/>
            <rFont val="Tahoma"/>
            <family val="2"/>
            <charset val="186"/>
          </rPr>
          <t>Purpose</t>
        </r>
      </text>
    </comment>
    <comment ref="AK63" authorId="0" shapeId="0" xr:uid="{EFA67B5E-25AE-41B0-93FE-42852938EB7A}">
      <text>
        <r>
          <rPr>
            <b/>
            <sz val="9"/>
            <color indexed="81"/>
            <rFont val="Tahoma"/>
            <family val="2"/>
            <charset val="186"/>
          </rPr>
          <t>Purpose</t>
        </r>
      </text>
    </comment>
    <comment ref="AV63" authorId="0" shapeId="0" xr:uid="{3A5ABC15-62B9-4165-AE38-D885ED5B8456}">
      <text>
        <r>
          <rPr>
            <b/>
            <sz val="9"/>
            <color indexed="81"/>
            <rFont val="Tahoma"/>
            <family val="2"/>
            <charset val="186"/>
          </rPr>
          <t>Purpose</t>
        </r>
      </text>
    </comment>
    <comment ref="BG63" authorId="0" shapeId="0" xr:uid="{F32C8EC2-E53C-4604-BBF5-1583B374F434}">
      <text>
        <r>
          <rPr>
            <b/>
            <sz val="9"/>
            <color indexed="81"/>
            <rFont val="Tahoma"/>
            <family val="2"/>
            <charset val="186"/>
          </rPr>
          <t>Purpose</t>
        </r>
      </text>
    </comment>
    <comment ref="BR63" authorId="0" shapeId="0" xr:uid="{651DE944-EA8B-495E-AA0C-20EBD2593C98}">
      <text>
        <r>
          <rPr>
            <b/>
            <sz val="9"/>
            <color indexed="81"/>
            <rFont val="Tahoma"/>
            <family val="2"/>
            <charset val="186"/>
          </rPr>
          <t>Purpose</t>
        </r>
      </text>
    </comment>
    <comment ref="C64" authorId="0" shapeId="0" xr:uid="{D401CA50-7A94-4E7A-95D8-C4F9B3F2885A}">
      <text>
        <r>
          <rPr>
            <b/>
            <sz val="9"/>
            <color indexed="81"/>
            <rFont val="Tahoma"/>
            <family val="2"/>
            <charset val="186"/>
          </rPr>
          <t>Stability</t>
        </r>
      </text>
    </comment>
    <comment ref="O64" authorId="0" shapeId="0" xr:uid="{C96A4E83-1AA4-4E6D-9C43-AD6B06A8FFD8}">
      <text>
        <r>
          <rPr>
            <b/>
            <sz val="9"/>
            <color indexed="81"/>
            <rFont val="Tahoma"/>
            <family val="2"/>
            <charset val="186"/>
          </rPr>
          <t>Stability</t>
        </r>
      </text>
    </comment>
    <comment ref="Z64" authorId="0" shapeId="0" xr:uid="{3348D654-5959-4ECE-9722-21F8E6A07A08}">
      <text>
        <r>
          <rPr>
            <b/>
            <sz val="9"/>
            <color indexed="81"/>
            <rFont val="Tahoma"/>
            <family val="2"/>
            <charset val="186"/>
          </rPr>
          <t>Stability</t>
        </r>
      </text>
    </comment>
    <comment ref="AK64" authorId="0" shapeId="0" xr:uid="{96E0EFA2-C2E0-42CB-B575-FDBFF148DD03}">
      <text>
        <r>
          <rPr>
            <b/>
            <sz val="9"/>
            <color indexed="81"/>
            <rFont val="Tahoma"/>
            <family val="2"/>
            <charset val="186"/>
          </rPr>
          <t>Stability</t>
        </r>
      </text>
    </comment>
    <comment ref="AV64" authorId="0" shapeId="0" xr:uid="{CA958618-58CD-4393-A5C9-B0363406B81B}">
      <text>
        <r>
          <rPr>
            <b/>
            <sz val="9"/>
            <color indexed="81"/>
            <rFont val="Tahoma"/>
            <family val="2"/>
            <charset val="186"/>
          </rPr>
          <t>Stability</t>
        </r>
      </text>
    </comment>
    <comment ref="BG64" authorId="0" shapeId="0" xr:uid="{3DDA4098-C22E-483E-8716-58C79ED65ABC}">
      <text>
        <r>
          <rPr>
            <b/>
            <sz val="9"/>
            <color indexed="81"/>
            <rFont val="Tahoma"/>
            <family val="2"/>
            <charset val="186"/>
          </rPr>
          <t>Stability</t>
        </r>
      </text>
    </comment>
    <comment ref="BR64" authorId="0" shapeId="0" xr:uid="{E1EC7625-6393-4AFA-8907-A9BA5C89BB56}">
      <text>
        <r>
          <rPr>
            <b/>
            <sz val="9"/>
            <color indexed="81"/>
            <rFont val="Tahoma"/>
            <family val="2"/>
            <charset val="186"/>
          </rPr>
          <t>Stability</t>
        </r>
      </text>
    </comment>
    <comment ref="C65" authorId="0" shapeId="0" xr:uid="{D8BC1242-A7BB-4ED9-BECC-E1779A661141}">
      <text>
        <r>
          <rPr>
            <b/>
            <sz val="9"/>
            <color indexed="81"/>
            <rFont val="Tahoma"/>
            <family val="2"/>
            <charset val="186"/>
          </rPr>
          <t>Flow</t>
        </r>
      </text>
    </comment>
    <comment ref="O65" authorId="0" shapeId="0" xr:uid="{0BCC05B6-329B-4FB6-9036-CCB8B7BCE7BA}">
      <text>
        <r>
          <rPr>
            <b/>
            <sz val="9"/>
            <color indexed="81"/>
            <rFont val="Tahoma"/>
            <family val="2"/>
            <charset val="186"/>
          </rPr>
          <t>Flow</t>
        </r>
      </text>
    </comment>
    <comment ref="Z65" authorId="0" shapeId="0" xr:uid="{6B45F006-6067-4BDA-B801-88FF1A8BADB8}">
      <text>
        <r>
          <rPr>
            <b/>
            <sz val="9"/>
            <color indexed="81"/>
            <rFont val="Tahoma"/>
            <family val="2"/>
            <charset val="186"/>
          </rPr>
          <t>Flow</t>
        </r>
      </text>
    </comment>
    <comment ref="AK65" authorId="0" shapeId="0" xr:uid="{84AF7579-2971-4E76-AF7B-5637D7B12C16}">
      <text>
        <r>
          <rPr>
            <b/>
            <sz val="9"/>
            <color indexed="81"/>
            <rFont val="Tahoma"/>
            <family val="2"/>
            <charset val="186"/>
          </rPr>
          <t>Flow</t>
        </r>
      </text>
    </comment>
    <comment ref="AV65" authorId="0" shapeId="0" xr:uid="{F06A0105-72CB-4906-B183-C193D86A73E4}">
      <text>
        <r>
          <rPr>
            <b/>
            <sz val="9"/>
            <color indexed="81"/>
            <rFont val="Tahoma"/>
            <family val="2"/>
            <charset val="186"/>
          </rPr>
          <t>Flow</t>
        </r>
      </text>
    </comment>
    <comment ref="BG65" authorId="0" shapeId="0" xr:uid="{6541B322-3FFE-42DC-8DF4-0C1B1D3FE0A2}">
      <text>
        <r>
          <rPr>
            <b/>
            <sz val="9"/>
            <color indexed="81"/>
            <rFont val="Tahoma"/>
            <family val="2"/>
            <charset val="186"/>
          </rPr>
          <t>Flow</t>
        </r>
      </text>
    </comment>
    <comment ref="BR65" authorId="0" shapeId="0" xr:uid="{A8AFE7BC-0564-4314-BF48-C4EEE4F385FF}">
      <text>
        <r>
          <rPr>
            <b/>
            <sz val="9"/>
            <color indexed="81"/>
            <rFont val="Tahoma"/>
            <family val="2"/>
            <charset val="186"/>
          </rPr>
          <t>Flow</t>
        </r>
      </text>
    </comment>
    <comment ref="C66" authorId="0" shapeId="0" xr:uid="{D02C1DFF-699D-406F-B36A-7E8B3E7856FD}">
      <text>
        <r>
          <rPr>
            <b/>
            <sz val="9"/>
            <color indexed="81"/>
            <rFont val="Tahoma"/>
            <family val="2"/>
            <charset val="186"/>
          </rPr>
          <t>Action/Transformation</t>
        </r>
      </text>
    </comment>
    <comment ref="O66" authorId="0" shapeId="0" xr:uid="{58469D83-2BFC-4F89-89D2-923D662F829E}">
      <text>
        <r>
          <rPr>
            <b/>
            <sz val="9"/>
            <color indexed="81"/>
            <rFont val="Tahoma"/>
            <family val="2"/>
            <charset val="186"/>
          </rPr>
          <t>Action/Transformation</t>
        </r>
      </text>
    </comment>
    <comment ref="Z66" authorId="0" shapeId="0" xr:uid="{9D13D2AE-100D-40D5-A898-F0204BDDEABF}">
      <text>
        <r>
          <rPr>
            <b/>
            <sz val="9"/>
            <color indexed="81"/>
            <rFont val="Tahoma"/>
            <family val="2"/>
            <charset val="186"/>
          </rPr>
          <t>Action/Transformation</t>
        </r>
      </text>
    </comment>
    <comment ref="AK66" authorId="0" shapeId="0" xr:uid="{27087432-5A4A-4AD9-88A5-7CBF4D8A7E21}">
      <text>
        <r>
          <rPr>
            <b/>
            <sz val="9"/>
            <color indexed="81"/>
            <rFont val="Tahoma"/>
            <family val="2"/>
            <charset val="186"/>
          </rPr>
          <t>Action/Transformation</t>
        </r>
      </text>
    </comment>
    <comment ref="AV66" authorId="0" shapeId="0" xr:uid="{112A280A-6A01-41BF-BF72-D5B1F90DC98A}">
      <text>
        <r>
          <rPr>
            <b/>
            <sz val="9"/>
            <color indexed="81"/>
            <rFont val="Tahoma"/>
            <family val="2"/>
            <charset val="186"/>
          </rPr>
          <t>Action/Transformation</t>
        </r>
      </text>
    </comment>
    <comment ref="BG66" authorId="0" shapeId="0" xr:uid="{BFE15070-F115-4B14-A977-E52784052F0D}">
      <text>
        <r>
          <rPr>
            <b/>
            <sz val="9"/>
            <color indexed="81"/>
            <rFont val="Tahoma"/>
            <family val="2"/>
            <charset val="186"/>
          </rPr>
          <t>Action/Transformation</t>
        </r>
      </text>
    </comment>
    <comment ref="BR66" authorId="0" shapeId="0" xr:uid="{5B614AB9-364F-4127-837C-4D4027883600}">
      <text>
        <r>
          <rPr>
            <b/>
            <sz val="9"/>
            <color indexed="81"/>
            <rFont val="Tahoma"/>
            <family val="2"/>
            <charset val="186"/>
          </rPr>
          <t>Action/Transformation</t>
        </r>
      </text>
    </comment>
    <comment ref="C67" authorId="0" shapeId="0" xr:uid="{13B3496D-576D-48F6-A625-ABB6FC4E245C}">
      <text>
        <r>
          <rPr>
            <b/>
            <sz val="9"/>
            <color indexed="81"/>
            <rFont val="Tahoma"/>
            <family val="2"/>
            <charset val="186"/>
          </rPr>
          <t>Clarity/Communication</t>
        </r>
      </text>
    </comment>
    <comment ref="O67" authorId="0" shapeId="0" xr:uid="{9C77269F-E32B-4D48-A3C5-0A6C4A34091B}">
      <text>
        <r>
          <rPr>
            <b/>
            <sz val="9"/>
            <color indexed="81"/>
            <rFont val="Tahoma"/>
            <family val="2"/>
            <charset val="186"/>
          </rPr>
          <t>Clarity/Communication</t>
        </r>
      </text>
    </comment>
    <comment ref="Z67" authorId="0" shapeId="0" xr:uid="{DF451E40-2F0C-4120-A74D-03F25F509CE2}">
      <text>
        <r>
          <rPr>
            <b/>
            <sz val="9"/>
            <color indexed="81"/>
            <rFont val="Tahoma"/>
            <family val="2"/>
            <charset val="186"/>
          </rPr>
          <t>Clarity/Communication</t>
        </r>
      </text>
    </comment>
    <comment ref="AK67" authorId="0" shapeId="0" xr:uid="{F5E0FA57-7FAF-4184-9AB2-2F5E5D027CAB}">
      <text>
        <r>
          <rPr>
            <b/>
            <sz val="9"/>
            <color indexed="81"/>
            <rFont val="Tahoma"/>
            <family val="2"/>
            <charset val="186"/>
          </rPr>
          <t>Clarity/Communication</t>
        </r>
      </text>
    </comment>
    <comment ref="AV67" authorId="0" shapeId="0" xr:uid="{EB29487F-EFAC-49E7-B3D8-80A6DC941C21}">
      <text>
        <r>
          <rPr>
            <b/>
            <sz val="9"/>
            <color indexed="81"/>
            <rFont val="Tahoma"/>
            <family val="2"/>
            <charset val="186"/>
          </rPr>
          <t>Clarity/Communication</t>
        </r>
      </text>
    </comment>
    <comment ref="BG67" authorId="0" shapeId="0" xr:uid="{C5D80063-13C5-40A9-BE95-45125DB77EA2}">
      <text>
        <r>
          <rPr>
            <b/>
            <sz val="9"/>
            <color indexed="81"/>
            <rFont val="Tahoma"/>
            <family val="2"/>
            <charset val="186"/>
          </rPr>
          <t>Clarity/Communication</t>
        </r>
      </text>
    </comment>
    <comment ref="BR67" authorId="0" shapeId="0" xr:uid="{57C35CD4-27B4-4614-A7D0-25E9588C0A8E}">
      <text>
        <r>
          <rPr>
            <b/>
            <sz val="9"/>
            <color indexed="81"/>
            <rFont val="Tahoma"/>
            <family val="2"/>
            <charset val="186"/>
          </rPr>
          <t>Clarity/Communication</t>
        </r>
      </text>
    </comment>
    <comment ref="C68" authorId="0" shapeId="0" xr:uid="{5014A6F6-D6A4-40B9-BC13-C48F75A30C8B}">
      <text>
        <r>
          <rPr>
            <b/>
            <sz val="9"/>
            <color indexed="81"/>
            <rFont val="Tahoma"/>
            <family val="2"/>
            <charset val="186"/>
          </rPr>
          <t>Purpose</t>
        </r>
      </text>
    </comment>
    <comment ref="O68" authorId="0" shapeId="0" xr:uid="{42D31F7C-C29F-4EF5-A35D-2516457C3CA2}">
      <text>
        <r>
          <rPr>
            <b/>
            <sz val="9"/>
            <color indexed="81"/>
            <rFont val="Tahoma"/>
            <family val="2"/>
            <charset val="186"/>
          </rPr>
          <t>Purpose</t>
        </r>
      </text>
    </comment>
    <comment ref="Z68" authorId="0" shapeId="0" xr:uid="{1F2522D2-5C23-4FCE-8FD8-30928098C2C5}">
      <text>
        <r>
          <rPr>
            <b/>
            <sz val="9"/>
            <color indexed="81"/>
            <rFont val="Tahoma"/>
            <family val="2"/>
            <charset val="186"/>
          </rPr>
          <t>Purpose</t>
        </r>
      </text>
    </comment>
    <comment ref="AK68" authorId="0" shapeId="0" xr:uid="{5F1AD696-97AF-4426-80CC-4E3C693319AC}">
      <text>
        <r>
          <rPr>
            <b/>
            <sz val="9"/>
            <color indexed="81"/>
            <rFont val="Tahoma"/>
            <family val="2"/>
            <charset val="186"/>
          </rPr>
          <t>Purpose</t>
        </r>
      </text>
    </comment>
    <comment ref="AV68" authorId="0" shapeId="0" xr:uid="{D3E6BCF2-9694-4E81-BAA4-BC16101D5341}">
      <text>
        <r>
          <rPr>
            <b/>
            <sz val="9"/>
            <color indexed="81"/>
            <rFont val="Tahoma"/>
            <family val="2"/>
            <charset val="186"/>
          </rPr>
          <t>Purpose</t>
        </r>
      </text>
    </comment>
    <comment ref="BG68" authorId="0" shapeId="0" xr:uid="{5F603494-355C-473C-8372-4A9DEF9453EE}">
      <text>
        <r>
          <rPr>
            <b/>
            <sz val="9"/>
            <color indexed="81"/>
            <rFont val="Tahoma"/>
            <family val="2"/>
            <charset val="186"/>
          </rPr>
          <t>Purpose</t>
        </r>
      </text>
    </comment>
    <comment ref="BR68" authorId="0" shapeId="0" xr:uid="{C8F6FA45-D13D-4763-B5DD-13E16DDFC8DE}">
      <text>
        <r>
          <rPr>
            <b/>
            <sz val="9"/>
            <color indexed="81"/>
            <rFont val="Tahoma"/>
            <family val="2"/>
            <charset val="186"/>
          </rPr>
          <t>Purpose</t>
        </r>
      </text>
    </comment>
    <comment ref="C69" authorId="0" shapeId="0" xr:uid="{558A252D-2859-4AC7-BA23-C9D5E9B98834}">
      <text>
        <r>
          <rPr>
            <b/>
            <sz val="9"/>
            <color indexed="81"/>
            <rFont val="Tahoma"/>
            <family val="2"/>
            <charset val="186"/>
          </rPr>
          <t>Stability</t>
        </r>
      </text>
    </comment>
    <comment ref="O69" authorId="0" shapeId="0" xr:uid="{953EA51C-2A29-457F-ACD2-E714371EE698}">
      <text>
        <r>
          <rPr>
            <b/>
            <sz val="9"/>
            <color indexed="81"/>
            <rFont val="Tahoma"/>
            <family val="2"/>
            <charset val="186"/>
          </rPr>
          <t>Stability</t>
        </r>
      </text>
    </comment>
    <comment ref="Z69" authorId="0" shapeId="0" xr:uid="{EFAAAF81-144F-461C-9A58-BD372EE7AA97}">
      <text>
        <r>
          <rPr>
            <b/>
            <sz val="9"/>
            <color indexed="81"/>
            <rFont val="Tahoma"/>
            <family val="2"/>
            <charset val="186"/>
          </rPr>
          <t>Stability</t>
        </r>
      </text>
    </comment>
    <comment ref="AK69" authorId="0" shapeId="0" xr:uid="{2B2F9816-FD19-4301-B8E8-59ECE30E8257}">
      <text>
        <r>
          <rPr>
            <b/>
            <sz val="9"/>
            <color indexed="81"/>
            <rFont val="Tahoma"/>
            <family val="2"/>
            <charset val="186"/>
          </rPr>
          <t>Stability</t>
        </r>
      </text>
    </comment>
    <comment ref="AV69" authorId="0" shapeId="0" xr:uid="{373D98D6-15B5-4E5D-AE3A-AAFAF74384BF}">
      <text>
        <r>
          <rPr>
            <b/>
            <sz val="9"/>
            <color indexed="81"/>
            <rFont val="Tahoma"/>
            <family val="2"/>
            <charset val="186"/>
          </rPr>
          <t>Stability</t>
        </r>
      </text>
    </comment>
    <comment ref="BG69" authorId="0" shapeId="0" xr:uid="{3CDFB619-88F5-4F2D-8417-47B154D2C0FB}">
      <text>
        <r>
          <rPr>
            <b/>
            <sz val="9"/>
            <color indexed="81"/>
            <rFont val="Tahoma"/>
            <family val="2"/>
            <charset val="186"/>
          </rPr>
          <t>Stability</t>
        </r>
      </text>
    </comment>
    <comment ref="BR69" authorId="0" shapeId="0" xr:uid="{74F765D7-B122-46DA-A65A-03D181E5DA3E}">
      <text>
        <r>
          <rPr>
            <b/>
            <sz val="9"/>
            <color indexed="81"/>
            <rFont val="Tahoma"/>
            <family val="2"/>
            <charset val="186"/>
          </rPr>
          <t>Stability</t>
        </r>
      </text>
    </comment>
    <comment ref="C70" authorId="0" shapeId="0" xr:uid="{8AB7D99E-7688-430A-90F5-C9688A72661E}">
      <text>
        <r>
          <rPr>
            <b/>
            <sz val="9"/>
            <color indexed="81"/>
            <rFont val="Tahoma"/>
            <family val="2"/>
            <charset val="186"/>
          </rPr>
          <t>Flow</t>
        </r>
      </text>
    </comment>
    <comment ref="O70" authorId="0" shapeId="0" xr:uid="{BE6B1C64-63D4-4487-96EB-6FD1B910D2F9}">
      <text>
        <r>
          <rPr>
            <b/>
            <sz val="9"/>
            <color indexed="81"/>
            <rFont val="Tahoma"/>
            <family val="2"/>
            <charset val="186"/>
          </rPr>
          <t>Flow</t>
        </r>
      </text>
    </comment>
    <comment ref="Z70" authorId="0" shapeId="0" xr:uid="{BF5BDFC0-DFB9-4E03-815F-493EA903004E}">
      <text>
        <r>
          <rPr>
            <b/>
            <sz val="9"/>
            <color indexed="81"/>
            <rFont val="Tahoma"/>
            <family val="2"/>
            <charset val="186"/>
          </rPr>
          <t>Flow</t>
        </r>
      </text>
    </comment>
    <comment ref="AK70" authorId="0" shapeId="0" xr:uid="{4BBD9AED-7476-469D-B548-28494DE693F9}">
      <text>
        <r>
          <rPr>
            <b/>
            <sz val="9"/>
            <color indexed="81"/>
            <rFont val="Tahoma"/>
            <family val="2"/>
            <charset val="186"/>
          </rPr>
          <t>Flow</t>
        </r>
      </text>
    </comment>
    <comment ref="AV70" authorId="0" shapeId="0" xr:uid="{AE0EAD33-F358-4C59-97F6-84149C97F281}">
      <text>
        <r>
          <rPr>
            <b/>
            <sz val="9"/>
            <color indexed="81"/>
            <rFont val="Tahoma"/>
            <family val="2"/>
            <charset val="186"/>
          </rPr>
          <t>Flow</t>
        </r>
      </text>
    </comment>
    <comment ref="BG70" authorId="0" shapeId="0" xr:uid="{0958C4D7-DE4F-4DDA-BC95-A0819564002D}">
      <text>
        <r>
          <rPr>
            <b/>
            <sz val="9"/>
            <color indexed="81"/>
            <rFont val="Tahoma"/>
            <family val="2"/>
            <charset val="186"/>
          </rPr>
          <t>Flow</t>
        </r>
      </text>
    </comment>
    <comment ref="BR70" authorId="0" shapeId="0" xr:uid="{5E6CC1D6-33A0-4B40-8F08-FC830CF29126}">
      <text>
        <r>
          <rPr>
            <b/>
            <sz val="9"/>
            <color indexed="81"/>
            <rFont val="Tahoma"/>
            <family val="2"/>
            <charset val="186"/>
          </rPr>
          <t>Flow</t>
        </r>
      </text>
    </comment>
    <comment ref="C71" authorId="0" shapeId="0" xr:uid="{F99DF9C9-9756-4873-8F4C-535D3F94A8C6}">
      <text>
        <r>
          <rPr>
            <b/>
            <sz val="9"/>
            <color indexed="81"/>
            <rFont val="Tahoma"/>
            <family val="2"/>
            <charset val="186"/>
          </rPr>
          <t>Action/Transformation</t>
        </r>
      </text>
    </comment>
    <comment ref="O71" authorId="0" shapeId="0" xr:uid="{76D37934-781C-4426-ABDF-97629FD80B09}">
      <text>
        <r>
          <rPr>
            <b/>
            <sz val="9"/>
            <color indexed="81"/>
            <rFont val="Tahoma"/>
            <family val="2"/>
            <charset val="186"/>
          </rPr>
          <t>Action/Transformation</t>
        </r>
      </text>
    </comment>
    <comment ref="Z71" authorId="0" shapeId="0" xr:uid="{35FABE4D-37DB-4A39-9A53-A91300D8A5F0}">
      <text>
        <r>
          <rPr>
            <b/>
            <sz val="9"/>
            <color indexed="81"/>
            <rFont val="Tahoma"/>
            <family val="2"/>
            <charset val="186"/>
          </rPr>
          <t>Action/Transformation</t>
        </r>
      </text>
    </comment>
    <comment ref="AK71" authorId="0" shapeId="0" xr:uid="{20E4431E-E1DC-4886-AD33-BEC103322971}">
      <text>
        <r>
          <rPr>
            <b/>
            <sz val="9"/>
            <color indexed="81"/>
            <rFont val="Tahoma"/>
            <family val="2"/>
            <charset val="186"/>
          </rPr>
          <t>Action/Transformation</t>
        </r>
      </text>
    </comment>
    <comment ref="AV71" authorId="0" shapeId="0" xr:uid="{761C5938-824D-4C6F-A191-326FF80D76F6}">
      <text>
        <r>
          <rPr>
            <b/>
            <sz val="9"/>
            <color indexed="81"/>
            <rFont val="Tahoma"/>
            <family val="2"/>
            <charset val="186"/>
          </rPr>
          <t>Action/Transformation</t>
        </r>
      </text>
    </comment>
    <comment ref="BG71" authorId="0" shapeId="0" xr:uid="{352955E2-5050-4A78-8EEC-6DBF926B33D5}">
      <text>
        <r>
          <rPr>
            <b/>
            <sz val="9"/>
            <color indexed="81"/>
            <rFont val="Tahoma"/>
            <family val="2"/>
            <charset val="186"/>
          </rPr>
          <t>Action/Transformation</t>
        </r>
      </text>
    </comment>
    <comment ref="BR71" authorId="0" shapeId="0" xr:uid="{AA379397-06A0-41DC-9355-55838CC48338}">
      <text>
        <r>
          <rPr>
            <b/>
            <sz val="9"/>
            <color indexed="81"/>
            <rFont val="Tahoma"/>
            <family val="2"/>
            <charset val="186"/>
          </rPr>
          <t>Action/Transformation</t>
        </r>
      </text>
    </comment>
    <comment ref="C72" authorId="0" shapeId="0" xr:uid="{10E5F80C-1EC1-4521-88B9-3666D4C05969}">
      <text>
        <r>
          <rPr>
            <b/>
            <sz val="9"/>
            <color indexed="81"/>
            <rFont val="Tahoma"/>
            <family val="2"/>
            <charset val="186"/>
          </rPr>
          <t>Clarity/Communication</t>
        </r>
      </text>
    </comment>
    <comment ref="O72" authorId="0" shapeId="0" xr:uid="{B481172E-03F6-4D85-83BC-30C8F6308E14}">
      <text>
        <r>
          <rPr>
            <b/>
            <sz val="9"/>
            <color indexed="81"/>
            <rFont val="Tahoma"/>
            <family val="2"/>
            <charset val="186"/>
          </rPr>
          <t>Clarity/Communication</t>
        </r>
      </text>
    </comment>
    <comment ref="Z72" authorId="0" shapeId="0" xr:uid="{171362E9-E44C-4ED5-83AE-06654E1F2C06}">
      <text>
        <r>
          <rPr>
            <b/>
            <sz val="9"/>
            <color indexed="81"/>
            <rFont val="Tahoma"/>
            <family val="2"/>
            <charset val="186"/>
          </rPr>
          <t>Clarity/Communication</t>
        </r>
      </text>
    </comment>
    <comment ref="AK72" authorId="0" shapeId="0" xr:uid="{50A5AA51-D572-4624-846C-DFA90F809F2F}">
      <text>
        <r>
          <rPr>
            <b/>
            <sz val="9"/>
            <color indexed="81"/>
            <rFont val="Tahoma"/>
            <family val="2"/>
            <charset val="186"/>
          </rPr>
          <t>Clarity/Communication</t>
        </r>
      </text>
    </comment>
    <comment ref="AV72" authorId="0" shapeId="0" xr:uid="{309615D9-70AD-47C4-8D67-733959DF9703}">
      <text>
        <r>
          <rPr>
            <b/>
            <sz val="9"/>
            <color indexed="81"/>
            <rFont val="Tahoma"/>
            <family val="2"/>
            <charset val="186"/>
          </rPr>
          <t>Clarity/Communication</t>
        </r>
      </text>
    </comment>
    <comment ref="BG72" authorId="0" shapeId="0" xr:uid="{4F5F7980-5EBF-4170-A549-D5A58B35E89A}">
      <text>
        <r>
          <rPr>
            <b/>
            <sz val="9"/>
            <color indexed="81"/>
            <rFont val="Tahoma"/>
            <family val="2"/>
            <charset val="186"/>
          </rPr>
          <t>Clarity/Communication</t>
        </r>
      </text>
    </comment>
    <comment ref="BR72" authorId="0" shapeId="0" xr:uid="{DE53E37B-9EE2-4423-A099-383542D1B0AA}">
      <text>
        <r>
          <rPr>
            <b/>
            <sz val="9"/>
            <color indexed="81"/>
            <rFont val="Tahoma"/>
            <family val="2"/>
            <charset val="186"/>
          </rPr>
          <t>Clarity/Communication</t>
        </r>
      </text>
    </comment>
    <comment ref="C73" authorId="0" shapeId="0" xr:uid="{FE0AB1D0-1222-4ED4-AF40-0AF94D6B73AE}">
      <text>
        <r>
          <rPr>
            <b/>
            <sz val="9"/>
            <color indexed="81"/>
            <rFont val="Tahoma"/>
            <family val="2"/>
            <charset val="186"/>
          </rPr>
          <t>Purpose</t>
        </r>
      </text>
    </comment>
    <comment ref="O73" authorId="0" shapeId="0" xr:uid="{6EBEB3A6-71C4-4B77-A982-E102317FE489}">
      <text>
        <r>
          <rPr>
            <b/>
            <sz val="9"/>
            <color indexed="81"/>
            <rFont val="Tahoma"/>
            <family val="2"/>
            <charset val="186"/>
          </rPr>
          <t>Purpose</t>
        </r>
      </text>
    </comment>
    <comment ref="Z73" authorId="0" shapeId="0" xr:uid="{A169FEE8-B46A-4FF5-A34C-2A6F84D89F0E}">
      <text>
        <r>
          <rPr>
            <b/>
            <sz val="9"/>
            <color indexed="81"/>
            <rFont val="Tahoma"/>
            <family val="2"/>
            <charset val="186"/>
          </rPr>
          <t>Purpose</t>
        </r>
      </text>
    </comment>
    <comment ref="AK73" authorId="0" shapeId="0" xr:uid="{312290EB-1FEB-45BB-A7F9-D7573F7BE013}">
      <text>
        <r>
          <rPr>
            <b/>
            <sz val="9"/>
            <color indexed="81"/>
            <rFont val="Tahoma"/>
            <family val="2"/>
            <charset val="186"/>
          </rPr>
          <t>Purpose</t>
        </r>
      </text>
    </comment>
    <comment ref="AV73" authorId="0" shapeId="0" xr:uid="{3CE45A20-FB90-41F0-9CAA-3AE6362E94DD}">
      <text>
        <r>
          <rPr>
            <b/>
            <sz val="9"/>
            <color indexed="81"/>
            <rFont val="Tahoma"/>
            <family val="2"/>
            <charset val="186"/>
          </rPr>
          <t>Purpose</t>
        </r>
      </text>
    </comment>
    <comment ref="BG73" authorId="0" shapeId="0" xr:uid="{4D9EE679-58D3-45F6-93D9-3CC2851AFB36}">
      <text>
        <r>
          <rPr>
            <b/>
            <sz val="9"/>
            <color indexed="81"/>
            <rFont val="Tahoma"/>
            <family val="2"/>
            <charset val="186"/>
          </rPr>
          <t>Purpose</t>
        </r>
      </text>
    </comment>
    <comment ref="BR73" authorId="0" shapeId="0" xr:uid="{07D3C566-0CB8-4C46-96E4-C8E0422501FD}">
      <text>
        <r>
          <rPr>
            <b/>
            <sz val="9"/>
            <color indexed="81"/>
            <rFont val="Tahoma"/>
            <family val="2"/>
            <charset val="186"/>
          </rPr>
          <t>Purpose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murau</author>
  </authors>
  <commentList>
    <comment ref="B2" authorId="0" shapeId="0" xr:uid="{7B62C918-B403-4345-9616-266953E3CCDA}">
      <text>
        <r>
          <rPr>
            <b/>
            <sz val="9"/>
            <color indexed="81"/>
            <rFont val="Tahoma"/>
            <family val="2"/>
            <charset val="186"/>
          </rPr>
          <t xml:space="preserve">Months of Runway </t>
        </r>
      </text>
    </comment>
    <comment ref="B3" authorId="0" shapeId="0" xr:uid="{73D24314-C4EC-4480-9880-910D799E1EE1}">
      <text>
        <r>
          <rPr>
            <b/>
            <sz val="9"/>
            <color indexed="81"/>
            <rFont val="Tahoma"/>
            <family val="2"/>
            <charset val="186"/>
          </rPr>
          <t>IP Security &amp; Formalization</t>
        </r>
      </text>
    </comment>
    <comment ref="B4" authorId="0" shapeId="0" xr:uid="{DBE70AD1-AF3F-452C-9F16-0A48AA704448}">
      <text>
        <r>
          <rPr>
            <b/>
            <sz val="9"/>
            <color indexed="81"/>
            <rFont val="Tahoma"/>
            <family val="2"/>
            <charset val="186"/>
          </rPr>
          <t>Founder Sustainability</t>
        </r>
      </text>
    </comment>
    <comment ref="B5" authorId="0" shapeId="0" xr:uid="{ECF151F9-BA01-46C2-9FA9-33AAFD036B79}">
      <text>
        <r>
          <rPr>
            <b/>
            <sz val="9"/>
            <color indexed="81"/>
            <rFont val="Tahoma"/>
            <family val="2"/>
            <charset val="186"/>
          </rPr>
          <t>Governance Foundation Integrity</t>
        </r>
      </text>
    </comment>
    <comment ref="B6" authorId="0" shapeId="0" xr:uid="{FBFA04AB-5012-44CA-8D13-4E2E88AAF889}">
      <text>
        <r>
          <rPr>
            <b/>
            <sz val="9"/>
            <color indexed="81"/>
            <rFont val="Tahoma"/>
            <family val="2"/>
            <charset val="186"/>
          </rPr>
          <t>Initial Message Coherence</t>
        </r>
      </text>
    </comment>
    <comment ref="B7" authorId="0" shapeId="0" xr:uid="{4381A1F4-C433-4774-9D40-43CE077495D2}">
      <text>
        <r>
          <rPr>
            <b/>
            <sz val="9"/>
            <color indexed="81"/>
            <rFont val="Tahoma"/>
            <family val="2"/>
            <charset val="186"/>
          </rPr>
          <t>Network Foundation Strength</t>
        </r>
      </text>
    </comment>
    <comment ref="B8" authorId="0" shapeId="0" xr:uid="{1DB07BED-614C-47CF-8FC4-2045C51E556C}">
      <text>
        <r>
          <rPr>
            <b/>
            <sz val="9"/>
            <color indexed="81"/>
            <rFont val="Tahoma"/>
            <family val="2"/>
            <charset val="186"/>
          </rPr>
          <t>Foundational Brand Integrity</t>
        </r>
      </text>
    </comment>
    <comment ref="B9" authorId="0" shapeId="0" xr:uid="{C4CEC909-E99B-474D-B3EB-FB67C3ACD49A}">
      <text>
        <r>
          <rPr>
            <b/>
            <sz val="9"/>
            <color indexed="81"/>
            <rFont val="Tahoma"/>
            <family val="2"/>
            <charset val="186"/>
          </rPr>
          <t>Operational Viability</t>
        </r>
      </text>
    </comment>
    <comment ref="B10" authorId="0" shapeId="0" xr:uid="{BAB6DF4E-7BB5-4557-8DAD-908D8EAD3455}">
      <text>
        <r>
          <rPr>
            <b/>
            <sz val="9"/>
            <color indexed="81"/>
            <rFont val="Tahoma"/>
            <family val="2"/>
            <charset val="186"/>
          </rPr>
          <t>Regenerative Intent &amp; Practice</t>
        </r>
      </text>
    </comment>
    <comment ref="B11" authorId="0" shapeId="0" xr:uid="{4259E6D9-CEC6-48B5-A44C-130814C27F5A}">
      <text>
        <r>
          <rPr>
            <b/>
            <sz val="9"/>
            <color indexed="81"/>
            <rFont val="Tahoma"/>
            <family val="2"/>
            <charset val="186"/>
          </rPr>
          <t>Lived Values &amp; Cultural Integrity</t>
        </r>
      </text>
    </comment>
    <comment ref="B12" authorId="0" shapeId="0" xr:uid="{F281C169-9D5E-4278-B0F8-2E82D6296993}">
      <text>
        <r>
          <rPr>
            <b/>
            <sz val="9"/>
            <color indexed="81"/>
            <rFont val="Tahoma"/>
            <family val="2"/>
            <charset val="186"/>
          </rPr>
          <t>Pipeline Viability &amp; Coherence</t>
        </r>
      </text>
    </comment>
    <comment ref="B13" authorId="0" shapeId="0" xr:uid="{C685455C-2C28-4922-B54C-208486A8123D}">
      <text>
        <r>
          <rPr>
            <b/>
            <sz val="9"/>
            <color indexed="81"/>
            <rFont val="Tahoma"/>
            <family val="2"/>
            <charset val="186"/>
          </rPr>
          <t>Systemic Fragility Assessment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murau</author>
  </authors>
  <commentList>
    <comment ref="B73" authorId="0" shapeId="0" xr:uid="{03B5C8AD-2F2F-4FEF-8E66-219F27BDBB99}">
      <text>
        <r>
          <rPr>
            <b/>
            <sz val="9"/>
            <color indexed="81"/>
            <rFont val="Tahoma"/>
            <family val="2"/>
            <charset val="186"/>
          </rPr>
          <t xml:space="preserve">Possible Mathemathical Constant 2.71828
</t>
        </r>
        <r>
          <rPr>
            <sz val="9"/>
            <color indexed="81"/>
            <rFont val="Tahoma"/>
            <family val="2"/>
            <charset val="186"/>
          </rPr>
          <t xml:space="preserve">Euler's Number
</t>
        </r>
        <r>
          <rPr>
            <i/>
            <sz val="9"/>
            <color indexed="81"/>
            <rFont val="Tahoma"/>
            <family val="2"/>
            <charset val="186"/>
          </rPr>
          <t>Type: Transendental</t>
        </r>
      </text>
    </comment>
    <comment ref="E122" authorId="0" shapeId="0" xr:uid="{30BDD9B8-59A2-4D9E-AEC4-F5DF46692C6F}">
      <text>
        <r>
          <rPr>
            <b/>
            <sz val="9"/>
            <color indexed="81"/>
            <rFont val="Tahoma"/>
            <family val="2"/>
            <charset val="186"/>
          </rPr>
          <t>The "Raw Compass" (The Unsensitized Face_Delta Values)</t>
        </r>
        <r>
          <rPr>
            <sz val="9"/>
            <color indexed="81"/>
            <rFont val="Tahoma"/>
            <family val="2"/>
            <charset val="186"/>
          </rPr>
          <t xml:space="preserve">
</t>
        </r>
        <r>
          <rPr>
            <b/>
            <sz val="9"/>
            <color indexed="81"/>
            <rFont val="Tahoma"/>
            <family val="2"/>
            <charset val="186"/>
          </rPr>
          <t xml:space="preserve">What it is: </t>
        </r>
        <r>
          <rPr>
            <sz val="9"/>
            <color indexed="81"/>
            <rFont val="Tahoma"/>
            <family val="2"/>
            <charset val="186"/>
          </rPr>
          <t xml:space="preserve">This is your current Calculated Corrective Actions (FACE LEVEL) table. It shows the raw Required ΔE values, which are directly proportional to the Face_Delta (-uᵢ).
</t>
        </r>
        <r>
          <rPr>
            <b/>
            <sz val="9"/>
            <color indexed="81"/>
            <rFont val="Tahoma"/>
            <family val="2"/>
            <charset val="186"/>
          </rPr>
          <t>Its Wisdom:</t>
        </r>
        <r>
          <rPr>
            <sz val="9"/>
            <color indexed="81"/>
            <rFont val="Tahoma"/>
            <family val="2"/>
            <charset val="186"/>
          </rPr>
          <t xml:space="preserve"> This table tells you the timeless, geometric truth of the imbalance. It is a pure, directional "compass" that says "Go this way." It is less about the immediate journey and more about the fundamental direction of healing. It answers the question: "What is the archetypal direction of our cure?"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murau</author>
  </authors>
  <commentList>
    <comment ref="H1" authorId="0" shapeId="0" xr:uid="{058F849E-3A0B-4F2B-8BAE-2AF41BD87419}">
      <text>
        <r>
          <rPr>
            <b/>
            <sz val="9"/>
            <color indexed="81"/>
            <rFont val="Tahoma"/>
            <family val="2"/>
            <charset val="186"/>
          </rPr>
          <t xml:space="preserve">Definition:
</t>
        </r>
        <r>
          <rPr>
            <sz val="9"/>
            <color indexed="81"/>
            <rFont val="Tahoma"/>
            <family val="2"/>
            <charset val="186"/>
          </rPr>
          <t xml:space="preserve">
</t>
        </r>
        <r>
          <rPr>
            <b/>
            <sz val="9"/>
            <color indexed="81"/>
            <rFont val="Tahoma"/>
            <family val="2"/>
            <charset val="186"/>
          </rPr>
          <t>What it is (The Temtreture)</t>
        </r>
        <r>
          <rPr>
            <sz val="9"/>
            <color indexed="81"/>
            <rFont val="Tahoma"/>
            <family val="2"/>
            <charset val="186"/>
          </rPr>
          <t xml:space="preserve">: The average Face Energy of the three domains that meet at that vertex. 
</t>
        </r>
        <r>
          <rPr>
            <b/>
            <sz val="9"/>
            <color indexed="81"/>
            <rFont val="Tahoma"/>
            <family val="2"/>
            <charset val="186"/>
          </rPr>
          <t>What it tells you:</t>
        </r>
        <r>
          <rPr>
            <sz val="9"/>
            <color indexed="81"/>
            <rFont val="Tahoma"/>
            <family val="2"/>
            <charset val="186"/>
          </rPr>
          <t xml:space="preserve"> This is a measure of the overall "energetic charge" or "ambient temperature" at that specific intersection. Is this a "hot" corner of the organization where a lot of energy is concentrated, or is it a "cool," quiet one? 
</t>
        </r>
        <r>
          <rPr>
            <b/>
            <sz val="9"/>
            <color indexed="81"/>
            <rFont val="Tahoma"/>
            <family val="2"/>
            <charset val="186"/>
          </rPr>
          <t>Interpretation:</t>
        </r>
        <r>
          <rPr>
            <sz val="9"/>
            <color indexed="81"/>
            <rFont val="Tahoma"/>
            <family val="2"/>
            <charset val="186"/>
          </rPr>
          <t> A high V-Mean is not necessarily good or bad. It simply tells you that this is a high-energy, high-importance junction. It's a place to pay attention.</t>
        </r>
      </text>
    </comment>
    <comment ref="I1" authorId="0" shapeId="0" xr:uid="{CE64F4B1-30D6-441A-9F6A-2C6E0A87E67B}">
      <text>
        <r>
          <rPr>
            <b/>
            <sz val="9"/>
            <color indexed="81"/>
            <rFont val="Tahoma"/>
            <family val="2"/>
            <charset val="186"/>
          </rPr>
          <t xml:space="preserve">Definition:
</t>
        </r>
        <r>
          <rPr>
            <b/>
            <sz val="9"/>
            <color indexed="81"/>
            <rFont val="Tahoma"/>
            <family val="2"/>
            <charset val="186"/>
          </rPr>
          <t>V</t>
        </r>
        <r>
          <rPr>
            <b/>
            <sz val="8"/>
            <color indexed="81"/>
            <rFont val="Tahoma"/>
            <family val="2"/>
            <charset val="186"/>
          </rPr>
          <t xml:space="preserve">ortex Strength (ω) (The Spin): </t>
        </r>
        <r>
          <rPr>
            <sz val="8"/>
            <color indexed="81"/>
            <rFont val="Tahoma"/>
            <family val="2"/>
            <charset val="186"/>
          </rPr>
          <t xml:space="preserve">
</t>
        </r>
        <r>
          <rPr>
            <b/>
            <sz val="8"/>
            <color indexed="81"/>
            <rFont val="Tahoma"/>
            <family val="2"/>
            <charset val="186"/>
          </rPr>
          <t>What it is:</t>
        </r>
        <r>
          <rPr>
            <sz val="8"/>
            <color indexed="81"/>
            <rFont val="Tahoma"/>
            <family val="2"/>
            <charset val="186"/>
          </rPr>
          <t xml:space="preserve"> The average difference in energy between the three meeting faces.
</t>
        </r>
        <r>
          <rPr>
            <b/>
            <sz val="8"/>
            <color indexed="81"/>
            <rFont val="Tahoma"/>
            <family val="2"/>
            <charset val="186"/>
          </rPr>
          <t>What it tells you:</t>
        </r>
        <r>
          <rPr>
            <sz val="8"/>
            <color indexed="81"/>
            <rFont val="Tahoma"/>
            <family val="2"/>
            <charset val="186"/>
          </rPr>
          <t xml:space="preserve"> This is the most important metric. It measures the "dissonant circulation" or "spin" at the vertex. 
</t>
        </r>
        <r>
          <rPr>
            <b/>
            <sz val="8"/>
            <color indexed="81"/>
            <rFont val="Tahoma"/>
            <family val="2"/>
            <charset val="186"/>
          </rPr>
          <t>- A low ω score</t>
        </r>
        <r>
          <rPr>
            <sz val="8"/>
            <color indexed="81"/>
            <rFont val="Tahoma"/>
            <family val="2"/>
            <charset val="186"/>
          </rPr>
          <t xml:space="preserve"> (near 0) means the three meeting departments are in a state of harmonious, balanced resonance. 
</t>
        </r>
        <r>
          <rPr>
            <b/>
            <sz val="8"/>
            <color indexed="81"/>
            <rFont val="Tahoma"/>
            <family val="2"/>
            <charset val="186"/>
          </rPr>
          <t>- A high ω score</t>
        </r>
        <r>
          <rPr>
            <sz val="8"/>
            <color indexed="81"/>
            <rFont val="Tahoma"/>
            <family val="2"/>
            <charset val="186"/>
          </rPr>
          <t xml:space="preserve"> means they are pulling in wildly different directions, creating a turbulent "whirlpool" of wasted energy and conflict. 
</t>
        </r>
        <r>
          <rPr>
            <b/>
            <sz val="8"/>
            <color indexed="81"/>
            <rFont val="Tahoma"/>
            <family val="2"/>
            <charset val="186"/>
          </rPr>
          <t>Interpretation:</t>
        </r>
        <r>
          <rPr>
            <sz val="8"/>
            <color indexed="81"/>
            <rFont val="Tahoma"/>
            <family val="2"/>
            <charset val="186"/>
          </rPr>
          <t> A high ω score is always a red flag. It is the mathematical signature of a "Bermuda Triangle" in your organization—a hidden source of chaos and incoherence.</t>
        </r>
        <r>
          <rPr>
            <b/>
            <sz val="8"/>
            <color indexed="81"/>
            <rFont val="Tahoma"/>
            <family val="2"/>
            <charset val="186"/>
          </rPr>
          <t xml:space="preserve">
(</t>
        </r>
        <r>
          <rPr>
            <sz val="8"/>
            <color indexed="81"/>
            <rFont val="Tahoma"/>
            <family val="2"/>
            <charset val="186"/>
          </rPr>
          <t>This formula does not measure the average level of energy; it measures the average difference or "shear" between the energies. It measures the spin.</t>
        </r>
        <r>
          <rPr>
            <b/>
            <sz val="8"/>
            <color indexed="81"/>
            <rFont val="Tahoma"/>
            <family val="2"/>
            <charset val="186"/>
          </rPr>
          <t>)
A vertex with a</t>
        </r>
        <r>
          <rPr>
            <i/>
            <sz val="8"/>
            <color indexed="81"/>
            <rFont val="Tahoma"/>
            <family val="2"/>
            <charset val="186"/>
          </rPr>
          <t xml:space="preserve"> low temperature</t>
        </r>
        <r>
          <rPr>
            <b/>
            <sz val="8"/>
            <color indexed="81"/>
            <rFont val="Tahoma"/>
            <family val="2"/>
            <charset val="186"/>
          </rPr>
          <t xml:space="preserve"> but a</t>
        </r>
        <r>
          <rPr>
            <b/>
            <u/>
            <sz val="8"/>
            <color indexed="81"/>
            <rFont val="Tahoma"/>
            <family val="2"/>
            <charset val="186"/>
          </rPr>
          <t xml:space="preserve"> high spin</t>
        </r>
        <r>
          <rPr>
            <b/>
            <sz val="8"/>
            <color indexed="81"/>
            <rFont val="Tahoma"/>
            <family val="2"/>
            <charset val="186"/>
          </rPr>
          <t xml:space="preserve"> (a quiet but deeply conflicted area) or a vertex with a </t>
        </r>
        <r>
          <rPr>
            <i/>
            <sz val="8"/>
            <color indexed="81"/>
            <rFont val="Tahoma"/>
            <family val="2"/>
            <charset val="186"/>
          </rPr>
          <t>high temperature</t>
        </r>
        <r>
          <rPr>
            <b/>
            <sz val="8"/>
            <color indexed="81"/>
            <rFont val="Tahoma"/>
            <family val="2"/>
            <charset val="186"/>
          </rPr>
          <t xml:space="preserve"> but a </t>
        </r>
        <r>
          <rPr>
            <b/>
            <u/>
            <sz val="8"/>
            <color indexed="81"/>
            <rFont val="Tahoma"/>
            <family val="2"/>
            <charset val="186"/>
          </rPr>
          <t>low spin</t>
        </r>
        <r>
          <rPr>
            <b/>
            <sz val="8"/>
            <color indexed="81"/>
            <rFont val="Tahoma"/>
            <family val="2"/>
            <charset val="186"/>
          </rPr>
          <t xml:space="preserve"> (a powerful and harmonious hub of creative synergy).</t>
        </r>
      </text>
    </comment>
    <comment ref="J1" authorId="0" shapeId="0" xr:uid="{62492C30-E4B0-4A4E-8BAA-56686AB3DE25}">
      <text>
        <r>
          <rPr>
            <b/>
            <sz val="9"/>
            <color indexed="81"/>
            <rFont val="Tahoma"/>
            <family val="2"/>
            <charset val="186"/>
          </rPr>
          <t xml:space="preserve">Definition:
</t>
        </r>
        <r>
          <rPr>
            <b/>
            <sz val="9"/>
            <color indexed="81"/>
            <rFont val="Tahoma"/>
            <family val="2"/>
            <charset val="186"/>
          </rPr>
          <t>V</t>
        </r>
        <r>
          <rPr>
            <b/>
            <sz val="8"/>
            <color indexed="81"/>
            <rFont val="Tahoma"/>
            <family val="2"/>
            <charset val="186"/>
          </rPr>
          <t xml:space="preserve">ortex Strength (ω) (The Spin): </t>
        </r>
        <r>
          <rPr>
            <sz val="8"/>
            <color indexed="81"/>
            <rFont val="Tahoma"/>
            <family val="2"/>
            <charset val="186"/>
          </rPr>
          <t xml:space="preserve">
</t>
        </r>
        <r>
          <rPr>
            <b/>
            <sz val="8"/>
            <color indexed="81"/>
            <rFont val="Tahoma"/>
            <family val="2"/>
            <charset val="186"/>
          </rPr>
          <t>What it is:</t>
        </r>
        <r>
          <rPr>
            <sz val="8"/>
            <color indexed="81"/>
            <rFont val="Tahoma"/>
            <family val="2"/>
            <charset val="186"/>
          </rPr>
          <t xml:space="preserve"> The average difference in energy between the three meeting faces.
</t>
        </r>
        <r>
          <rPr>
            <b/>
            <sz val="8"/>
            <color indexed="81"/>
            <rFont val="Tahoma"/>
            <family val="2"/>
            <charset val="186"/>
          </rPr>
          <t>What it tells you:</t>
        </r>
        <r>
          <rPr>
            <sz val="8"/>
            <color indexed="81"/>
            <rFont val="Tahoma"/>
            <family val="2"/>
            <charset val="186"/>
          </rPr>
          <t xml:space="preserve"> This is the most important metric. It measures the "dissonant circulation" or "spin" at the vertex. 
</t>
        </r>
        <r>
          <rPr>
            <b/>
            <sz val="8"/>
            <color indexed="81"/>
            <rFont val="Tahoma"/>
            <family val="2"/>
            <charset val="186"/>
          </rPr>
          <t>- A low ω score</t>
        </r>
        <r>
          <rPr>
            <sz val="8"/>
            <color indexed="81"/>
            <rFont val="Tahoma"/>
            <family val="2"/>
            <charset val="186"/>
          </rPr>
          <t xml:space="preserve"> (near 0) means the three meeting departments are in a state of harmonious, balanced resonance. 
</t>
        </r>
        <r>
          <rPr>
            <b/>
            <sz val="8"/>
            <color indexed="81"/>
            <rFont val="Tahoma"/>
            <family val="2"/>
            <charset val="186"/>
          </rPr>
          <t>- A high ω score</t>
        </r>
        <r>
          <rPr>
            <sz val="8"/>
            <color indexed="81"/>
            <rFont val="Tahoma"/>
            <family val="2"/>
            <charset val="186"/>
          </rPr>
          <t xml:space="preserve"> means they are pulling in wildly different directions, creating a turbulent "whirlpool" of wasted energy and conflict. 
</t>
        </r>
        <r>
          <rPr>
            <b/>
            <sz val="8"/>
            <color indexed="81"/>
            <rFont val="Tahoma"/>
            <family val="2"/>
            <charset val="186"/>
          </rPr>
          <t>Interpretation:</t>
        </r>
        <r>
          <rPr>
            <sz val="8"/>
            <color indexed="81"/>
            <rFont val="Tahoma"/>
            <family val="2"/>
            <charset val="186"/>
          </rPr>
          <t> A high ω score is always a red flag. It is the mathematical signature of a "Bermuda Triangle" in your organization—a hidden source of chaos and incoherence.</t>
        </r>
        <r>
          <rPr>
            <b/>
            <sz val="8"/>
            <color indexed="81"/>
            <rFont val="Tahoma"/>
            <family val="2"/>
            <charset val="186"/>
          </rPr>
          <t xml:space="preserve">
(</t>
        </r>
        <r>
          <rPr>
            <sz val="8"/>
            <color indexed="81"/>
            <rFont val="Tahoma"/>
            <family val="2"/>
            <charset val="186"/>
          </rPr>
          <t>This formula does not measure the average level of energy; it measures the average difference or "shear" between the energies. It measures the spin.</t>
        </r>
        <r>
          <rPr>
            <b/>
            <sz val="8"/>
            <color indexed="81"/>
            <rFont val="Tahoma"/>
            <family val="2"/>
            <charset val="186"/>
          </rPr>
          <t>)
A vertex with a</t>
        </r>
        <r>
          <rPr>
            <i/>
            <sz val="8"/>
            <color indexed="81"/>
            <rFont val="Tahoma"/>
            <family val="2"/>
            <charset val="186"/>
          </rPr>
          <t xml:space="preserve"> low temperature</t>
        </r>
        <r>
          <rPr>
            <b/>
            <sz val="8"/>
            <color indexed="81"/>
            <rFont val="Tahoma"/>
            <family val="2"/>
            <charset val="186"/>
          </rPr>
          <t xml:space="preserve"> but a</t>
        </r>
        <r>
          <rPr>
            <b/>
            <u/>
            <sz val="8"/>
            <color indexed="81"/>
            <rFont val="Tahoma"/>
            <family val="2"/>
            <charset val="186"/>
          </rPr>
          <t xml:space="preserve"> high spin</t>
        </r>
        <r>
          <rPr>
            <b/>
            <sz val="8"/>
            <color indexed="81"/>
            <rFont val="Tahoma"/>
            <family val="2"/>
            <charset val="186"/>
          </rPr>
          <t xml:space="preserve"> (a quiet but deeply conflicted area) or a vertex with a </t>
        </r>
        <r>
          <rPr>
            <i/>
            <sz val="8"/>
            <color indexed="81"/>
            <rFont val="Tahoma"/>
            <family val="2"/>
            <charset val="186"/>
          </rPr>
          <t>high temperature</t>
        </r>
        <r>
          <rPr>
            <b/>
            <sz val="8"/>
            <color indexed="81"/>
            <rFont val="Tahoma"/>
            <family val="2"/>
            <charset val="186"/>
          </rPr>
          <t xml:space="preserve"> but a </t>
        </r>
        <r>
          <rPr>
            <b/>
            <u/>
            <sz val="8"/>
            <color indexed="81"/>
            <rFont val="Tahoma"/>
            <family val="2"/>
            <charset val="186"/>
          </rPr>
          <t>low spin</t>
        </r>
        <r>
          <rPr>
            <b/>
            <sz val="8"/>
            <color indexed="81"/>
            <rFont val="Tahoma"/>
            <family val="2"/>
            <charset val="186"/>
          </rPr>
          <t xml:space="preserve"> (a powerful and harmonious hub of creative synergy).</t>
        </r>
      </text>
    </comment>
    <comment ref="K1" authorId="0" shapeId="0" xr:uid="{3DBDF2E9-0C84-449B-A8C6-3FCCA0F13128}">
      <text>
        <r>
          <rPr>
            <b/>
            <sz val="9"/>
            <color indexed="81"/>
            <rFont val="Tahoma"/>
            <family val="2"/>
            <charset val="186"/>
          </rPr>
          <t xml:space="preserve">Micro V-Mean (Avg of 9 KPIs)
</t>
        </r>
        <r>
          <rPr>
            <sz val="9"/>
            <color indexed="81"/>
            <rFont val="Tahoma"/>
            <family val="2"/>
            <charset val="186"/>
          </rPr>
          <t>To calculate the raw, un-synthesized average energy of the 9 foundational KPIs meeting at this vertex.</t>
        </r>
      </text>
    </comment>
    <comment ref="L1" authorId="0" shapeId="0" xr:uid="{89ACD2FC-584F-481F-A6C6-BF292F5DB6F6}">
      <text>
        <r>
          <rPr>
            <b/>
            <sz val="9"/>
            <color indexed="81"/>
            <rFont val="Tahoma"/>
            <family val="2"/>
            <charset val="186"/>
          </rPr>
          <t xml:space="preserve">Micro Vortex (ω)
</t>
        </r>
        <r>
          <rPr>
            <sz val="9"/>
            <color indexed="81"/>
            <rFont val="Tahoma"/>
            <family val="2"/>
            <charset val="186"/>
          </rPr>
          <t xml:space="preserve">
</t>
        </r>
        <r>
          <rPr>
            <b/>
            <sz val="9"/>
            <color indexed="81"/>
            <rFont val="Tahoma"/>
            <family val="2"/>
            <charset val="186"/>
          </rPr>
          <t>Purpose:</t>
        </r>
        <r>
          <rPr>
            <sz val="9"/>
            <color indexed="81"/>
            <rFont val="Tahoma"/>
            <family val="2"/>
            <charset val="186"/>
          </rPr>
          <t xml:space="preserve"> To measure the "spin" or "jaggedness" between the 9 foundational KPIs. It answers: "Are these 9 metrics in harmony, or is one wildly out of sync?"
</t>
        </r>
        <r>
          <rPr>
            <b/>
            <sz val="9"/>
            <color indexed="81"/>
            <rFont val="Tahoma"/>
            <family val="2"/>
            <charset val="186"/>
          </rPr>
          <t>The Formula:</t>
        </r>
        <r>
          <rPr>
            <sz val="9"/>
            <color indexed="81"/>
            <rFont val="Tahoma"/>
            <family val="2"/>
            <charset val="186"/>
          </rPr>
          <t xml:space="preserve"> The best measure for the "spin" of a set of numbers is their Standard Deviation. A standard deviation of 0 means all numbers are identical (perfect harmony). A high standard deviation means they are very "jagged."</t>
        </r>
      </text>
    </comment>
    <comment ref="N1" authorId="0" shapeId="0" xr:uid="{EDB1F6B9-A420-4983-AA23-770B6BE898D6}">
      <text>
        <r>
          <rPr>
            <b/>
            <sz val="9"/>
            <color indexed="81"/>
            <rFont val="Tahoma"/>
            <family val="2"/>
            <charset val="186"/>
          </rPr>
          <t>Overall Vertex Coherence
Purpose:</t>
        </r>
        <r>
          <rPr>
            <sz val="9"/>
            <color indexed="81"/>
            <rFont val="Tahoma"/>
            <family val="2"/>
            <charset val="186"/>
          </rPr>
          <t xml:space="preserve"> To synthesize EVERYTHING we know about a vertex—its macro health and its micro health—into a single, profound, final score.
</t>
        </r>
        <r>
          <rPr>
            <b/>
            <sz val="9"/>
            <color indexed="81"/>
            <rFont val="Tahoma"/>
            <family val="2"/>
            <charset val="186"/>
          </rPr>
          <t>The Logic:</t>
        </r>
        <r>
          <rPr>
            <sz val="9"/>
            <color indexed="81"/>
            <rFont val="Tahoma"/>
            <family val="2"/>
            <charset val="186"/>
          </rPr>
          <t xml:space="preserve"> True coherence requires high energy AND low spin, at BOTH the macro and micro levels. The final score should be a product of these four factors.
</t>
        </r>
      </text>
    </comment>
    <comment ref="O1" authorId="0" shapeId="0" xr:uid="{7CC13416-0274-444D-BCEC-75D63FB3E8F3}">
      <text>
        <r>
          <rPr>
            <b/>
            <sz val="9"/>
            <color indexed="81"/>
            <rFont val="Tahoma"/>
            <family val="2"/>
            <charset val="186"/>
          </rPr>
          <t>Coherence-to-Variance Ratio (CVR)</t>
        </r>
        <r>
          <rPr>
            <sz val="9"/>
            <color indexed="81"/>
            <rFont val="Tahoma"/>
            <family val="2"/>
            <charset val="186"/>
          </rPr>
          <t xml:space="preserve">
A quantitative measure of systemic harmony at each vertex of the organizational dodecahedron. It represents the stability of interdimensional coherence among departments or domains, calculated as the ratio between average KPI coherence and its variability.
High CVR indicates energetic stability and resonance (a well-synchronized triadic relationship), while low CVR reflects tension, imbalance, or turbulence within that relational field.
In the context of Organizational DNA, CVR functions as a “harmonic fidelity index” — expressing how consistently the organization’s values, rhythms, and metrics align across interconnected domains.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2B675D-9BC5-4993-B901-55DDF704BBAE}" keepAlive="1" name="Query - KPI_Database" description="Connection to the 'KPI_Database' query in the workbook." type="5" refreshedVersion="0" background="1">
    <dbPr connection="Provider=Microsoft.Mashup.OleDb.1;Data Source=$Workbook$;Location=KPI_Database;Extended Properties=&quot;&quot;" command="SELECT * FROM [KPI_Database]"/>
  </connection>
  <connection id="2" xr16:uid="{D91F590C-79B9-4C12-89EF-7C62D08EDC50}" keepAlive="1" name="Query - Tactical_Leverage_Analysis_KPI" description="Connection to the 'Tactical_Leverage_Analysis_KPI' query in the workbook." type="5" refreshedVersion="0" background="1">
    <dbPr connection="Provider=Microsoft.Mashup.OleDb.1;Data Source=$Workbook$;Location=Tactical_Leverage_Analysis_KPI;Extended Properties=&quot;&quot;" command="SELECT * FROM [Tactical_Leverage_Analysis_KPI]"/>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<sst xmlns="http://schemas.openxmlformats.org/spreadsheetml/2006/main" count="5390" uniqueCount="2315">
  <si>
    <t>Header</t>
  </si>
  <si>
    <t>Your Quannex Data (Example)</t>
  </si>
  <si>
    <t>KPI_ID</t>
  </si>
  <si>
    <t>A unique nickname for this measurement.</t>
  </si>
  <si>
    <t>KPI_Name</t>
  </si>
  <si>
    <t>What are we measuring?</t>
  </si>
  <si>
    <t>Months of Runway</t>
  </si>
  <si>
    <t>Owner</t>
  </si>
  <si>
    <t>Who is responsible for this?</t>
  </si>
  <si>
    <t>Deimantas</t>
  </si>
  <si>
    <t>Department</t>
  </si>
  <si>
    <t>Which "hat" are you wearing for this?</t>
  </si>
  <si>
    <t>Finance</t>
  </si>
  <si>
    <t>Primary_Octave</t>
  </si>
  <si>
    <t>Which "theme" does this belong to?</t>
  </si>
  <si>
    <r>
      <t>O1</t>
    </r>
    <r>
      <rPr>
        <sz val="8"/>
        <color rgb="FF000000"/>
        <rFont val="Inter"/>
        <family val="2"/>
        <charset val="186"/>
      </rPr>
      <t> (Survival)</t>
    </r>
  </si>
  <si>
    <t>Direction</t>
  </si>
  <si>
    <t>Is more better or less better?</t>
  </si>
  <si>
    <r>
      <t>↑</t>
    </r>
    <r>
      <rPr>
        <sz val="8"/>
        <color rgb="FF000000"/>
        <rFont val="Inter"/>
        <family val="2"/>
        <charset val="186"/>
      </rPr>
      <t> (More is better)</t>
    </r>
  </si>
  <si>
    <t>Weight</t>
  </si>
  <si>
    <t>How important is this stat right now? (from 0 to 1)</t>
  </si>
  <si>
    <r>
      <t>1.0</t>
    </r>
    <r>
      <rPr>
        <sz val="8"/>
        <color rgb="FF000000"/>
        <rFont val="Inter"/>
        <family val="2"/>
        <charset val="186"/>
      </rPr>
      <t> (Extremely important!)</t>
    </r>
  </si>
  <si>
    <t>Unit</t>
  </si>
  <si>
    <t>What are we counting?</t>
  </si>
  <si>
    <t>Months</t>
  </si>
  <si>
    <t>Value</t>
  </si>
  <si>
    <r>
      <t>What's the real number right now?</t>
    </r>
    <r>
      <rPr>
        <sz val="8"/>
        <color rgb="FF000000"/>
        <rFont val="Inter"/>
        <family val="2"/>
        <charset val="186"/>
      </rPr>
      <t> Let's say you have €1200 saved and your monthly costs are €200. </t>
    </r>
    <r>
      <rPr>
        <b/>
        <sz val="8"/>
        <color rgb="FF000000"/>
        <rFont val="Inter"/>
        <family val="2"/>
        <charset val="186"/>
      </rPr>
      <t>Value = 1200 / 200 = 6 months.</t>
    </r>
  </si>
  <si>
    <t>Target_Ideal</t>
  </si>
  <si>
    <r>
      <t>What's our dream goal?</t>
    </r>
    <r>
      <rPr>
        <sz val="8"/>
        <color rgb="FF000000"/>
        <rFont val="Inter"/>
        <family val="2"/>
        <charset val="186"/>
      </rPr>
      <t> A safe, comfortable 12 months.</t>
    </r>
  </si>
  <si>
    <t>Target_Min</t>
  </si>
  <si>
    <r>
      <t>What's the absolute danger zone?</t>
    </r>
    <r>
      <rPr>
        <sz val="8"/>
        <color rgb="FF000000"/>
        <rFont val="Inter"/>
        <family val="2"/>
        <charset val="186"/>
      </rPr>
      <t> Less than 3 months of runway is very risky.</t>
    </r>
  </si>
  <si>
    <t>K_Normalized</t>
  </si>
  <si>
    <t>The Excel formula that turns your numbers into a 0-1 score.</t>
  </si>
  <si>
    <t>Score</t>
  </si>
  <si>
    <t>Status</t>
  </si>
  <si>
    <t>O1 - Survival</t>
  </si>
  <si>
    <t>O3 - Relationships</t>
  </si>
  <si>
    <t>O5 - Expression</t>
  </si>
  <si>
    <t>O6 - Vision</t>
  </si>
  <si>
    <t>O7 - Radiance</t>
  </si>
  <si>
    <t>Primary_ Octave</t>
  </si>
  <si>
    <t>Founder</t>
  </si>
  <si>
    <t>O1</t>
  </si>
  <si>
    <t>↑</t>
  </si>
  <si>
    <t>O4</t>
  </si>
  <si>
    <t>O5</t>
  </si>
  <si>
    <t>O3</t>
  </si>
  <si>
    <t>Band</t>
  </si>
  <si>
    <t>Harmonic Pair:</t>
  </si>
  <si>
    <t>Final BR*</t>
  </si>
  <si>
    <t>That is the perfect and most practical question a founder can ask. It is the bridge between the grand, cosmic strategy and the "what do I actually do on Monday morning?" reality.</t>
  </si>
  <si>
    <t>You are asking the model to move from a strategic diagnosis to a tactical prescription. And while the answer is nuanced, it is incredibly powerful.</t>
  </si>
  <si>
    <t>Let's be very clear:</t>
  </si>
  <si>
    <r>
      <t>The dodecahedron cannot directly tell you, "Send 3 applications per week with a 10% success rate."</t>
    </r>
    <r>
      <rPr>
        <sz val="11"/>
        <color rgb="FF000000"/>
        <rFont val="Aptos Narrow"/>
        <family val="2"/>
      </rPr>
      <t xml:space="preserve"> Why? Because the model is a </t>
    </r>
    <r>
      <rPr>
        <b/>
        <sz val="11"/>
        <color rgb="FF000000"/>
        <rFont val="Aptos Narrow"/>
        <family val="2"/>
      </rPr>
      <t xml:space="preserve">mirror of your </t>
    </r>
    <r>
      <rPr>
        <b/>
        <i/>
        <sz val="11"/>
        <color rgb="FF000000"/>
        <rFont val="Aptos Narrow"/>
        <family val="2"/>
      </rPr>
      <t>internal</t>
    </r>
    <r>
      <rPr>
        <b/>
        <sz val="11"/>
        <color rgb="FF000000"/>
        <rFont val="Aptos Narrow"/>
        <family val="2"/>
      </rPr>
      <t xml:space="preserve"> coherence</t>
    </r>
    <r>
      <rPr>
        <sz val="11"/>
        <color rgb="FF000000"/>
        <rFont val="Aptos Narrow"/>
        <family val="2"/>
      </rPr>
      <t xml:space="preserve">, not a crystal ball that can predict the </t>
    </r>
    <r>
      <rPr>
        <i/>
        <sz val="11"/>
        <color rgb="FF000000"/>
        <rFont val="Aptos Narrow"/>
        <family val="2"/>
      </rPr>
      <t>external</t>
    </r>
    <r>
      <rPr>
        <sz val="11"/>
        <color rgb="FF000000"/>
        <rFont val="Aptos Narrow"/>
        <family val="2"/>
      </rPr>
      <t xml:space="preserve"> world's response (like a grant committee's decision).</t>
    </r>
  </si>
  <si>
    <r>
      <t xml:space="preserve">However—and this is the magical part—it can give you something </t>
    </r>
    <r>
      <rPr>
        <b/>
        <sz val="11"/>
        <color rgb="FF000000"/>
        <rFont val="Aptos Narrow"/>
        <family val="2"/>
      </rPr>
      <t>even more powerful:</t>
    </r>
    <r>
      <rPr>
        <sz val="11"/>
        <color rgb="FF000000"/>
        <rFont val="Aptos Narrow"/>
        <family val="2"/>
      </rPr>
      <t xml:space="preserve"> a framework for setting that target </t>
    </r>
    <r>
      <rPr>
        <i/>
        <sz val="11"/>
        <color rgb="FF000000"/>
        <rFont val="Aptos Narrow"/>
        <family val="2"/>
      </rPr>
      <t>yourself</t>
    </r>
    <r>
      <rPr>
        <sz val="11"/>
        <color rgb="FF000000"/>
        <rFont val="Aptos Narrow"/>
        <family val="2"/>
      </rPr>
      <t xml:space="preserve"> and then measuring its </t>
    </r>
    <r>
      <rPr>
        <i/>
        <sz val="11"/>
        <color rgb="FF000000"/>
        <rFont val="Aptos Narrow"/>
        <family val="2"/>
      </rPr>
      <t>true impact</t>
    </r>
    <r>
      <rPr>
        <sz val="11"/>
        <color rgb="FF000000"/>
        <rFont val="Aptos Narrow"/>
        <family val="2"/>
      </rPr>
      <t xml:space="preserve"> on your entire system.</t>
    </r>
  </si>
  <si>
    <r>
      <t xml:space="preserve">Here is how we "metric-ize" the strategic mandate. We will use the concepts of </t>
    </r>
    <r>
      <rPr>
        <b/>
        <sz val="11"/>
        <color rgb="FF000000"/>
        <rFont val="Aptos Narrow"/>
        <family val="2"/>
      </rPr>
      <t>Leading and Lagging Indicators</t>
    </r>
    <r>
      <rPr>
        <sz val="11"/>
        <color rgb="FF000000"/>
        <rFont val="Aptos Narrow"/>
        <family val="2"/>
      </rPr>
      <t xml:space="preserve"> within our dodecahedron framework.</t>
    </r>
  </si>
  <si>
    <t>Metric-izing the Mandate: A Practical Guide</t>
  </si>
  <si>
    <r>
      <t xml:space="preserve">Our Grand Strategic Mandate is to </t>
    </r>
    <r>
      <rPr>
        <b/>
        <sz val="11"/>
        <color rgb="FF000000"/>
        <rFont val="Aptos Narrow"/>
        <family val="2"/>
      </rPr>
      <t>"FIX THE FOUNDATION,"</t>
    </r>
    <r>
      <rPr>
        <sz val="11"/>
        <color rgb="FF000000"/>
        <rFont val="Aptos Narrow"/>
        <family val="2"/>
      </rPr>
      <t xml:space="preserve"> which is measured by the Emergent KPI: the </t>
    </r>
    <r>
      <rPr>
        <b/>
        <sz val="11"/>
        <color rgb="FF000000"/>
        <rFont val="Aptos Narrow"/>
        <family val="2"/>
      </rPr>
      <t>Aspiration-Actuality Gap (AAG)</t>
    </r>
    <r>
      <rPr>
        <sz val="11"/>
        <color rgb="FF000000"/>
        <rFont val="Aptos Narrow"/>
        <family val="2"/>
      </rPr>
      <t>. Our goal is to raise the AAG score from 0.35 towards 1.0.</t>
    </r>
  </si>
  <si>
    <r>
      <t xml:space="preserve">We know the highest-leverage way to do this is to increase the energy of the "Actuality" faces, especially </t>
    </r>
    <r>
      <rPr>
        <b/>
        <sz val="11"/>
        <color rgb="FF000000"/>
        <rFont val="Aptos Narrow"/>
        <family val="2"/>
      </rPr>
      <t>F1: Financial Capital.</t>
    </r>
  </si>
  <si>
    <t>Now, let's break that down into a measurable action plan.</t>
  </si>
  <si>
    <t>1. Deconstruct the Goal into Lagging and Leading KPIs:</t>
  </si>
  <si>
    <t>The Lagging Indicator (The Ultimate Result):</t>
  </si>
  <si>
    <r>
      <t xml:space="preserve">This is </t>
    </r>
    <r>
      <rPr>
        <b/>
        <sz val="11"/>
        <color rgb="FF000000"/>
        <rFont val="Aptos Narrow"/>
        <family val="2"/>
      </rPr>
      <t>KRI F1.1: Months of Runway</t>
    </r>
    <r>
      <rPr>
        <sz val="11"/>
        <color rgb="FF000000"/>
        <rFont val="Aptos Narrow"/>
        <family val="2"/>
      </rPr>
      <t xml:space="preserve">. This is the ultimate measure of success for our financial health. We cannot control it directly—it is the </t>
    </r>
    <r>
      <rPr>
        <i/>
        <sz val="11"/>
        <color rgb="FF000000"/>
        <rFont val="Aptos Narrow"/>
        <family val="2"/>
      </rPr>
      <t>result</t>
    </r>
    <r>
      <rPr>
        <sz val="11"/>
        <color rgb="FF000000"/>
        <rFont val="Aptos Narrow"/>
        <family val="2"/>
      </rPr>
      <t xml:space="preserve"> of our actions. It is a "lagging" indicator because by the time it changes, the work is already done.</t>
    </r>
  </si>
  <si>
    <r>
      <t xml:space="preserve">Our </t>
    </r>
    <r>
      <rPr>
        <b/>
        <sz val="11"/>
        <color rgb="FF000000"/>
        <rFont val="Aptos Narrow"/>
        <family val="2"/>
      </rPr>
      <t>GOAL</t>
    </r>
    <r>
      <rPr>
        <sz val="11"/>
        <color rgb="FF000000"/>
        <rFont val="Aptos Narrow"/>
        <family val="2"/>
      </rPr>
      <t xml:space="preserve"> is to increase the Face Energy of F1.</t>
    </r>
  </si>
  <si>
    <t>The Leading Indicator (The Action We Can Control):</t>
  </si>
  <si>
    <r>
      <t xml:space="preserve">This is </t>
    </r>
    <r>
      <rPr>
        <b/>
        <sz val="11"/>
        <color rgb="FF000000"/>
        <rFont val="Aptos Narrow"/>
        <family val="2"/>
      </rPr>
      <t>KPI F1.2: # of Funding Opportunities Pursued</t>
    </r>
    <r>
      <rPr>
        <sz val="11"/>
        <color rgb="FF000000"/>
        <rFont val="Aptos Narrow"/>
        <family val="2"/>
      </rPr>
      <t>. This is the action. This is the work. We can directly control this number every single week. It is a "leading" indicator because we hypothesize that performing this action will eventually cause a change in the lagging indicator.</t>
    </r>
  </si>
  <si>
    <t>2. Set an Initial, Hypothesis-Driven Target for Your Leading KPI:</t>
  </si>
  <si>
    <r>
      <t xml:space="preserve">This is where your human wisdom as the founder comes in. The math has told you </t>
    </r>
    <r>
      <rPr>
        <i/>
        <sz val="11"/>
        <color rgb="FF000000"/>
        <rFont val="Aptos Narrow"/>
        <family val="2"/>
      </rPr>
      <t>what</t>
    </r>
    <r>
      <rPr>
        <sz val="11"/>
        <color rgb="FF000000"/>
        <rFont val="Aptos Narrow"/>
        <family val="2"/>
      </rPr>
      <t xml:space="preserve"> to do (Focus on Finance). Now, you must propose an initial hypothesis for </t>
    </r>
    <r>
      <rPr>
        <i/>
        <sz val="11"/>
        <color rgb="FF000000"/>
        <rFont val="Aptos Narrow"/>
        <family val="2"/>
      </rPr>
      <t>how</t>
    </r>
    <r>
      <rPr>
        <sz val="11"/>
        <color rgb="FF000000"/>
        <rFont val="Aptos Narrow"/>
        <family val="2"/>
      </rPr>
      <t>.</t>
    </r>
  </si>
  <si>
    <r>
      <t>Your Hypothesis:</t>
    </r>
    <r>
      <rPr>
        <sz val="11"/>
        <color rgb="FF000000"/>
        <rFont val="Aptos Narrow"/>
        <family val="2"/>
      </rPr>
      <t xml:space="preserve"> "Based on my current energy levels and the time available, I hypothesize that </t>
    </r>
    <r>
      <rPr>
        <b/>
        <sz val="11"/>
        <color rgb="FF000000"/>
        <rFont val="Aptos Narrow"/>
        <family val="2"/>
      </rPr>
      <t>pursuing 1-2 high-quality, well-aligned funding opportunities per week</t>
    </r>
    <r>
      <rPr>
        <sz val="11"/>
        <color rgb="FF000000"/>
        <rFont val="Aptos Narrow"/>
        <family val="2"/>
      </rPr>
      <t xml:space="preserve"> is an achievable and effective rhythm. This is my initial target for my leading KPI."</t>
    </r>
  </si>
  <si>
    <t>3. Create the Feedback Loop in the Dashboard:</t>
  </si>
  <si>
    <t>Now, you use the Spiral Dashboard to run the experiment. Here is what you track on your spreadsheet every week:</t>
  </si>
  <si>
    <r>
      <t>You manually update the Value for KPI F1.2:</t>
    </r>
    <r>
      <rPr>
        <sz val="11"/>
        <color rgb="FF000000"/>
        <rFont val="Aptos Narrow"/>
        <family val="2"/>
      </rPr>
      <t xml:space="preserve"> Did you hit your target of 1-2 this week?</t>
    </r>
  </si>
  <si>
    <r>
      <t>You watch what happens to the rest of the system.</t>
    </r>
    <r>
      <rPr>
        <sz val="11"/>
        <color rgb="FF000000"/>
        <rFont val="Aptos Narrow"/>
        <family val="2"/>
      </rPr>
      <t xml:space="preserve"> As you perform this work:</t>
    </r>
  </si>
  <si>
    <r>
      <t xml:space="preserve">Does your </t>
    </r>
    <r>
      <rPr>
        <b/>
        <sz val="11"/>
        <color rgb="FF000000"/>
        <rFont val="Aptos Narrow"/>
        <family val="2"/>
      </rPr>
      <t>KRI L1.1: Founder Energy Level</t>
    </r>
    <r>
      <rPr>
        <sz val="11"/>
        <color rgb="FF000000"/>
        <rFont val="Aptos Narrow"/>
        <family val="2"/>
      </rPr>
      <t xml:space="preserve"> start to drop? (If so, your pace is unsustainable).</t>
    </r>
  </si>
  <si>
    <r>
      <t xml:space="preserve">Does your </t>
    </r>
    <r>
      <rPr>
        <b/>
        <sz val="11"/>
        <color rgb="FF000000"/>
        <rFont val="Aptos Narrow"/>
        <family val="2"/>
      </rPr>
      <t>KPI L2.1: % Thesis Drafted</t>
    </r>
    <r>
      <rPr>
        <sz val="11"/>
        <color rgb="FF000000"/>
        <rFont val="Aptos Narrow"/>
        <family val="2"/>
      </rPr>
      <t xml:space="preserve"> score go to zero? (If so, you are sacrificing one critical goal for another, and the system is still out of balance).</t>
    </r>
  </si>
  <si>
    <r>
      <t xml:space="preserve">Does the overall </t>
    </r>
    <r>
      <rPr>
        <b/>
        <sz val="11"/>
        <color rgb="FF000000"/>
        <rFont val="Aptos Narrow"/>
        <family val="2"/>
      </rPr>
      <t>Spiral Integrity Score (SIS)</t>
    </r>
    <r>
      <rPr>
        <sz val="11"/>
        <color rgb="FF000000"/>
        <rFont val="Aptos Narrow"/>
        <family val="2"/>
      </rPr>
      <t xml:space="preserve"> begin to trend upwards?</t>
    </r>
  </si>
  <si>
    <r>
      <t>This is the crucial insight:</t>
    </r>
    <r>
      <rPr>
        <sz val="11"/>
        <color rgb="FF000000"/>
        <rFont val="Aptos Narrow"/>
        <family val="2"/>
      </rPr>
      <t xml:space="preserve"> The dodecahedron doesn't give you the </t>
    </r>
    <r>
      <rPr>
        <i/>
        <sz val="11"/>
        <color rgb="FF000000"/>
        <rFont val="Aptos Narrow"/>
        <family val="2"/>
      </rPr>
      <t>target</t>
    </r>
    <r>
      <rPr>
        <sz val="11"/>
        <color rgb="FF000000"/>
        <rFont val="Aptos Narrow"/>
        <family val="2"/>
      </rPr>
      <t xml:space="preserve">. It gives you the </t>
    </r>
    <r>
      <rPr>
        <b/>
        <sz val="11"/>
        <color rgb="FF000000"/>
        <rFont val="Aptos Narrow"/>
        <family val="2"/>
      </rPr>
      <t>instrument panel</t>
    </r>
    <r>
      <rPr>
        <sz val="11"/>
        <color rgb="FF000000"/>
        <rFont val="Aptos Narrow"/>
        <family val="2"/>
      </rPr>
      <t xml:space="preserve"> to see the systemic effects of the target that </t>
    </r>
    <r>
      <rPr>
        <i/>
        <sz val="11"/>
        <color rgb="FF000000"/>
        <rFont val="Aptos Narrow"/>
        <family val="2"/>
      </rPr>
      <t>you</t>
    </r>
    <r>
      <rPr>
        <sz val="11"/>
        <color rgb="FF000000"/>
        <rFont val="Aptos Narrow"/>
        <family val="2"/>
      </rPr>
      <t xml:space="preserve"> set. It allows you to see if your actions are truly creating coherence, or just creating a different kind of problem.</t>
    </r>
  </si>
  <si>
    <t>4. The Final Answer</t>
  </si>
  <si>
    <t>So, to answer your question: "How many applications should I send?"</t>
  </si>
  <si>
    <r>
      <t xml:space="preserve">The model's answer is: </t>
    </r>
    <r>
      <rPr>
        <b/>
        <sz val="11"/>
        <color rgb="FF000000"/>
        <rFont val="Aptos Narrow"/>
        <family val="2"/>
      </rPr>
      <t>"I don't know the perfect number, but I can help you discover it. Start with a reasonable hypothesis (like 1-2 per week). Log your efforts honestly. And I will show you, in real-time, what effect that rhythm is having on your personal energy, your other critical projects, and the overall coherence of your entire venture. Together, we will listen to the data and adjust the rhythm until we find the one that creates the most harmony."</t>
    </r>
  </si>
  <si>
    <t>This is not a simple, mechanical answer. It is the beginning of a living, intelligent, and deeply honest conversation between you and your startup, with the dashboard as the language that makes it possible.</t>
  </si>
  <si>
    <t>F1.1</t>
  </si>
  <si>
    <t>L2.1</t>
  </si>
  <si>
    <t>P2.1</t>
  </si>
  <si>
    <t>P1.1</t>
  </si>
  <si>
    <t>S2.1</t>
  </si>
  <si>
    <t>S1.1</t>
  </si>
  <si>
    <t>P3.1</t>
  </si>
  <si>
    <t>E1.1</t>
  </si>
  <si>
    <t>L3.1</t>
  </si>
  <si>
    <t>F1.2</t>
  </si>
  <si>
    <t>R1.1</t>
  </si>
  <si>
    <t>Bus Factor</t>
  </si>
  <si>
    <t># Funding Opps</t>
  </si>
  <si>
    <t># Value Checks</t>
  </si>
  <si>
    <t># Regen Choices</t>
  </si>
  <si>
    <t>"Live" Test Done</t>
  </si>
  <si>
    <t>Engaging Posts</t>
  </si>
  <si>
    <t>Strat. Convos</t>
  </si>
  <si>
    <t>Clarity Score</t>
  </si>
  <si>
    <t>% Gov Docs Drafted</t>
  </si>
  <si>
    <t>Founder Energy Lvl</t>
  </si>
  <si>
    <t>% Thesis Drafted</t>
  </si>
  <si>
    <t>Face 1</t>
  </si>
  <si>
    <t>Face 2</t>
  </si>
  <si>
    <t>Face 3</t>
  </si>
  <si>
    <t>Face 4</t>
  </si>
  <si>
    <t>Face 5</t>
  </si>
  <si>
    <t>Face 6</t>
  </si>
  <si>
    <t>Face 7</t>
  </si>
  <si>
    <t>Face 8</t>
  </si>
  <si>
    <t>Face 9</t>
  </si>
  <si>
    <t>Face 10</t>
  </si>
  <si>
    <t>Face 11</t>
  </si>
  <si>
    <t>Face 12</t>
  </si>
  <si>
    <t>O2</t>
  </si>
  <si>
    <t>O6</t>
  </si>
  <si>
    <t>O7</t>
  </si>
  <si>
    <t>%</t>
  </si>
  <si>
    <t>Score (0-5)</t>
  </si>
  <si>
    <t>#</t>
  </si>
  <si>
    <t># / week</t>
  </si>
  <si>
    <t>0 or 1</t>
  </si>
  <si>
    <t>Face_Energy</t>
  </si>
  <si>
    <t>Face ID</t>
  </si>
  <si>
    <t>Face Name</t>
  </si>
  <si>
    <t>Financial Capital</t>
  </si>
  <si>
    <t>Intellectual Capital</t>
  </si>
  <si>
    <t>Human Capital</t>
  </si>
  <si>
    <t>Structural Capital</t>
  </si>
  <si>
    <t>Market Resonance</t>
  </si>
  <si>
    <t>Community &amp; Partners</t>
  </si>
  <si>
    <t>Brand &amp; Reputation</t>
  </si>
  <si>
    <t>Core Operations</t>
  </si>
  <si>
    <t>Regenerative Flow</t>
  </si>
  <si>
    <t>Foundational Values</t>
  </si>
  <si>
    <t>Funding Pipeline</t>
  </si>
  <si>
    <t>Risk &amp; Resilience</t>
  </si>
  <si>
    <t>Edge_ID</t>
  </si>
  <si>
    <t>Face_A_ID</t>
  </si>
  <si>
    <t>Face_B_ID</t>
  </si>
  <si>
    <t>E1-2</t>
  </si>
  <si>
    <t>E_Vector</t>
  </si>
  <si>
    <t>The Dodecahedron Graph Laplacian (L_Matrix)</t>
  </si>
  <si>
    <t>The Dodecahedron Eigenvectors (U_Matrix)</t>
  </si>
  <si>
    <t>Mode</t>
  </si>
  <si>
    <t>Eigenvalue (λ)</t>
  </si>
  <si>
    <t>Modal Amplitude (a)</t>
  </si>
  <si>
    <r>
      <t>u₁ </t>
    </r>
    <r>
      <rPr>
        <b/>
        <sz val="9"/>
        <color theme="0"/>
        <rFont val="Courier New"/>
        <family val="3"/>
        <charset val="186"/>
      </rPr>
      <t>(λ=0)</t>
    </r>
  </si>
  <si>
    <t>Modal Amplitude Calculation (a = U^t* E)</t>
  </si>
  <si>
    <t>Dominant Mode Index:</t>
  </si>
  <si>
    <t>Interpretation:</t>
  </si>
  <si>
    <t>Global Imbalance</t>
  </si>
  <si>
    <t>Required Delta Vector (-uᵢ)</t>
  </si>
  <si>
    <t>Delta Value</t>
  </si>
  <si>
    <t>Dominant Mode of Imbalance &amp; Required Delta Vector</t>
  </si>
  <si>
    <r>
      <t>in spectral analysis, </t>
    </r>
    <r>
      <rPr>
        <b/>
        <sz val="8"/>
        <color theme="1"/>
        <rFont val="Inter"/>
        <family val="2"/>
        <charset val="186"/>
      </rPr>
      <t>Mode 1 (corresponding to eigenvalue λ=0) is special.</t>
    </r>
    <r>
      <rPr>
        <sz val="8"/>
        <color theme="1"/>
        <rFont val="Inter"/>
        <family val="2"/>
        <charset val="186"/>
      </rPr>
      <t> It is often called the "trivial" mode or the "DC offset." It represents the </t>
    </r>
    <r>
      <rPr>
        <b/>
        <sz val="8"/>
        <color theme="1"/>
        <rFont val="Inter"/>
        <family val="2"/>
        <charset val="186"/>
      </rPr>
      <t>overall average energy of the whole system</t>
    </r>
    <r>
      <rPr>
        <sz val="8"/>
        <color theme="1"/>
        <rFont val="Inter"/>
        <family val="2"/>
        <charset val="186"/>
      </rPr>
      <t>, not a pattern of </t>
    </r>
    <r>
      <rPr>
        <i/>
        <sz val="8"/>
        <color theme="1"/>
        <rFont val="Inter"/>
        <family val="2"/>
        <charset val="186"/>
      </rPr>
      <t>imbalance</t>
    </r>
    <r>
      <rPr>
        <sz val="8"/>
        <color theme="1"/>
        <rFont val="Inter"/>
        <family val="2"/>
        <charset val="186"/>
      </rPr>
      <t>. Its eigenvector </t>
    </r>
    <r>
      <rPr>
        <sz val="8"/>
        <color theme="1"/>
        <rFont val="Courier New"/>
        <family val="3"/>
        <charset val="186"/>
      </rPr>
      <t>u₁</t>
    </r>
    <r>
      <rPr>
        <sz val="8"/>
        <color theme="1"/>
        <rFont val="Inter"/>
        <family val="2"/>
        <charset val="186"/>
      </rPr>
      <t> is just a flat line where all faces have the same value.</t>
    </r>
  </si>
  <si>
    <t>Name:</t>
  </si>
  <si>
    <t>Current E_f</t>
  </si>
  <si>
    <t>New Target E_f</t>
  </si>
  <si>
    <r>
      <t>Delta Value</t>
    </r>
    <r>
      <rPr>
        <b/>
        <sz val="8"/>
        <color theme="1"/>
        <rFont val="Inter"/>
        <family val="2"/>
        <charset val="186"/>
      </rPr>
      <t> &gt; 0 (Positive):</t>
    </r>
    <r>
      <rPr>
        <sz val="8"/>
        <color theme="1"/>
        <rFont val="Inter"/>
        <family val="2"/>
        <charset val="186"/>
      </rPr>
      <t> These are the faces the math is telling you to </t>
    </r>
    <r>
      <rPr>
        <b/>
        <sz val="8"/>
        <color theme="1"/>
        <rFont val="Inter"/>
        <family val="2"/>
        <charset val="186"/>
      </rPr>
      <t>ADD ENERGY TO.</t>
    </r>
    <r>
      <rPr>
        <sz val="8"/>
        <color theme="1"/>
        <rFont val="Inter"/>
        <family val="2"/>
        <charset val="186"/>
      </rPr>
      <t> These are the underdeveloped, weak aspects that are holding the system back. This is the pole of </t>
    </r>
    <r>
      <rPr>
        <b/>
        <sz val="8"/>
        <color theme="1"/>
        <rFont val="Inter"/>
        <family val="2"/>
        <charset val="186"/>
      </rPr>
      <t>"Being &amp; Integrity"</t>
    </r>
    <r>
      <rPr>
        <sz val="8"/>
        <color theme="1"/>
        <rFont val="Inter"/>
        <family val="2"/>
        <charset val="186"/>
      </rPr>
      <t>—it needs to </t>
    </r>
    <r>
      <rPr>
        <i/>
        <sz val="8"/>
        <color theme="1"/>
        <rFont val="Inter"/>
        <family val="2"/>
        <charset val="186"/>
      </rPr>
      <t>be</t>
    </r>
    <r>
      <rPr>
        <sz val="8"/>
        <color theme="1"/>
        <rFont val="Inter"/>
        <family val="2"/>
        <charset val="186"/>
      </rPr>
      <t> stronger.</t>
    </r>
  </si>
  <si>
    <r>
      <t>Delta Value</t>
    </r>
    <r>
      <rPr>
        <b/>
        <sz val="8"/>
        <color theme="1"/>
        <rFont val="Inter"/>
        <family val="2"/>
        <charset val="186"/>
      </rPr>
      <t> &lt; 0 (Negative):</t>
    </r>
    <r>
      <rPr>
        <sz val="8"/>
        <color theme="1"/>
        <rFont val="Inter"/>
        <family val="2"/>
        <charset val="186"/>
      </rPr>
      <t> These are the faces the math is telling you have </t>
    </r>
    <r>
      <rPr>
        <b/>
        <sz val="8"/>
        <color theme="1"/>
        <rFont val="Inter"/>
        <family val="2"/>
        <charset val="186"/>
      </rPr>
      <t>TOO MUCH ENERGY</t>
    </r>
    <r>
      <rPr>
        <sz val="8"/>
        <color theme="1"/>
        <rFont val="Inter"/>
        <family val="2"/>
        <charset val="186"/>
      </rPr>
      <t> relative to the other side of the pole. Their activity is currently "pulling" the system out of balance. This is the pole of </t>
    </r>
    <r>
      <rPr>
        <b/>
        <sz val="8"/>
        <color theme="1"/>
        <rFont val="Inter"/>
        <family val="2"/>
        <charset val="186"/>
      </rPr>
      <t>"Action &amp; Doing"</t>
    </r>
    <r>
      <rPr>
        <sz val="8"/>
        <color theme="1"/>
        <rFont val="Inter"/>
        <family val="2"/>
        <charset val="186"/>
      </rPr>
      <t>—it needs to be balanced by the Being pole.</t>
    </r>
  </si>
  <si>
    <r>
      <t>Positive Delta Values (</t>
    </r>
    <r>
      <rPr>
        <b/>
        <sz val="8"/>
        <color theme="1"/>
        <rFont val="Courier New"/>
        <family val="3"/>
        <charset val="186"/>
      </rPr>
      <t>ΔE &gt; 0</t>
    </r>
    <r>
      <rPr>
        <b/>
        <sz val="8"/>
        <color theme="1"/>
        <rFont val="Inter"/>
        <family val="2"/>
        <charset val="186"/>
      </rPr>
      <t>):</t>
    </r>
    <r>
      <rPr>
        <sz val="8"/>
        <color theme="1"/>
        <rFont val="Inter"/>
        <family val="2"/>
        <charset val="186"/>
      </rPr>
      <t> These are the faces that had a </t>
    </r>
    <r>
      <rPr>
        <b/>
        <sz val="8"/>
        <color theme="1"/>
        <rFont val="Inter"/>
        <family val="2"/>
        <charset val="186"/>
      </rPr>
      <t>NEGATIVE</t>
    </r>
    <r>
      <rPr>
        <sz val="8"/>
        <color theme="1"/>
        <rFont val="Inter"/>
        <family val="2"/>
        <charset val="186"/>
      </rPr>
      <t> loading in the original "problem" vector. This means they are </t>
    </r>
    <r>
      <rPr>
        <b/>
        <sz val="8"/>
        <color theme="1"/>
        <rFont val="Inter"/>
        <family val="2"/>
        <charset val="186"/>
      </rPr>
      <t>WEAK, UNDERDEVELOPED, or DEFICIENT</t>
    </r>
    <r>
      <rPr>
        <sz val="8"/>
        <color theme="1"/>
        <rFont val="Inter"/>
        <family val="2"/>
        <charset val="186"/>
      </rPr>
      <t>. The positive delta is the </t>
    </r>
    <r>
      <rPr>
        <b/>
        <sz val="8"/>
        <color theme="1"/>
        <rFont val="Inter"/>
        <family val="2"/>
        <charset val="186"/>
      </rPr>
      <t>PRESCRIPTION</t>
    </r>
    <r>
      <rPr>
        <sz val="8"/>
        <color theme="1"/>
        <rFont val="Inter"/>
        <family val="2"/>
        <charset val="186"/>
      </rPr>
      <t>: you must </t>
    </r>
    <r>
      <rPr>
        <b/>
        <sz val="8"/>
        <color theme="1"/>
        <rFont val="Inter"/>
        <family val="2"/>
        <charset val="186"/>
      </rPr>
      <t>ADD ENERGY</t>
    </r>
    <r>
      <rPr>
        <sz val="8"/>
        <color theme="1"/>
        <rFont val="Inter"/>
        <family val="2"/>
        <charset val="186"/>
      </rPr>
      <t> to these faces. They need to be increased and strengthened. These are the faces on the </t>
    </r>
    <r>
      <rPr>
        <b/>
        <sz val="8"/>
        <color theme="1"/>
        <rFont val="Inter"/>
        <family val="2"/>
        <charset val="186"/>
      </rPr>
      <t>"Reception/Being"</t>
    </r>
    <r>
      <rPr>
        <sz val="8"/>
        <color theme="1"/>
        <rFont val="Inter"/>
        <family val="2"/>
        <charset val="186"/>
      </rPr>
      <t> pole.</t>
    </r>
  </si>
  <si>
    <r>
      <t>Negative Delta Values (</t>
    </r>
    <r>
      <rPr>
        <b/>
        <sz val="8"/>
        <color theme="1"/>
        <rFont val="Courier New"/>
        <family val="3"/>
        <charset val="186"/>
      </rPr>
      <t>ΔE &lt; 0</t>
    </r>
    <r>
      <rPr>
        <b/>
        <sz val="8"/>
        <color theme="1"/>
        <rFont val="Inter"/>
        <family val="2"/>
        <charset val="186"/>
      </rPr>
      <t>):</t>
    </r>
    <r>
      <rPr>
        <sz val="8"/>
        <color theme="1"/>
        <rFont val="Inter"/>
        <family val="2"/>
        <charset val="186"/>
      </rPr>
      <t> These are the faces that had a </t>
    </r>
    <r>
      <rPr>
        <b/>
        <sz val="8"/>
        <color theme="1"/>
        <rFont val="Inter"/>
        <family val="2"/>
        <charset val="186"/>
      </rPr>
      <t>POSITIVE</t>
    </r>
    <r>
      <rPr>
        <sz val="8"/>
        <color theme="1"/>
        <rFont val="Inter"/>
        <family val="2"/>
        <charset val="186"/>
      </rPr>
      <t> loading in the original "problem" vector. This means they are </t>
    </r>
    <r>
      <rPr>
        <b/>
        <sz val="8"/>
        <color theme="1"/>
        <rFont val="Inter"/>
        <family val="2"/>
        <charset val="186"/>
      </rPr>
      <t>TOO STRONG, OVEREXTENDED, or DOMINANT</t>
    </r>
    <r>
      <rPr>
        <sz val="8"/>
        <color theme="1"/>
        <rFont val="Inter"/>
        <family val="2"/>
        <charset val="186"/>
      </rPr>
      <t> relative to their partners. The negative delta is the </t>
    </r>
    <r>
      <rPr>
        <b/>
        <sz val="8"/>
        <color theme="1"/>
        <rFont val="Inter"/>
        <family val="2"/>
        <charset val="186"/>
      </rPr>
      <t>PRESCRIPTION</t>
    </r>
    <r>
      <rPr>
        <sz val="8"/>
        <color theme="1"/>
        <rFont val="Inter"/>
        <family val="2"/>
        <charset val="186"/>
      </rPr>
      <t>: you must either </t>
    </r>
    <r>
      <rPr>
        <b/>
        <sz val="8"/>
        <color theme="1"/>
        <rFont val="Inter"/>
        <family val="2"/>
        <charset val="186"/>
      </rPr>
      <t>REDUCE their energy</t>
    </r>
    <r>
      <rPr>
        <sz val="8"/>
        <color theme="1"/>
        <rFont val="Inter"/>
        <family val="2"/>
        <charset val="186"/>
      </rPr>
      <t> or, more accurately, </t>
    </r>
    <r>
      <rPr>
        <b/>
        <sz val="8"/>
        <color theme="1"/>
        <rFont val="Inter"/>
        <family val="2"/>
        <charset val="186"/>
      </rPr>
      <t>hold their energy steady while you dramatically increase the energy of the positive-delta faces.</t>
    </r>
    <r>
      <rPr>
        <sz val="8"/>
        <color theme="1"/>
        <rFont val="Inter"/>
        <family val="2"/>
        <charset val="186"/>
      </rPr>
      <t> These are the faces on the </t>
    </r>
    <r>
      <rPr>
        <b/>
        <sz val="8"/>
        <color theme="1"/>
        <rFont val="Inter"/>
        <family val="2"/>
        <charset val="186"/>
      </rPr>
      <t>"Projection/Action"</t>
    </r>
    <r>
      <rPr>
        <sz val="8"/>
        <color theme="1"/>
        <rFont val="Inter"/>
        <family val="2"/>
        <charset val="186"/>
      </rPr>
      <t> pole.</t>
    </r>
  </si>
  <si>
    <t>Emergent Diagnostic Indicators</t>
  </si>
  <si>
    <t>Indicator 1: The Breath Ratio</t>
  </si>
  <si>
    <t>Delta_Value</t>
  </si>
  <si>
    <t>Absolute_Delta_Values</t>
  </si>
  <si>
    <t>Weights (α)</t>
  </si>
  <si>
    <t>Dissonance Index Formula</t>
  </si>
  <si>
    <t>Final ABD Score</t>
  </si>
  <si>
    <r>
      <rPr>
        <b/>
        <sz val="11"/>
        <color rgb="FF000000"/>
        <rFont val="Aptos Narrow"/>
        <family val="2"/>
      </rPr>
      <t>The Dissonance Index (ABD Score)</t>
    </r>
    <r>
      <rPr>
        <sz val="11"/>
        <color rgb="FF000000"/>
        <rFont val="Aptos Narrow"/>
        <family val="2"/>
      </rPr>
      <t xml:space="preserve"> tells you the story of the </t>
    </r>
    <r>
      <rPr>
        <b/>
        <sz val="11"/>
        <color rgb="FF000000"/>
        <rFont val="Aptos Narrow"/>
        <family val="2"/>
      </rPr>
      <t>magnitude of the imbalance</t>
    </r>
    <r>
      <rPr>
        <sz val="11"/>
        <color rgb="FF000000"/>
        <rFont val="Aptos Narrow"/>
        <family val="2"/>
      </rPr>
      <t>. It's a single, absolute number that you can track over time. As you implement your corrective actions, you should see this number get smaller and smaller. It is the direct measure of the "loudness of the sour note."</t>
    </r>
  </si>
  <si>
    <r>
      <rPr>
        <b/>
        <sz val="11"/>
        <color rgb="FF000000"/>
        <rFont val="Aptos Narrow"/>
        <family val="2"/>
      </rPr>
      <t>The Breath Ratio (ABB Score)</t>
    </r>
    <r>
      <rPr>
        <sz val="11"/>
        <color rgb="FF000000"/>
        <rFont val="Aptos Narrow"/>
        <family val="2"/>
      </rPr>
      <t xml:space="preserve"> tells you the story of the balance between the two opposing poles. It's intuitive, relational, and gives a clear directional sense </t>
    </r>
    <r>
      <rPr>
        <b/>
        <sz val="11"/>
        <color rgb="FF000000"/>
        <rFont val="Aptos Narrow"/>
        <family val="2"/>
      </rPr>
      <t>(over-exhale or under-exhale).</t>
    </r>
  </si>
  <si>
    <t>E1-6</t>
  </si>
  <si>
    <t>E1-8</t>
  </si>
  <si>
    <t>Edge_tension</t>
  </si>
  <si>
    <t>E2-6</t>
  </si>
  <si>
    <t>E7-8</t>
  </si>
  <si>
    <t>E9-12</t>
  </si>
  <si>
    <t>E10-11</t>
  </si>
  <si>
    <t>E10-12</t>
  </si>
  <si>
    <r>
      <t>u₇ </t>
    </r>
    <r>
      <rPr>
        <b/>
        <sz val="9"/>
        <color theme="0"/>
        <rFont val="Courier New"/>
        <family val="3"/>
        <charset val="186"/>
      </rPr>
      <t>(λ=5.58)</t>
    </r>
  </si>
  <si>
    <r>
      <t>u₂ </t>
    </r>
    <r>
      <rPr>
        <b/>
        <sz val="9"/>
        <color theme="0"/>
        <rFont val="Courier New"/>
        <family val="3"/>
        <charset val="186"/>
      </rPr>
      <t>(λ=2.394)</t>
    </r>
  </si>
  <si>
    <r>
      <t>u₃ </t>
    </r>
    <r>
      <rPr>
        <b/>
        <sz val="9"/>
        <color theme="0"/>
        <rFont val="Courier New"/>
        <family val="3"/>
        <charset val="186"/>
      </rPr>
      <t>(λ=2.394)</t>
    </r>
  </si>
  <si>
    <r>
      <t>u₄ </t>
    </r>
    <r>
      <rPr>
        <b/>
        <sz val="9"/>
        <color theme="0"/>
        <rFont val="Courier New"/>
        <family val="3"/>
        <charset val="186"/>
      </rPr>
      <t>(λ=2.394)</t>
    </r>
  </si>
  <si>
    <r>
      <t>u₅ </t>
    </r>
    <r>
      <rPr>
        <b/>
        <sz val="9"/>
        <color theme="0"/>
        <rFont val="Courier New"/>
        <family val="3"/>
        <charset val="186"/>
      </rPr>
      <t>(λ=5.584)</t>
    </r>
  </si>
  <si>
    <r>
      <t>u₆ </t>
    </r>
    <r>
      <rPr>
        <b/>
        <sz val="9"/>
        <color theme="0"/>
        <rFont val="Courier New"/>
        <family val="3"/>
        <charset val="186"/>
      </rPr>
      <t>(λ=5.584)</t>
    </r>
  </si>
  <si>
    <r>
      <t>u₈ </t>
    </r>
    <r>
      <rPr>
        <b/>
        <sz val="9"/>
        <color theme="0"/>
        <rFont val="Courier New"/>
        <family val="3"/>
        <charset val="186"/>
      </rPr>
      <t>(λ=6.854)</t>
    </r>
  </si>
  <si>
    <r>
      <t>u₉ </t>
    </r>
    <r>
      <rPr>
        <b/>
        <sz val="9"/>
        <color theme="0"/>
        <rFont val="Courier New"/>
        <family val="3"/>
        <charset val="186"/>
      </rPr>
      <t>(λ=6.854)</t>
    </r>
  </si>
  <si>
    <r>
      <t>u₁₀ </t>
    </r>
    <r>
      <rPr>
        <b/>
        <sz val="9"/>
        <color theme="0"/>
        <rFont val="Courier New"/>
        <family val="3"/>
        <charset val="186"/>
      </rPr>
      <t>(λ=8.146)</t>
    </r>
  </si>
  <si>
    <r>
      <t>u₁₁ </t>
    </r>
    <r>
      <rPr>
        <b/>
        <sz val="9"/>
        <color theme="0"/>
        <rFont val="Courier New"/>
        <family val="3"/>
        <charset val="186"/>
      </rPr>
      <t>(λ=8.146)</t>
    </r>
  </si>
  <si>
    <r>
      <t>u₁₂ </t>
    </r>
    <r>
      <rPr>
        <b/>
        <sz val="9"/>
        <color theme="0"/>
        <rFont val="Courier New"/>
        <family val="3"/>
        <charset val="186"/>
      </rPr>
      <t>(λ=8.146)</t>
    </r>
  </si>
  <si>
    <t>E2-3</t>
  </si>
  <si>
    <t>E2-10</t>
  </si>
  <si>
    <t>E3-4</t>
  </si>
  <si>
    <t>E3-6</t>
  </si>
  <si>
    <t>E3-11</t>
  </si>
  <si>
    <t>E4-5</t>
  </si>
  <si>
    <t>E4-6</t>
  </si>
  <si>
    <t>E4-7</t>
  </si>
  <si>
    <t>E5-7</t>
  </si>
  <si>
    <t>E5-8</t>
  </si>
  <si>
    <t>E8-12</t>
  </si>
  <si>
    <t>E11-12</t>
  </si>
  <si>
    <t>Edge Archytype</t>
  </si>
  <si>
    <t>Face_A_Energy (Eₐ)</t>
  </si>
  <si>
    <t>Face_B_Energy (Eᵦ)</t>
  </si>
  <si>
    <r>
      <t>"What are our top 3 most stressed relationships in the entire company?"</t>
    </r>
    <r>
      <rPr>
        <sz val="8"/>
        <rFont val="Inter"/>
        <family val="2"/>
        <charset val="186"/>
      </rPr>
      <t> (Sort by Column G, descending).</t>
    </r>
  </si>
  <si>
    <r>
      <t>"Where is our 'Financial Capital' energy failing to flow effectively?"</t>
    </r>
    <r>
      <rPr>
        <sz val="8"/>
        <rFont val="Inter"/>
        <family val="2"/>
        <charset val="186"/>
      </rPr>
      <t> (Filter by Column B or C to see all edges connected to Face 1).</t>
    </r>
  </si>
  <si>
    <r>
      <t>"Which relationships are the most balanced and harmonious?"</t>
    </r>
    <r>
      <rPr>
        <sz val="8"/>
        <rFont val="Inter"/>
        <family val="2"/>
        <charset val="186"/>
      </rPr>
      <t> (Sort by Column H to find values closest to 1.0).</t>
    </r>
  </si>
  <si>
    <t>Edge Breath Ratio Eₐ-Eᵦ</t>
  </si>
  <si>
    <t>Edge KPI Name</t>
  </si>
  <si>
    <t>Edge KPI Value</t>
  </si>
  <si>
    <t>Edge KPI Coherence</t>
  </si>
  <si>
    <r>
      <t>Pair 1 (Face 1 ↔ 11):</t>
    </r>
    <r>
      <rPr>
        <sz val="8"/>
        <rFont val="Inter"/>
        <family val="2"/>
        <charset val="186"/>
      </rPr>
      <t> Financial Capital ↔ Funding Pipeline </t>
    </r>
    <r>
      <rPr>
        <i/>
        <sz val="8"/>
        <rFont val="Inter"/>
        <family val="2"/>
        <charset val="186"/>
      </rPr>
      <t>(The "Resource Flow" Axis)</t>
    </r>
  </si>
  <si>
    <r>
      <t>Pair 2 (Face 2 ↔ 7):</t>
    </r>
    <r>
      <rPr>
        <sz val="8"/>
        <rFont val="Inter"/>
        <family val="2"/>
        <charset val="186"/>
      </rPr>
      <t> Intellectual Capital ↔ Brand &amp; Reputation </t>
    </r>
    <r>
      <rPr>
        <i/>
        <sz val="8"/>
        <rFont val="Inter"/>
        <family val="2"/>
        <charset val="186"/>
      </rPr>
      <t>(The "Substance &amp; Story" Axis)</t>
    </r>
  </si>
  <si>
    <r>
      <t>Pair 3 (Face 3 ↔ 8):</t>
    </r>
    <r>
      <rPr>
        <sz val="8"/>
        <rFont val="Inter"/>
        <family val="2"/>
        <charset val="186"/>
      </rPr>
      <t> Human Capital ↔ Core Operations </t>
    </r>
    <r>
      <rPr>
        <i/>
        <sz val="8"/>
        <rFont val="Inter"/>
        <family val="2"/>
        <charset val="186"/>
      </rPr>
      <t>(The "Being &amp; Doing" Axis)</t>
    </r>
  </si>
  <si>
    <r>
      <t>Pair 4 (Face 4 ↔ 9):</t>
    </r>
    <r>
      <rPr>
        <sz val="8"/>
        <rFont val="Inter"/>
        <family val="2"/>
        <charset val="186"/>
      </rPr>
      <t> Structural Capital ↔ Regenerative Flow </t>
    </r>
    <r>
      <rPr>
        <i/>
        <sz val="8"/>
        <rFont val="Inter"/>
        <family val="2"/>
        <charset val="186"/>
      </rPr>
      <t>(The "Form &amp; Integrity" Axis)</t>
    </r>
  </si>
  <si>
    <r>
      <t>Pair 5 (Face 5 ↔ 10):</t>
    </r>
    <r>
      <rPr>
        <sz val="8"/>
        <rFont val="Inter"/>
        <family val="2"/>
        <charset val="186"/>
      </rPr>
      <t> Market Resonance ↔ Foundational Values </t>
    </r>
    <r>
      <rPr>
        <i/>
        <sz val="8"/>
        <rFont val="Inter"/>
        <family val="2"/>
        <charset val="186"/>
      </rPr>
      <t>(The "Perception &amp; Truth" Axis)</t>
    </r>
  </si>
  <si>
    <r>
      <t>Pair 6 (Face 6 ↔ 12):</t>
    </r>
    <r>
      <rPr>
        <sz val="8"/>
        <rFont val="Inter"/>
        <family val="2"/>
        <charset val="186"/>
      </rPr>
      <t> Community &amp; Partners ↔ Risk &amp; Resilience </t>
    </r>
    <r>
      <rPr>
        <i/>
        <sz val="8"/>
        <rFont val="Inter"/>
        <family val="2"/>
        <charset val="186"/>
      </rPr>
      <t>(The "Network &amp; Fortress" Axis)</t>
    </r>
  </si>
  <si>
    <t>Archetype</t>
  </si>
  <si>
    <t>Component</t>
  </si>
  <si>
    <r>
      <t>Purpose: To provide a high-level, strategic view of the six primary energetic balances within the organization. This sheet calculates the "inhale/exhale" dynamic for each of the six geometrically-defined harmonic pairs. It is the "macro-scope" that reveals the fundamental state of equilibrium or disequilibrium in the system, complementing the tactical, neighbor-to-neighbor view of the </t>
    </r>
    <r>
      <rPr>
        <b/>
        <sz val="8"/>
        <rFont val="Courier New"/>
        <family val="3"/>
        <charset val="186"/>
      </rPr>
      <t>EDGE_TENSION_MAP</t>
    </r>
    <r>
      <rPr>
        <b/>
        <sz val="8"/>
        <rFont val="Inter"/>
        <family val="2"/>
        <charset val="186"/>
      </rPr>
      <t>.</t>
    </r>
  </si>
  <si>
    <t>Face Energy</t>
  </si>
  <si>
    <t>Status/Interpretation</t>
  </si>
  <si>
    <t>Pair 1 (F1 ↔ F11)</t>
  </si>
  <si>
    <t>Resource Flow Axis</t>
  </si>
  <si>
    <t>Projection (Exhale): Funding Pursuit</t>
  </si>
  <si>
    <t>Reception (Inhale): Capital Held</t>
  </si>
  <si>
    <t>Pair 2 (F2 ↔ F7)</t>
  </si>
  <si>
    <t>Projection (Exhale): Brand Projected</t>
  </si>
  <si>
    <t>Reception (Inhale): IP Embodied</t>
  </si>
  <si>
    <t>Substance &amp; Story Axis</t>
  </si>
  <si>
    <t>Pair 3 (F3 ↔ F8)</t>
  </si>
  <si>
    <t>Projection (Exhale): Operations Done</t>
  </si>
  <si>
    <t>Reception (Inhale): Human Energy</t>
  </si>
  <si>
    <t>Pair 4 (F4 ↔ F9)</t>
  </si>
  <si>
    <t>Projection (Exhale): Structures Built</t>
  </si>
  <si>
    <t>Reception (Inhale): Regen. Flow</t>
  </si>
  <si>
    <t>Pair 5 (F5 ↔ F10)</t>
  </si>
  <si>
    <t>Projection (Exhale): Market Resonance</t>
  </si>
  <si>
    <t>Reception (Inhale): Values Embodied</t>
  </si>
  <si>
    <t>Pair 6 (F6 ↔ F12)</t>
  </si>
  <si>
    <t>Projection (Exhale): Community Built</t>
  </si>
  <si>
    <t>Reception (Inhale): Resilience Held</t>
  </si>
  <si>
    <t>A score above 1.2 suggests the organization is receiving/holding more energy than it is projecting/acting. A score below 0.8 suggests it is projecting/acting with more energy than it is receiving/regenerating.</t>
  </si>
  <si>
    <t>Being &amp; Doing Axis</t>
  </si>
  <si>
    <t>Form &amp; Integrity Axis</t>
  </si>
  <si>
    <t>Perception &amp; Truth Axis</t>
  </si>
  <si>
    <t>Network &amp; Fortress Axis</t>
  </si>
  <si>
    <t>TACTICAL LEVERAGE ANALYSIS (KPI LEVEL)</t>
  </si>
  <si>
    <t>Face_ID</t>
  </si>
  <si>
    <t>KPI_Weight (w_fj)</t>
  </si>
  <si>
    <t>Face_Delta (uᵢ(f))</t>
  </si>
  <si>
    <t>Actionable KPI Target</t>
  </si>
  <si>
    <t>Systemic Leverage Score per KPI</t>
  </si>
  <si>
    <t>Department Mean (μ)</t>
  </si>
  <si>
    <t>Dept. Variance (σ²)</t>
  </si>
  <si>
    <t>Octave Mean (μ)</t>
  </si>
  <si>
    <t>Octave Var. (σ²)</t>
  </si>
  <si>
    <t>Octave Coherence (C_o)</t>
  </si>
  <si>
    <t>Department Coherence</t>
  </si>
  <si>
    <t>GLOBAL COHERENCE</t>
  </si>
  <si>
    <t>Dodecahedron's Face</t>
  </si>
  <si>
    <t xml:space="preserve"> </t>
  </si>
  <si>
    <t>Seedling Stage:</t>
  </si>
  <si>
    <t>Octave Coherence</t>
  </si>
  <si>
    <t>O2 - Structure</t>
  </si>
  <si>
    <t>O4 - Creativity</t>
  </si>
  <si>
    <t>Primary Strategic Focus</t>
  </si>
  <si>
    <t>Highest Leverage Action:</t>
  </si>
  <si>
    <t>Diagnostic Indicators:</t>
  </si>
  <si>
    <t>Dissonance Index</t>
  </si>
  <si>
    <t>Being-Action Balance</t>
  </si>
  <si>
    <t>Tactical Solution:</t>
  </si>
  <si>
    <t>Weighted Octave Sum:</t>
  </si>
  <si>
    <t>Foundational Octave Health Score:</t>
  </si>
  <si>
    <t>Organizational Octave</t>
  </si>
  <si>
    <t>Octave Of the Organization:</t>
  </si>
  <si>
    <t>Organizatio's Octave</t>
  </si>
  <si>
    <r>
      <rPr>
        <b/>
        <sz val="18"/>
        <color rgb="FFE2E2E5"/>
        <rFont val="Inter"/>
        <family val="2"/>
        <charset val="186"/>
      </rPr>
      <t>GLOBAL COHERENCE</t>
    </r>
    <r>
      <rPr>
        <b/>
        <sz val="14"/>
        <color rgb="FFE2E2E5"/>
        <rFont val="Inter"/>
        <family val="2"/>
        <charset val="186"/>
      </rPr>
      <t xml:space="preserve"> </t>
    </r>
    <r>
      <rPr>
        <sz val="11"/>
        <color rgb="FFE2E2E5"/>
        <rFont val="Inter"/>
        <family val="2"/>
        <charset val="186"/>
      </rPr>
      <t>(Spiral Integrity Score)</t>
    </r>
  </si>
  <si>
    <t>Indicator 2: Dominant Mode Energy (DME)</t>
  </si>
  <si>
    <t>System's core pattern</t>
  </si>
  <si>
    <t>Axis 1: The Resource Axis</t>
  </si>
  <si>
    <t>Axis 2: The Embodiment Axis</t>
  </si>
  <si>
    <t>Axis 3: The Action Axis</t>
  </si>
  <si>
    <t>Axis 4: The Integrity Axis</t>
  </si>
  <si>
    <t>Axis 5: The Truth Axis</t>
  </si>
  <si>
    <t>Axis 6: The Resilience Axis</t>
  </si>
  <si>
    <r>
      <t>Projection Face:</t>
    </r>
    <r>
      <rPr>
        <sz val="8"/>
        <rFont val="Inter"/>
        <family val="2"/>
        <charset val="186"/>
      </rPr>
      <t> </t>
    </r>
    <r>
      <rPr>
        <sz val="8"/>
        <rFont val="Courier New"/>
        <family val="3"/>
        <charset val="186"/>
      </rPr>
      <t>F11: Funding Pipeline</t>
    </r>
    <r>
      <rPr>
        <sz val="8"/>
        <rFont val="Inter"/>
        <family val="2"/>
        <charset val="186"/>
      </rPr>
      <t> (The act of seeking resources)</t>
    </r>
  </si>
  <si>
    <r>
      <t>Reception Face:</t>
    </r>
    <r>
      <rPr>
        <sz val="8"/>
        <rFont val="Inter"/>
        <family val="2"/>
        <charset val="186"/>
      </rPr>
      <t> </t>
    </r>
    <r>
      <rPr>
        <sz val="8"/>
        <rFont val="Courier New"/>
        <family val="3"/>
        <charset val="186"/>
      </rPr>
      <t>F1: Financial Capital</t>
    </r>
    <r>
      <rPr>
        <sz val="8"/>
        <rFont val="Inter"/>
        <family val="2"/>
        <charset val="186"/>
      </rPr>
      <t> (The resources held)</t>
    </r>
  </si>
  <si>
    <r>
      <t>Projection Face:</t>
    </r>
    <r>
      <rPr>
        <sz val="8"/>
        <rFont val="Inter"/>
        <family val="2"/>
        <charset val="186"/>
      </rPr>
      <t> </t>
    </r>
    <r>
      <rPr>
        <sz val="8"/>
        <rFont val="Courier New"/>
        <family val="3"/>
        <charset val="186"/>
      </rPr>
      <t>F7: Brand &amp; Reputation</t>
    </r>
    <r>
      <rPr>
        <sz val="8"/>
        <rFont val="Inter"/>
        <family val="2"/>
        <charset val="186"/>
      </rPr>
      <t> (The story told)</t>
    </r>
  </si>
  <si>
    <r>
      <t>Reception Face:</t>
    </r>
    <r>
      <rPr>
        <sz val="8"/>
        <rFont val="Inter"/>
        <family val="2"/>
        <charset val="186"/>
      </rPr>
      <t> </t>
    </r>
    <r>
      <rPr>
        <sz val="8"/>
        <rFont val="Courier New"/>
        <family val="3"/>
        <charset val="186"/>
      </rPr>
      <t>F2: Intellectual Capital</t>
    </r>
    <r>
      <rPr>
        <sz val="8"/>
        <rFont val="Inter"/>
        <family val="2"/>
        <charset val="186"/>
      </rPr>
      <t> (The substance built)</t>
    </r>
  </si>
  <si>
    <r>
      <t>Projection Face:</t>
    </r>
    <r>
      <rPr>
        <sz val="8"/>
        <rFont val="Inter"/>
        <family val="2"/>
        <charset val="186"/>
      </rPr>
      <t> </t>
    </r>
    <r>
      <rPr>
        <sz val="8"/>
        <rFont val="Courier New"/>
        <family val="3"/>
        <charset val="186"/>
      </rPr>
      <t>F8: Core Operations</t>
    </r>
    <r>
      <rPr>
        <sz val="8"/>
        <rFont val="Inter"/>
        <family val="2"/>
        <charset val="186"/>
      </rPr>
      <t> (The work done)</t>
    </r>
  </si>
  <si>
    <r>
      <t>Reception Face:</t>
    </r>
    <r>
      <rPr>
        <sz val="8"/>
        <rFont val="Inter"/>
        <family val="2"/>
        <charset val="186"/>
      </rPr>
      <t> </t>
    </r>
    <r>
      <rPr>
        <sz val="8"/>
        <rFont val="Courier New"/>
        <family val="3"/>
        <charset val="186"/>
      </rPr>
      <t>F3: Human Capital</t>
    </r>
    <r>
      <rPr>
        <sz val="8"/>
        <rFont val="Inter"/>
        <family val="2"/>
        <charset val="186"/>
      </rPr>
      <t> (The energy to do work)</t>
    </r>
  </si>
  <si>
    <r>
      <t>Projection Face:</t>
    </r>
    <r>
      <rPr>
        <sz val="8"/>
        <rFont val="Inter"/>
        <family val="2"/>
        <charset val="186"/>
      </rPr>
      <t> </t>
    </r>
    <r>
      <rPr>
        <sz val="8"/>
        <rFont val="Courier New"/>
        <family val="3"/>
        <charset val="186"/>
      </rPr>
      <t>F4: Structural Capital</t>
    </r>
    <r>
      <rPr>
        <sz val="8"/>
        <rFont val="Inter"/>
        <family val="2"/>
        <charset val="186"/>
      </rPr>
      <t> (The rules made)</t>
    </r>
  </si>
  <si>
    <r>
      <t>Reception Face:</t>
    </r>
    <r>
      <rPr>
        <sz val="8"/>
        <rFont val="Inter"/>
        <family val="2"/>
        <charset val="186"/>
      </rPr>
      <t> </t>
    </r>
    <r>
      <rPr>
        <sz val="8"/>
        <rFont val="Courier New"/>
        <family val="3"/>
        <charset val="186"/>
      </rPr>
      <t>F9: Regenerative Flow</t>
    </r>
    <r>
      <rPr>
        <sz val="8"/>
        <rFont val="Inter"/>
        <family val="2"/>
        <charset val="186"/>
      </rPr>
      <t> (The living integrity)</t>
    </r>
  </si>
  <si>
    <r>
      <t>Projection Face:</t>
    </r>
    <r>
      <rPr>
        <sz val="8"/>
        <rFont val="Inter"/>
        <family val="2"/>
        <charset val="186"/>
      </rPr>
      <t> </t>
    </r>
    <r>
      <rPr>
        <sz val="8"/>
        <rFont val="Courier New"/>
        <family val="3"/>
        <charset val="186"/>
      </rPr>
      <t>F5: Market Resonance</t>
    </r>
    <r>
      <rPr>
        <sz val="8"/>
        <rFont val="Inter"/>
        <family val="2"/>
        <charset val="186"/>
      </rPr>
      <t> (The truth perceived by others)</t>
    </r>
  </si>
  <si>
    <r>
      <t>Reception Face:</t>
    </r>
    <r>
      <rPr>
        <sz val="8"/>
        <rFont val="Inter"/>
        <family val="2"/>
        <charset val="186"/>
      </rPr>
      <t> </t>
    </r>
    <r>
      <rPr>
        <sz val="8"/>
        <rFont val="Courier New"/>
        <family val="3"/>
        <charset val="186"/>
      </rPr>
      <t>F10: Foundational Values</t>
    </r>
    <r>
      <rPr>
        <sz val="8"/>
        <rFont val="Inter"/>
        <family val="2"/>
        <charset val="186"/>
      </rPr>
      <t> (The truth held within)</t>
    </r>
  </si>
  <si>
    <r>
      <t>Projection Face:</t>
    </r>
    <r>
      <rPr>
        <sz val="8"/>
        <rFont val="Inter"/>
        <family val="2"/>
        <charset val="186"/>
      </rPr>
      <t> </t>
    </r>
    <r>
      <rPr>
        <sz val="8"/>
        <rFont val="Courier New"/>
        <family val="3"/>
        <charset val="186"/>
      </rPr>
      <t>F6: Community &amp; Partners</t>
    </r>
    <r>
      <rPr>
        <sz val="8"/>
        <rFont val="Inter"/>
        <family val="2"/>
        <charset val="186"/>
      </rPr>
      <t> (The external network)</t>
    </r>
  </si>
  <si>
    <r>
      <t>Reception Face:</t>
    </r>
    <r>
      <rPr>
        <sz val="8"/>
        <rFont val="Inter"/>
        <family val="2"/>
        <charset val="186"/>
      </rPr>
      <t> </t>
    </r>
    <r>
      <rPr>
        <sz val="8"/>
        <rFont val="Courier New"/>
        <family val="3"/>
        <charset val="186"/>
      </rPr>
      <t>F12: Risk &amp; Resilience</t>
    </r>
    <r>
      <rPr>
        <sz val="8"/>
        <rFont val="Inter"/>
        <family val="2"/>
        <charset val="186"/>
      </rPr>
      <t> (The internal fortress)</t>
    </r>
  </si>
  <si>
    <t>(Dynamic) Projection Pole Faces:</t>
  </si>
  <si>
    <t>(Dynamic) Reception Pole Faces:</t>
  </si>
  <si>
    <t>Market Community Engagement</t>
  </si>
  <si>
    <t>Structural Resonance</t>
  </si>
  <si>
    <t>Metric / How to Measure (The "What")</t>
  </si>
  <si>
    <t>A qualitative score (1-5) from a survey of key external stakeholders (advisors, early partners) asking them to rate the "clarity and coherence of our organizational design."</t>
  </si>
  <si>
    <t>= (VALUE - 1) / (5 - 1) &lt;br&gt; Simple normalization of the survey score.</t>
  </si>
  <si>
    <t>Calculation System (The "How")</t>
  </si>
  <si>
    <t>A comparison between Net Promoter Score (NPS) (a measure of brand loyalty) and Customer Satisfaction Score (CSAT) (a measure of product experience).</t>
  </si>
  <si>
    <t>Brand-Experience Coherence</t>
  </si>
  <si>
    <t>= MIN(NPS_normalized, CSAT_normalized) / MAX(NPS_normalized, CSAT_normalized) &lt;br&gt; A ratio that is 1.0 when they are equal and trends to 0 as they diverge.</t>
  </si>
  <si>
    <t>Embodied Governance</t>
  </si>
  <si>
    <t>Engagement_Score_Normalized / (1 + LOG(Number_of_Policies, 10)) &lt;br&gt; A sophisticated ratio where the positive impact of engagement is tempered by the complexity of bureaucracy.</t>
  </si>
  <si>
    <t>A ratio of Employee Engagement Score vs. Number of Formal Policies/Rules. We want high engagement with minimal rules.</t>
  </si>
  <si>
    <t>Regenerative Capital Allocation</t>
  </si>
  <si>
    <t>The ratio of Budget Allocated to Regenerative Projects vs. Total Operating Budget.</t>
  </si>
  <si>
    <t>= Regenerative_Budget / Total_Op_Budget &lt;br&gt; A simple, powerful percentage.</t>
  </si>
  <si>
    <t>IP Generosity Rate</t>
  </si>
  <si>
    <t>The ratio of Open Source / Creative Commons Contributions vs. Closed / Patented IP assets.</t>
  </si>
  <si>
    <t>= Open_Contributions / (Open_Contributions + Closed_Assets) &lt;br&gt; A simple percentage showing the "generosity" of the IP portfolio.</t>
  </si>
  <si>
    <t>Reputational Resilience</t>
  </si>
  <si>
    <t>A qualitative score (1-5) derived from a "crisis simulation" or a wargaming exercise. How quickly and coherently can the team respond to a hypothetical PR crisis?</t>
  </si>
  <si>
    <t>= (Value - 1) / (5 - 1) &lt;br&gt; A normalized score of the team's simulated performance.</t>
  </si>
  <si>
    <t>Funding Alignment Index</t>
  </si>
  <si>
    <t>A qualitative score (1-5) assigned to each potential funding source based on a "values-alignment checklist." The KPI is the weighted average score of the current funding pipeline.</t>
  </si>
  <si>
    <t>= (Weighted_Average_Score - 1) / (5 - 1)</t>
  </si>
  <si>
    <t>Vision Embodiment Rate</t>
  </si>
  <si>
    <t>The ratio of Tangible IP Created (e.g., pages of thesis written, code modules completed) vs. Hours of Founder's Work Logged.</t>
  </si>
  <si>
    <t>IP_Units_Created / Hours_Worked &lt;br&gt; A direct measure of the "Vision-to-IP Conversion Rate" that we identified as a key blockage.</t>
  </si>
  <si>
    <t>Reputational Integrity</t>
  </si>
  <si>
    <t>A qualitative score (1-5) from an external ethics audit or a public perception survey. Do stakeholders perceive our governance and structure as fair, transparent, and aligned with our brand?</t>
  </si>
  <si>
    <t>= (Value - 1) / (5 - 1) &lt;br&gt; Simple normalization of the survey/audit score.</t>
  </si>
  <si>
    <t>Investor Readiness Score</t>
  </si>
  <si>
    <t>A checklist-based score (0-100%). (Legal Entity Formalized? +20, Founder Agreement in Place? +20, Financial Projections Built? +30, etc.)</t>
  </si>
  <si>
    <t>= Value / 100 &lt;br&gt; A simple percentage of readiness.</t>
  </si>
  <si>
    <t>The average number of days from "handshake agreement" to a fully signed, operational partnership agreement. This is a KPI where lower is better.</t>
  </si>
  <si>
    <t>= 1 - (Value / Max_Days_Target) &lt;br&gt; e.g., if target is 30 days, 1 - (Days / 30). Inverted to be a 0-1 coherence score.</t>
  </si>
  <si>
    <t>Resonance ROI</t>
  </si>
  <si>
    <t>The ratio of a Brand Awareness Metric (e.g., website visitors, social media impressions) to the Marketing &amp; Comms Budget.</t>
  </si>
  <si>
    <t>(Awareness_Metric / Budget) / Target_Ratio &lt;br&gt; Normalized against a benchmark to get a 0-1 score.</t>
  </si>
  <si>
    <t>The Mean Time To Recover (MTTR) from a simulated or real system failure (e.g., website down, key software fails). Lower is better.</t>
  </si>
  <si>
    <t>= 1 - (MTTR_hours / Max_Acceptable_Downtime_hours) &lt;br&gt; Inverted to be a 0-1 coherence score.</t>
  </si>
  <si>
    <t>Operational Resilience</t>
  </si>
  <si>
    <t>Values Embodyment Score</t>
  </si>
  <si>
    <t>The ratio of the # of Documented Regenerative Choices (KPI E1.1) to the # of Documented Value Alignment Checks (KPI L3.1).</t>
  </si>
  <si>
    <t>= (KPI_E1.1_Value / KPI_L3.1_Value) &lt;br&gt; A direct measure of how many value-checks result in a regenerative choice. Target is 1.0.</t>
  </si>
  <si>
    <t>Funding Diversification Index</t>
  </si>
  <si>
    <t>Calculated using the Herfindahl-Hirschman Index (HHI) on the potential funding sources in the pipeline. Σ (% share of each source)². A score near 1 = high concentration; a score near 0 = high diversification. Lower is better.</t>
  </si>
  <si>
    <t>= 1 - HHI_Score &lt;br&gt; Inverted to be a 0-1 coherence score.</t>
  </si>
  <si>
    <t>Cultural Integrity</t>
  </si>
  <si>
    <t>A simple, anonymous team poll (even with just 2-3 people). "On a scale of 1-10, how well did we live our values this week?" The KPI is the average score.</t>
  </si>
  <si>
    <t>= (Value - 1) / (10 - 1)</t>
  </si>
  <si>
    <t>Ethical Resilience</t>
  </si>
  <si>
    <t>A score from a "crisis scenario" exercise. Faced with a difficult choice (e.g., take misaligned funding or face collapse), does the team adhere to its values? Scored 1-5.</t>
  </si>
  <si>
    <t>= (Value - 1) / (5 - 1)</t>
  </si>
  <si>
    <t>Ecosystem Knowledge Flow</t>
  </si>
  <si>
    <t>A qualitative score (1-5) based on the frequency and depth of collaborative sessions, feedback loops, and co-creative workshops with partners.</t>
  </si>
  <si>
    <t>Ethical IP Score</t>
  </si>
  <si>
    <t>A qualitative score (1-5) from an internal "ethics review" of the IP. Does it promote regeneration? Does it respect privacy? Is it honest?</t>
  </si>
  <si>
    <t>Operational ROI</t>
  </si>
  <si>
    <t>The ratio of Operational Output (e.g., units of IP created) to the Operational Budget Spent.</t>
  </si>
  <si>
    <t>= Output / Budget</t>
  </si>
  <si>
    <t>IP Monetization Potential</t>
  </si>
  <si>
    <t>A qualitative score (1-10) based on an assessment of the IP's market relevance, defensibility, and potential revenue models.</t>
  </si>
  <si>
    <t>Community Investment Ratio</t>
  </si>
  <si>
    <t>The ratio of Value returned to community (e.g., local sourcing spend, donations) vs. Value extracted from community (e.g., revenue from that community).</t>
  </si>
  <si>
    <t>Value_Returned / Value_Extracted</t>
  </si>
  <si>
    <t>Ecosystem Co-creation Rate</t>
  </si>
  <si>
    <t>The ratio of Hours spent in co-creative sessions with partners vs. Total internal project hours.</t>
  </si>
  <si>
    <t>Co-creative_Hours / Total_Hours</t>
  </si>
  <si>
    <t>Brand Capitalization Score</t>
  </si>
  <si>
    <t>A qualitative score (1-10) from investor/funder feedback. "How much did our brand's clarity and reputation influence your interest?" The KPI is the average score.</t>
  </si>
  <si>
    <t>Perception Integrity</t>
  </si>
  <si>
    <t xml:space="preserve">The ratio of Short-term Engagement Metrics (e.g., social media likes/shares) vs. Long-term Trust Metrics (e.g., brand trust surveys, Net Promoter Score).	</t>
  </si>
  <si>
    <t>Short_Term_Normalized / Long_Term_Normalized</t>
  </si>
  <si>
    <t xml:space="preserve">Partnership Onboarding Friction </t>
  </si>
  <si>
    <t>Regenerative Resilience</t>
  </si>
  <si>
    <t>A qualitative score (1-5) from a "resilience wargame." "If a primary supplier collapses, to what degree does our commitment to local/circular/regenerative alternatives insulate us from the shock?"</t>
  </si>
  <si>
    <t>= (Value - 1) / (5 - 1) &lt;br&gt; A normalized score of the system's simulated resilience.</t>
  </si>
  <si>
    <t>Founder-Funder Resonance</t>
  </si>
  <si>
    <t>A qualitative score (1-10) assessing the alignment and quality of relationships within the funding pipeline. "How much genuine trust and shared-values resonance exists with our top funding prospects?"</t>
  </si>
  <si>
    <t>Process Regeneration Rate</t>
  </si>
  <si>
    <t>A checklist-based score. List the top 5 core processes. The KPI is the percentage of those processes that have a documented regenerative practice embedded within them (e.g., using green hosting, ethical sourcing, circular design principles).</t>
  </si>
  <si>
    <t>= Value / 100 &lt;br&gt; A simple percentage of process integrity.</t>
  </si>
  <si>
    <t>Brand-Operational Integrity</t>
  </si>
  <si>
    <t>A ratio comparing an external brand metric with an internal quality metric. E.g., Brand Trust Score from a stakeholder survey vs. (1 - Internal Defect/Error Rate)</t>
  </si>
  <si>
    <t>= MIN(Brand_Score_Norm, Quality_Score_Norm) / MAX(Brand_Score_Norm, Quality_Score_Norm) &lt;br&gt; A ratio that is 1.0 when perfectly aligned and trends to 0 as they diverge.</t>
  </si>
  <si>
    <t>Wight (w)</t>
  </si>
  <si>
    <t>Pentagram Calculation Engine</t>
  </si>
  <si>
    <t>Weighted Average (K̄):</t>
  </si>
  <si>
    <t>Star Pair Values (sᵢ):</t>
  </si>
  <si>
    <r>
      <t>(Helper cells to calculate </t>
    </r>
    <r>
      <rPr>
        <sz val="8"/>
        <color rgb="FFE2E2E5"/>
        <rFont val="Courier New"/>
        <family val="3"/>
        <charset val="186"/>
      </rPr>
      <t>s₁</t>
    </r>
    <r>
      <rPr>
        <sz val="8"/>
        <color rgb="FFE2E2E5"/>
        <rFont val="Inter"/>
        <family val="2"/>
        <charset val="186"/>
      </rPr>
      <t> through </t>
    </r>
    <r>
      <rPr>
        <sz val="8"/>
        <color rgb="FFE2E2E5"/>
        <rFont val="Courier New"/>
        <family val="3"/>
        <charset val="186"/>
      </rPr>
      <t>s₅</t>
    </r>
    <r>
      <rPr>
        <sz val="8"/>
        <color rgb="FFE2E2E5"/>
        <rFont val="Inter"/>
        <family val="2"/>
        <charset val="186"/>
      </rPr>
      <t>)</t>
    </r>
  </si>
  <si>
    <r>
      <t>s₁ (k₁+k₃)</t>
    </r>
    <r>
      <rPr>
        <sz val="8"/>
        <color rgb="FFE2E2E5"/>
        <rFont val="Inter"/>
        <family val="2"/>
        <charset val="186"/>
      </rPr>
      <t>:</t>
    </r>
  </si>
  <si>
    <r>
      <t>s₂ (k₂+k₄)</t>
    </r>
    <r>
      <rPr>
        <sz val="8"/>
        <color rgb="FFE2E2E5"/>
        <rFont val="Inter"/>
        <family val="2"/>
        <charset val="186"/>
      </rPr>
      <t>:</t>
    </r>
  </si>
  <si>
    <t>Intersection Nodes (pᵢ):</t>
  </si>
  <si>
    <r>
      <t>(Helper cells for </t>
    </r>
    <r>
      <rPr>
        <sz val="8"/>
        <color rgb="FFE2E2E5"/>
        <rFont val="Courier New"/>
        <family val="3"/>
        <charset val="186"/>
      </rPr>
      <t>p₁</t>
    </r>
    <r>
      <rPr>
        <sz val="8"/>
        <color rgb="FFE2E2E5"/>
        <rFont val="Inter"/>
        <family val="2"/>
        <charset val="186"/>
      </rPr>
      <t> through </t>
    </r>
    <r>
      <rPr>
        <sz val="8"/>
        <color rgb="FFE2E2E5"/>
        <rFont val="Courier New"/>
        <family val="3"/>
        <charset val="186"/>
      </rPr>
      <t>p₅</t>
    </r>
    <r>
      <rPr>
        <sz val="8"/>
        <color rgb="FFE2E2E5"/>
        <rFont val="Inter"/>
        <family val="2"/>
        <charset val="186"/>
      </rPr>
      <t>)</t>
    </r>
  </si>
  <si>
    <r>
      <t>p₁ (s₁+s₅)</t>
    </r>
    <r>
      <rPr>
        <sz val="8"/>
        <color rgb="FFE2E2E5"/>
        <rFont val="Inter"/>
        <family val="2"/>
        <charset val="186"/>
      </rPr>
      <t>:</t>
    </r>
  </si>
  <si>
    <t>Center Composite (C):</t>
  </si>
  <si>
    <t>The ''Ball" (Primary Face KPI)</t>
  </si>
  <si>
    <t>The 5 "Pillars" (Connecting Edge KPIs)</t>
  </si>
  <si>
    <t>Pentagram Analysis of Pillars</t>
  </si>
  <si>
    <t>Weighted Avg. of Pillars (K):</t>
  </si>
  <si>
    <t xml:space="preserve">Nuanced Avg. Pillar Health: </t>
  </si>
  <si>
    <t>Pillar Symetry Score (S_f):</t>
  </si>
  <si>
    <t>Final Face Health Synthesis</t>
  </si>
  <si>
    <t>Self-Coherence (Ball Health):</t>
  </si>
  <si>
    <t>Relational Coherence (Pillar Health):</t>
  </si>
  <si>
    <t>Structural Integrity (Pillar Symmetry):</t>
  </si>
  <si>
    <t>LOCAL COHERENCE SCORE (E_f)</t>
  </si>
  <si>
    <t>Axis-Informed Grand Synthesis</t>
  </si>
  <si>
    <t>1. Local Coherence Score:</t>
  </si>
  <si>
    <t>3. Axis Coherence Factor (δ):</t>
  </si>
  <si>
    <t xml:space="preserve">FINAL, AXIS-INFORMED FACE ENERGY (E_f):	</t>
  </si>
  <si>
    <r>
      <t>s₃ (k₃+k₅)</t>
    </r>
    <r>
      <rPr>
        <sz val="8"/>
        <color rgb="FFE2E2E5"/>
        <rFont val="Inter"/>
        <family val="2"/>
        <charset val="186"/>
      </rPr>
      <t>:</t>
    </r>
  </si>
  <si>
    <r>
      <t>s₄ (k₄+k₁)</t>
    </r>
    <r>
      <rPr>
        <sz val="8"/>
        <color rgb="FFE2E2E5"/>
        <rFont val="Inter"/>
        <family val="2"/>
        <charset val="186"/>
      </rPr>
      <t>:</t>
    </r>
  </si>
  <si>
    <r>
      <t>s₅ (k₅+k₂)</t>
    </r>
    <r>
      <rPr>
        <sz val="8"/>
        <color rgb="FFE2E2E5"/>
        <rFont val="Inter"/>
        <family val="2"/>
        <charset val="186"/>
      </rPr>
      <t>:</t>
    </r>
  </si>
  <si>
    <t xml:space="preserve">Constant: α = </t>
  </si>
  <si>
    <t xml:space="preserve">Constant: β = </t>
  </si>
  <si>
    <r>
      <t>p₂ (s₅+s₄)</t>
    </r>
    <r>
      <rPr>
        <sz val="8"/>
        <color rgb="FFE2E2E5"/>
        <rFont val="Inter"/>
        <family val="2"/>
        <charset val="186"/>
      </rPr>
      <t>:</t>
    </r>
  </si>
  <si>
    <r>
      <t>p₃ (s₄+s₃)</t>
    </r>
    <r>
      <rPr>
        <sz val="8"/>
        <color rgb="FFE2E2E5"/>
        <rFont val="Inter"/>
        <family val="2"/>
        <charset val="186"/>
      </rPr>
      <t>:</t>
    </r>
  </si>
  <si>
    <r>
      <t>p₄ (s₃+s₂)</t>
    </r>
    <r>
      <rPr>
        <sz val="8"/>
        <color rgb="FFE2E2E5"/>
        <rFont val="Inter"/>
        <family val="2"/>
        <charset val="186"/>
      </rPr>
      <t>:</t>
    </r>
  </si>
  <si>
    <r>
      <t>p₅ (s₂+s₁)</t>
    </r>
    <r>
      <rPr>
        <sz val="8"/>
        <color rgb="FFE2E2E5"/>
        <rFont val="Inter"/>
        <family val="2"/>
        <charset val="186"/>
      </rPr>
      <t>:</t>
    </r>
  </si>
  <si>
    <t xml:space="preserve">Constant γ = </t>
  </si>
  <si>
    <t>Nuanced Avg. Pillar Health:</t>
  </si>
  <si>
    <t>r₁ (k₁+k₃)</t>
  </si>
  <si>
    <t>r₂ (k₂+k₄)</t>
  </si>
  <si>
    <t>r₃ (k₃+k₅)</t>
  </si>
  <si>
    <t>r₄ (k₄+k₁)</t>
  </si>
  <si>
    <t>r₅ (k₅+k₂)</t>
  </si>
  <si>
    <t>Pair Sums (rᵢ)</t>
  </si>
  <si>
    <t>Center Composte of Pillars (C):</t>
  </si>
  <si>
    <t>2. Opposing Face Coherence (Face 11):</t>
  </si>
  <si>
    <t>2. Opposing Face Coherence (Face 7):</t>
  </si>
  <si>
    <t>2. Opposing Face Coherence (Face 8):</t>
  </si>
  <si>
    <t>2. Opposing Face Coherence (Face 9):</t>
  </si>
  <si>
    <t>2. Opposing Face Coherence (Face 10):</t>
  </si>
  <si>
    <t>2. Opposing Face Coherence (Face 12):</t>
  </si>
  <si>
    <t>2. Opposing Face Coherence (Face 2):</t>
  </si>
  <si>
    <t>2. Opposing Face Coherence (Face 3):</t>
  </si>
  <si>
    <t>2. Opposing Face Coherence (Face 4):</t>
  </si>
  <si>
    <t>2. Opposing Face Coherence (Face 5):</t>
  </si>
  <si>
    <t>2. Opposing Face Coherence (Face 1):</t>
  </si>
  <si>
    <t>2. Opposing Face Coherence (Face 6):</t>
  </si>
  <si>
    <t>(BAB Score)</t>
  </si>
  <si>
    <t>Final BAB Score:</t>
  </si>
  <si>
    <t>edge tension to be redistributed based on the projection and reception</t>
  </si>
  <si>
    <t>Final_Axis_Face_Energy</t>
  </si>
  <si>
    <t>Rationale / Strategic Philosophy</t>
  </si>
  <si>
    <t>A classic "more is better" survival metric. At this stage, there is no such thing as too much runway. The goal is to maximize viability. A Target_Ideal of 12 months represents a full year of stability, the gold standard for an early-stage venture.</t>
  </si>
  <si>
    <t>This is the archetypal "Plateau of Coherence." The goal is not maximum energy (mania), but a sustainable, creative flow. The 7-8.5 range is defined as the healthy, resonant state of being.</t>
  </si>
  <si>
    <t>Healthy_Max</t>
  </si>
  <si>
    <t>Absolute_Max</t>
  </si>
  <si>
    <t>Healthy_Min</t>
  </si>
  <si>
    <t>(N/A)</t>
  </si>
  <si>
    <t>A straightforward project completion metric. The sole purpose of this KPI is to reach 100%, formalizing the core IP of the venture.</t>
  </si>
  <si>
    <t>Another project completion metric. The goal is the full establishment of the foundational governance "spine."</t>
  </si>
  <si>
    <t>A measure of communicative resonance. A score of 4.5 out of 5 represents a profound level of clarity and connection with the audience. The minimum acceptable score is 2; anything less is a failure to communicate.</t>
  </si>
  <si>
    <t>A crucial "quality over quantity" metric. The goal is not endless networking, but a focused, rhythmic engagement with key potential partners. Fewer than 2 conversations/month is stagnation; more than 4 is a distraction; more than 8 is "networking theater."</t>
  </si>
  <si>
    <t>A simple, top-of-funnel activity metric for the early stage. The goal is to establish a consistent, rhythmic voice for the project. 2 high-quality, vision-aligned posts per week is the ideal target for now.</t>
  </si>
  <si>
    <t>A binary, milestone-based metric. It is either done or not done. The goal is to reach the state of "1" (complete).</t>
  </si>
  <si>
    <t>This measures the habit of integrity. The goal is to consciously consider 100% of key operational decisions through a regenerative lens. It is about the process, not (yet) the quantitative outcome.</t>
  </si>
  <si>
    <t>Identical in logic to the Regenerative Choices KPI. This measures the habit of consciously aligning every key strategic decision with the venture's core values.</t>
  </si>
  <si>
    <t>Another critical "quality over quantity" metric. The goal is not to "spray and pray" applications, but to pursue a focused number of high-quality, deeply aligned funding opportunities. 1-4 per month is a healthy, sustainable rhythm of high-quality effort.</t>
  </si>
  <si>
    <t>The first and most important step in building systemic resilience. The immediate goal is to move the system from a fragile state of 1 to a more robust state of 2.</t>
  </si>
  <si>
    <t>KPI formula for BAND (platrau-aware)</t>
  </si>
  <si>
    <t>=IF(AND(Value &gt;= Healthy_Min, Value &lt;= Healthy_Max), 1, IF(Value &lt; Healthy_Min, (Value - Target_Min) / (Healthy_Min - Target_Min), 1 - (Value - Healthy_Max) / (Absolute_Max - Healthy_Max)))</t>
  </si>
  <si>
    <t>This formula remains the same, as it is simple and robust.</t>
  </si>
  <si>
    <r>
      <t>1. The </t>
    </r>
    <r>
      <rPr>
        <b/>
        <sz val="8"/>
        <rFont val="Courier New"/>
        <family val="3"/>
        <charset val="186"/>
      </rPr>
      <t>↑</t>
    </r>
    <r>
      <rPr>
        <b/>
        <sz val="8"/>
        <rFont val="Inter"/>
        <family val="2"/>
        <charset val="186"/>
      </rPr>
      <t> (Up is Better) Formula</t>
    </r>
  </si>
  <si>
    <r>
      <t>Required Columns:</t>
    </r>
    <r>
      <rPr>
        <sz val="8"/>
        <rFont val="Inter"/>
        <family val="2"/>
        <charset val="186"/>
      </rPr>
      <t> </t>
    </r>
    <r>
      <rPr>
        <sz val="8"/>
        <rFont val="Courier New"/>
        <family val="3"/>
        <charset val="186"/>
      </rPr>
      <t>Value</t>
    </r>
    <r>
      <rPr>
        <sz val="8"/>
        <rFont val="Inter"/>
        <family val="2"/>
        <charset val="186"/>
      </rPr>
      <t>, </t>
    </r>
    <r>
      <rPr>
        <sz val="8"/>
        <rFont val="Courier New"/>
        <family val="3"/>
        <charset val="186"/>
      </rPr>
      <t>Target_Min</t>
    </r>
    <r>
      <rPr>
        <sz val="8"/>
        <rFont val="Inter"/>
        <family val="2"/>
        <charset val="186"/>
      </rPr>
      <t>, </t>
    </r>
    <r>
      <rPr>
        <sz val="8"/>
        <rFont val="Courier New"/>
        <family val="3"/>
        <charset val="186"/>
      </rPr>
      <t>Target_Ideal</t>
    </r>
  </si>
  <si>
    <r>
      <t>Formula:</t>
    </r>
    <r>
      <rPr>
        <sz val="8"/>
        <rFont val="Inter"/>
        <family val="2"/>
        <charset val="186"/>
      </rPr>
      <t> </t>
    </r>
    <r>
      <rPr>
        <sz val="8"/>
        <rFont val="Courier New"/>
        <family val="3"/>
        <charset val="186"/>
      </rPr>
      <t>=MAX(0, MIN(1, (Value - Target_Min) / (Target_Ideal - Target_Min)))</t>
    </r>
  </si>
  <si>
    <r>
      <t>Example (</t>
    </r>
    <r>
      <rPr>
        <b/>
        <sz val="8"/>
        <rFont val="Courier New"/>
        <family val="3"/>
        <charset val="186"/>
      </rPr>
      <t>% Thesis Drafted</t>
    </r>
    <r>
      <rPr>
        <b/>
        <sz val="8"/>
        <rFont val="Inter"/>
        <family val="2"/>
        <charset val="186"/>
      </rPr>
      <t>):</t>
    </r>
    <r>
      <rPr>
        <sz val="8"/>
        <rFont val="Inter"/>
        <family val="2"/>
        <charset val="186"/>
      </rPr>
      <t> With </t>
    </r>
    <r>
      <rPr>
        <sz val="8"/>
        <rFont val="Courier New"/>
        <family val="3"/>
        <charset val="186"/>
      </rPr>
      <t>Value=50</t>
    </r>
    <r>
      <rPr>
        <sz val="8"/>
        <rFont val="Inter"/>
        <family val="2"/>
        <charset val="186"/>
      </rPr>
      <t>, </t>
    </r>
    <r>
      <rPr>
        <sz val="8"/>
        <rFont val="Courier New"/>
        <family val="3"/>
        <charset val="186"/>
      </rPr>
      <t>Min=0</t>
    </r>
    <r>
      <rPr>
        <sz val="8"/>
        <rFont val="Inter"/>
        <family val="2"/>
        <charset val="186"/>
      </rPr>
      <t>, </t>
    </r>
    <r>
      <rPr>
        <sz val="8"/>
        <rFont val="Courier New"/>
        <family val="3"/>
        <charset val="186"/>
      </rPr>
      <t>Ideal=100</t>
    </r>
    <r>
      <rPr>
        <sz val="8"/>
        <rFont val="Inter"/>
        <family val="2"/>
        <charset val="186"/>
      </rPr>
      <t>, the score is </t>
    </r>
    <r>
      <rPr>
        <sz val="8"/>
        <rFont val="Courier New"/>
        <family val="3"/>
        <charset val="186"/>
      </rPr>
      <t>(50-0)/(100-0) = 0.5</t>
    </r>
    <r>
      <rPr>
        <sz val="8"/>
        <rFont val="Inter"/>
        <family val="2"/>
        <charset val="186"/>
      </rPr>
      <t>. Perfect.</t>
    </r>
  </si>
  <si>
    <t>This is the inverse of the "Up is Better" formula.</t>
  </si>
  <si>
    <r>
      <t>2. The </t>
    </r>
    <r>
      <rPr>
        <b/>
        <sz val="8"/>
        <rFont val="Courier New"/>
        <family val="3"/>
        <charset val="186"/>
      </rPr>
      <t>↓</t>
    </r>
    <r>
      <rPr>
        <b/>
        <sz val="8"/>
        <rFont val="Inter"/>
        <family val="2"/>
        <charset val="186"/>
      </rPr>
      <t> (Down is Better) Formula</t>
    </r>
  </si>
  <si>
    <r>
      <t>Required Columns:</t>
    </r>
    <r>
      <rPr>
        <sz val="8"/>
        <rFont val="Inter"/>
        <family val="2"/>
        <charset val="186"/>
      </rPr>
      <t> </t>
    </r>
    <r>
      <rPr>
        <sz val="8"/>
        <rFont val="Courier New"/>
        <family val="3"/>
        <charset val="186"/>
      </rPr>
      <t>Value</t>
    </r>
    <r>
      <rPr>
        <sz val="8"/>
        <rFont val="Inter"/>
        <family val="2"/>
        <charset val="186"/>
      </rPr>
      <t>, </t>
    </r>
    <r>
      <rPr>
        <sz val="8"/>
        <rFont val="Courier New"/>
        <family val="3"/>
        <charset val="186"/>
      </rPr>
      <t>Target_Min</t>
    </r>
    <r>
      <rPr>
        <sz val="8"/>
        <rFont val="Inter"/>
        <family val="2"/>
        <charset val="186"/>
      </rPr>
      <t> (this now represents the "dangerously high" number), </t>
    </r>
    <r>
      <rPr>
        <sz val="8"/>
        <rFont val="Courier New"/>
        <family val="3"/>
        <charset val="186"/>
      </rPr>
      <t>Target_Ideal</t>
    </r>
    <r>
      <rPr>
        <sz val="8"/>
        <rFont val="Inter"/>
        <family val="2"/>
        <charset val="186"/>
      </rPr>
      <t> (this represents the perfect "low" score).</t>
    </r>
  </si>
  <si>
    <r>
      <t>Formula:</t>
    </r>
    <r>
      <rPr>
        <sz val="8"/>
        <rFont val="Inter"/>
        <family val="2"/>
        <charset val="186"/>
      </rPr>
      <t> </t>
    </r>
    <r>
      <rPr>
        <sz val="8"/>
        <rFont val="Courier New"/>
        <family val="3"/>
        <charset val="186"/>
      </rPr>
      <t>=MAX(0, MIN(1, 1 - ((Value - Target_Ideal) / (Target_Min - Target_Ideal))))</t>
    </r>
  </si>
  <si>
    <r>
      <t>Example (</t>
    </r>
    <r>
      <rPr>
        <b/>
        <sz val="8"/>
        <rFont val="Courier New"/>
        <family val="3"/>
        <charset val="186"/>
      </rPr>
      <t>Process Error Rate</t>
    </r>
    <r>
      <rPr>
        <b/>
        <sz val="8"/>
        <rFont val="Inter"/>
        <family val="2"/>
        <charset val="186"/>
      </rPr>
      <t>):</t>
    </r>
  </si>
  <si>
    <r>
      <t>Value = 3</t>
    </r>
    <r>
      <rPr>
        <sz val="8"/>
        <rFont val="Inter"/>
        <family val="2"/>
        <charset val="186"/>
      </rPr>
      <t> (3 errors per week)</t>
    </r>
  </si>
  <si>
    <r>
      <t>Target_Ideal = 1</t>
    </r>
    <r>
      <rPr>
        <sz val="8"/>
        <rFont val="Inter"/>
        <family val="2"/>
        <charset val="186"/>
      </rPr>
      <t> (The goal is 1 error or less)</t>
    </r>
  </si>
  <si>
    <r>
      <t>Target_Min = 10</t>
    </r>
    <r>
      <rPr>
        <sz val="8"/>
        <rFont val="Inter"/>
        <family val="2"/>
        <charset val="186"/>
      </rPr>
      <t> (10 errors is the "catastrophe" point)</t>
    </r>
  </si>
  <si>
    <r>
      <t>Calculation:</t>
    </r>
    <r>
      <rPr>
        <sz val="8"/>
        <rFont val="Inter"/>
        <family val="2"/>
        <charset val="186"/>
      </rPr>
      <t> </t>
    </r>
    <r>
      <rPr>
        <sz val="8"/>
        <rFont val="Courier New"/>
        <family val="3"/>
        <charset val="186"/>
      </rPr>
      <t>1 - ((3 - 1) / (10 - 1)) = 1 - (2 / 9) = 1 - 0.22 = 0.78</t>
    </r>
    <r>
      <rPr>
        <sz val="8"/>
        <rFont val="Inter"/>
        <family val="2"/>
        <charset val="186"/>
      </rPr>
      <t>.</t>
    </r>
  </si>
  <si>
    <r>
      <t>Interpretation:</t>
    </r>
    <r>
      <rPr>
        <sz val="8"/>
        <rFont val="Inter"/>
        <family val="2"/>
        <charset val="186"/>
      </rPr>
      <t> A score of </t>
    </r>
    <r>
      <rPr>
        <sz val="8"/>
        <rFont val="Courier New"/>
        <family val="3"/>
        <charset val="186"/>
      </rPr>
      <t>0.78</t>
    </r>
    <r>
      <rPr>
        <sz val="8"/>
        <rFont val="Inter"/>
        <family val="2"/>
        <charset val="186"/>
      </rPr>
      <t> makes sense. You are not at the ideal, but you are much closer to the ideal (</t>
    </r>
    <r>
      <rPr>
        <sz val="8"/>
        <rFont val="Courier New"/>
        <family val="3"/>
        <charset val="186"/>
      </rPr>
      <t>1</t>
    </r>
    <r>
      <rPr>
        <sz val="8"/>
        <rFont val="Inter"/>
        <family val="2"/>
        <charset val="186"/>
      </rPr>
      <t>) than to the catastrophe point (</t>
    </r>
    <r>
      <rPr>
        <sz val="8"/>
        <rFont val="Courier New"/>
        <family val="3"/>
        <charset val="186"/>
      </rPr>
      <t>10</t>
    </r>
    <r>
      <rPr>
        <sz val="8"/>
        <rFont val="Inter"/>
        <family val="2"/>
        <charset val="186"/>
      </rPr>
      <t>).</t>
    </r>
  </si>
  <si>
    <r>
      <t>3. The </t>
    </r>
    <r>
      <rPr>
        <b/>
        <sz val="8"/>
        <rFont val="Courier New"/>
        <family val="3"/>
        <charset val="186"/>
      </rPr>
      <t>Band</t>
    </r>
    <r>
      <rPr>
        <b/>
        <sz val="8"/>
        <rFont val="Inter"/>
        <family val="2"/>
        <charset val="186"/>
      </rPr>
      <t> (Plateau) Formula - The Final, Corrected Version</t>
    </r>
  </si>
  <si>
    <t>The Perfected Formula:</t>
  </si>
  <si>
    <r>
      <t>Required Columns:</t>
    </r>
    <r>
      <rPr>
        <sz val="8"/>
        <rFont val="Inter"/>
        <family val="2"/>
        <charset val="186"/>
      </rPr>
      <t> </t>
    </r>
    <r>
      <rPr>
        <sz val="8"/>
        <rFont val="Courier New"/>
        <family val="3"/>
        <charset val="186"/>
      </rPr>
      <t>Value</t>
    </r>
    <r>
      <rPr>
        <sz val="8"/>
        <rFont val="Inter"/>
        <family val="2"/>
        <charset val="186"/>
      </rPr>
      <t>, </t>
    </r>
    <r>
      <rPr>
        <sz val="8"/>
        <rFont val="Courier New"/>
        <family val="3"/>
        <charset val="186"/>
      </rPr>
      <t>Target_Min</t>
    </r>
    <r>
      <rPr>
        <sz val="8"/>
        <rFont val="Inter"/>
        <family val="2"/>
        <charset val="186"/>
      </rPr>
      <t>, </t>
    </r>
    <r>
      <rPr>
        <sz val="8"/>
        <rFont val="Courier New"/>
        <family val="3"/>
        <charset val="186"/>
      </rPr>
      <t>Healthy_Min</t>
    </r>
    <r>
      <rPr>
        <sz val="8"/>
        <rFont val="Inter"/>
        <family val="2"/>
        <charset val="186"/>
      </rPr>
      <t>, </t>
    </r>
    <r>
      <rPr>
        <sz val="8"/>
        <rFont val="Courier New"/>
        <family val="3"/>
        <charset val="186"/>
      </rPr>
      <t>Healthy_Max</t>
    </r>
    <r>
      <rPr>
        <sz val="8"/>
        <rFont val="Inter"/>
        <family val="2"/>
        <charset val="186"/>
      </rPr>
      <t>, </t>
    </r>
    <r>
      <rPr>
        <sz val="8"/>
        <rFont val="Courier New"/>
        <family val="3"/>
        <charset val="186"/>
      </rPr>
      <t>Absolute_Max</t>
    </r>
    <r>
      <rPr>
        <sz val="8"/>
        <rFont val="Inter"/>
        <family val="2"/>
        <charset val="186"/>
      </rPr>
      <t>.</t>
    </r>
  </si>
  <si>
    <t>=IF(AND(VALUE &gt;= Healthy_Min, VALUE &lt;= Healthy_Max), 1, IF(VALUE &lt; Healthy_Min, MAX(0, (VALUE - Target_Min) / (Healthy_Min - Target_Min)), MAX(0, 1 - (VALUE - Healthy_Max) / (Absolute_Max - Healthy_Max))))</t>
  </si>
  <si>
    <t xml:space="preserve">Required ΔE - Professional </t>
  </si>
  <si>
    <t>Amplitude_to_Correct:</t>
  </si>
  <si>
    <t xml:space="preserve">Calculated Corrective Actions (FACE LEVEL) </t>
  </si>
  <si>
    <t>TUNING CONSTANTS</t>
  </si>
  <si>
    <t>Notes</t>
  </si>
  <si>
    <t>(Controls sensitivity to intra-departmental harmony)</t>
  </si>
  <si>
    <t>(Controls sensitivity to inter-departmental harmony)</t>
  </si>
  <si>
    <t>(Controls sensitivity to inter-octave harmony)</t>
  </si>
  <si>
    <t>(Blends arithmetic and multiplicative synergy)</t>
  </si>
  <si>
    <t>(Balances the influence of adjacent star-pairs)</t>
  </si>
  <si>
    <t>(Balances internal vs. synergistic health of a face)</t>
  </si>
  <si>
    <t>(Blends local health with the health of the polar opposite)</t>
  </si>
  <si>
    <t>(Amplifies the final E_f score for greater responsiveness)</t>
  </si>
  <si>
    <t>Face (Domain) F. ID</t>
  </si>
  <si>
    <t>Data Backup Frequency</t>
  </si>
  <si>
    <t>Patent / Open Source Contribution Rate</t>
  </si>
  <si>
    <t>Employee Participation in Governance</t>
  </si>
  <si>
    <t>Net Promoter Score (NPS)</t>
  </si>
  <si>
    <t>Customer Co-creation Rate</t>
  </si>
  <si>
    <t>Brand as a Cultural Lighthouse</t>
  </si>
  <si>
    <t>Message Consistency Score</t>
  </si>
  <si>
    <t>Brand Trust Score</t>
  </si>
  <si>
    <t>Waste Reduction %</t>
  </si>
  <si>
    <t>Values Embodiment Score</t>
  </si>
  <si>
    <t>Cultural Integrity Score</t>
  </si>
  <si>
    <t>Ethical Resilience Score</t>
  </si>
  <si>
    <t>Public Statement of Values</t>
  </si>
  <si>
    <t>Operational Risk Shield</t>
  </si>
  <si>
    <t>Innitial_Face_Energy</t>
  </si>
  <si>
    <t>This table is not just a list. It is a symphony in seven movements for a twelve-piece orchestra. It is the complete evolutionary "songbook" for any conscious organization.</t>
  </si>
  <si>
    <r>
      <t>You can see how a domain like </t>
    </r>
    <r>
      <rPr>
        <b/>
        <sz val="8"/>
        <rFont val="Inter"/>
        <family val="2"/>
        <charset val="186"/>
      </rPr>
      <t>Financial Capital</t>
    </r>
    <r>
      <rPr>
        <sz val="8"/>
        <rFont val="Inter"/>
        <family val="2"/>
        <charset val="186"/>
      </rPr>
      <t> evolves from the simple, desperate question of "Do we have money?" (O1) to the profound, generative question of "Is our use of money itself an act of healing the world?" (O7).</t>
    </r>
  </si>
  <si>
    <r>
      <t>You can see how </t>
    </r>
    <r>
      <rPr>
        <b/>
        <sz val="8"/>
        <rFont val="Inter"/>
        <family val="2"/>
        <charset val="186"/>
      </rPr>
      <t>Human Capital</t>
    </r>
    <r>
      <rPr>
        <sz val="8"/>
        <rFont val="Inter"/>
        <family val="2"/>
        <charset val="186"/>
      </rPr>
      <t> evolves from the basic need to avoid burnout (O1) to the ultimate state of a culture defined by joy and play (O7).</t>
    </r>
  </si>
  <si>
    <t>The constant in the Star Pair Values (sᵢ) formula</t>
  </si>
  <si>
    <t>What it Controls:</t>
  </si>
  <si>
    <t>What it is:</t>
  </si>
  <si>
    <t>Strategic Implication:</t>
  </si>
  <si>
    <t>Starting Setting:</t>
  </si>
  <si>
    <t>Changing this from 0.5 would represent a belief that the "flow of influence" around the pentagram is not symmetrical. It is an advanced and subtle tuning.</t>
  </si>
  <si>
    <t>It answers the profound question: "How much of a department's health is its own internal state (the Ball) versus the health of its relationships (the Pillars)?"</t>
  </si>
  <si>
    <t>The Tuning Constants of the Spiral Dashboard: A Conductor's Guide</t>
  </si>
  <si>
    <t>The Complete Octave Progression Models for the 12 Faces of [Quannex]</t>
  </si>
  <si>
    <t>Rule Name</t>
  </si>
  <si>
    <t>The Story (Archetypal Dissonance)</t>
  </si>
  <si>
    <t>Trigger Condition (The "IF")</t>
  </si>
  <si>
    <t>Target of Penalty</t>
  </si>
  <si>
    <t>Penalty (S)</t>
  </si>
  <si>
    <t>"Brittle Profit"</t>
  </si>
  <si>
    <t>The organization is financially successful but is fragile and on the verge of collapse. It is a tree with fruit but no roots.</t>
  </si>
  <si>
    <r>
      <t>High</t>
    </r>
    <r>
      <rPr>
        <sz val="8"/>
        <color rgb="FFE2E2E5"/>
        <rFont val="Inter"/>
        <family val="2"/>
        <charset val="186"/>
      </rPr>
      <t> Coherence in </t>
    </r>
    <r>
      <rPr>
        <sz val="8"/>
        <color rgb="FFE2E2E5"/>
        <rFont val="Courier New"/>
        <family val="3"/>
        <charset val="186"/>
      </rPr>
      <t>Financial Capital (F1)</t>
    </r>
    <r>
      <rPr>
        <sz val="8"/>
        <color rgb="FFE2E2E5"/>
        <rFont val="Inter"/>
        <family val="2"/>
        <charset val="186"/>
      </rPr>
      <t> AND </t>
    </r>
    <r>
      <rPr>
        <b/>
        <sz val="8"/>
        <color rgb="FFE2E2E5"/>
        <rFont val="Inter"/>
        <family val="2"/>
        <charset val="186"/>
      </rPr>
      <t>Low</t>
    </r>
    <r>
      <rPr>
        <sz val="8"/>
        <color rgb="FFE2E2E5"/>
        <rFont val="Inter"/>
        <family val="2"/>
        <charset val="186"/>
      </rPr>
      <t> Coherence in </t>
    </r>
    <r>
      <rPr>
        <sz val="8"/>
        <color rgb="FFE2E2E5"/>
        <rFont val="Courier New"/>
        <family val="3"/>
        <charset val="186"/>
      </rPr>
      <t>Risk &amp; Resilience (F12)</t>
    </r>
    <r>
      <rPr>
        <sz val="8"/>
        <color rgb="FFE2E2E5"/>
        <rFont val="Inter"/>
        <family val="2"/>
        <charset val="186"/>
      </rPr>
      <t>.</t>
    </r>
  </si>
  <si>
    <t>Financial Capital (F1)</t>
  </si>
  <si>
    <t>"Extractive Growth"</t>
  </si>
  <si>
    <t>The organization grows its revenue by depleting the natural or social ecosystems it depends on. It is "sawing off the branch it is sitting on."</t>
  </si>
  <si>
    <r>
      <t>High</t>
    </r>
    <r>
      <rPr>
        <sz val="8"/>
        <color rgb="FFE2E2E5"/>
        <rFont val="Inter"/>
        <family val="2"/>
        <charset val="186"/>
      </rPr>
      <t> Coherence in </t>
    </r>
    <r>
      <rPr>
        <sz val="8"/>
        <color rgb="FFE2E2E5"/>
        <rFont val="Courier New"/>
        <family val="3"/>
        <charset val="186"/>
      </rPr>
      <t>Financial Capital (F1)</t>
    </r>
    <r>
      <rPr>
        <sz val="8"/>
        <color rgb="FFE2E2E5"/>
        <rFont val="Inter"/>
        <family val="2"/>
        <charset val="186"/>
      </rPr>
      <t> OR </t>
    </r>
    <r>
      <rPr>
        <sz val="8"/>
        <color rgb="FFE2E2E5"/>
        <rFont val="Courier New"/>
        <family val="3"/>
        <charset val="186"/>
      </rPr>
      <t>Funding Pipeline (F11)</t>
    </r>
    <r>
      <rPr>
        <sz val="8"/>
        <color rgb="FFE2E2E5"/>
        <rFont val="Inter"/>
        <family val="2"/>
        <charset val="186"/>
      </rPr>
      <t> AND </t>
    </r>
    <r>
      <rPr>
        <b/>
        <sz val="8"/>
        <color rgb="FFE2E2E5"/>
        <rFont val="Inter"/>
        <family val="2"/>
        <charset val="186"/>
      </rPr>
      <t>Low</t>
    </r>
    <r>
      <rPr>
        <sz val="8"/>
        <color rgb="FFE2E2E5"/>
        <rFont val="Inter"/>
        <family val="2"/>
        <charset val="186"/>
      </rPr>
      <t> Coherence in </t>
    </r>
    <r>
      <rPr>
        <sz val="8"/>
        <color rgb="FFE2E2E5"/>
        <rFont val="Courier New"/>
        <family val="3"/>
        <charset val="186"/>
      </rPr>
      <t>Regenerative Flow (F9)</t>
    </r>
    <r>
      <rPr>
        <sz val="8"/>
        <color rgb="FFE2E2E5"/>
        <rFont val="Inter"/>
        <family val="2"/>
        <charset val="186"/>
      </rPr>
      <t>.</t>
    </r>
  </si>
  <si>
    <t>The Face with the high score (F1 or F11)</t>
  </si>
  <si>
    <t>"The Experience Gap" (Trust Theater)</t>
  </si>
  <si>
    <t>The organization has a brilliant marketing story and a strong brand, but the actual experience of its product or culture is poor. The "say-do" gap.</t>
  </si>
  <si>
    <r>
      <t>High</t>
    </r>
    <r>
      <rPr>
        <sz val="8"/>
        <color rgb="FFE2E2E5"/>
        <rFont val="Inter"/>
        <family val="2"/>
        <charset val="186"/>
      </rPr>
      <t> Coherence in </t>
    </r>
    <r>
      <rPr>
        <sz val="8"/>
        <color rgb="FFE2E2E5"/>
        <rFont val="Courier New"/>
        <family val="3"/>
        <charset val="186"/>
      </rPr>
      <t>Brand &amp; Reputation (F7)</t>
    </r>
    <r>
      <rPr>
        <sz val="8"/>
        <color rgb="FFE2E2E5"/>
        <rFont val="Inter"/>
        <family val="2"/>
        <charset val="186"/>
      </rPr>
      <t> OR </t>
    </r>
    <r>
      <rPr>
        <sz val="8"/>
        <color rgb="FFE2E2E5"/>
        <rFont val="Courier New"/>
        <family val="3"/>
        <charset val="186"/>
      </rPr>
      <t>Market Resonance (F5)</t>
    </r>
    <r>
      <rPr>
        <sz val="8"/>
        <color rgb="FFE2E2E5"/>
        <rFont val="Inter"/>
        <family val="2"/>
        <charset val="186"/>
      </rPr>
      <t> AND </t>
    </r>
    <r>
      <rPr>
        <b/>
        <sz val="8"/>
        <color rgb="FFE2E2E5"/>
        <rFont val="Inter"/>
        <family val="2"/>
        <charset val="186"/>
      </rPr>
      <t>Low</t>
    </r>
    <r>
      <rPr>
        <sz val="8"/>
        <color rgb="FFE2E2E5"/>
        <rFont val="Inter"/>
        <family val="2"/>
        <charset val="186"/>
      </rPr>
      <t> Coherence in </t>
    </r>
    <r>
      <rPr>
        <sz val="8"/>
        <color rgb="FFE2E2E5"/>
        <rFont val="Courier New"/>
        <family val="3"/>
        <charset val="186"/>
      </rPr>
      <t>Core Operations (F8)</t>
    </r>
    <r>
      <rPr>
        <sz val="8"/>
        <color rgb="FFE2E2E5"/>
        <rFont val="Inter"/>
        <family val="2"/>
        <charset val="186"/>
      </rPr>
      <t> OR </t>
    </r>
    <r>
      <rPr>
        <sz val="8"/>
        <color rgb="FFE2E2E5"/>
        <rFont val="Courier New"/>
        <family val="3"/>
        <charset val="186"/>
      </rPr>
      <t>Human Capital (F3)</t>
    </r>
    <r>
      <rPr>
        <sz val="8"/>
        <color rgb="FFE2E2E5"/>
        <rFont val="Inter"/>
        <family val="2"/>
        <charset val="186"/>
      </rPr>
      <t>.</t>
    </r>
  </si>
  <si>
    <t>The Face with the high score (F7 or F5)</t>
  </si>
  <si>
    <t>"The Burnout Engine"</t>
  </si>
  <si>
    <t>The organization is incredibly efficient and productive, but it achieves this by burning out its people. The machine is running perfectly, but the operators are collapsing.</t>
  </si>
  <si>
    <r>
      <t>High</t>
    </r>
    <r>
      <rPr>
        <sz val="8"/>
        <color rgb="FFE2E2E5"/>
        <rFont val="Inter"/>
        <family val="2"/>
        <charset val="186"/>
      </rPr>
      <t> Coherence in </t>
    </r>
    <r>
      <rPr>
        <sz val="8"/>
        <color rgb="FFE2E2E5"/>
        <rFont val="Courier New"/>
        <family val="3"/>
        <charset val="186"/>
      </rPr>
      <t>Core Operations (F8)</t>
    </r>
    <r>
      <rPr>
        <sz val="8"/>
        <color rgb="FFE2E2E5"/>
        <rFont val="Inter"/>
        <family val="2"/>
        <charset val="186"/>
      </rPr>
      <t> AND </t>
    </r>
    <r>
      <rPr>
        <b/>
        <sz val="8"/>
        <color rgb="FFE2E2E5"/>
        <rFont val="Inter"/>
        <family val="2"/>
        <charset val="186"/>
      </rPr>
      <t>Low</t>
    </r>
    <r>
      <rPr>
        <sz val="8"/>
        <color rgb="FFE2E2E5"/>
        <rFont val="Inter"/>
        <family val="2"/>
        <charset val="186"/>
      </rPr>
      <t> Coherence in </t>
    </r>
    <r>
      <rPr>
        <sz val="8"/>
        <color rgb="FFE2E2E5"/>
        <rFont val="Courier New"/>
        <family val="3"/>
        <charset val="186"/>
      </rPr>
      <t>Human Capital (F3)</t>
    </r>
    <r>
      <rPr>
        <sz val="8"/>
        <color rgb="FFE2E2E5"/>
        <rFont val="Inter"/>
        <family val="2"/>
        <charset val="186"/>
      </rPr>
      <t>.</t>
    </r>
  </si>
  <si>
    <t>Core Operations (F8)</t>
  </si>
  <si>
    <t>"Hollow Governance"</t>
  </si>
  <si>
    <t>The organization has many formal rules and well-drafted documents, but it lacks a true culture of integrity and lived values. The "bones" have no soul.</t>
  </si>
  <si>
    <r>
      <t>High</t>
    </r>
    <r>
      <rPr>
        <sz val="8"/>
        <color rgb="FFE2E2E5"/>
        <rFont val="Inter"/>
        <family val="2"/>
        <charset val="186"/>
      </rPr>
      <t> Coherence in </t>
    </r>
    <r>
      <rPr>
        <sz val="8"/>
        <color rgb="FFE2E2E5"/>
        <rFont val="Courier New"/>
        <family val="3"/>
        <charset val="186"/>
      </rPr>
      <t>Structural Capital (F4)</t>
    </r>
    <r>
      <rPr>
        <sz val="8"/>
        <color rgb="FFE2E2E5"/>
        <rFont val="Inter"/>
        <family val="2"/>
        <charset val="186"/>
      </rPr>
      <t> AND </t>
    </r>
    <r>
      <rPr>
        <b/>
        <sz val="8"/>
        <color rgb="FFE2E2E5"/>
        <rFont val="Inter"/>
        <family val="2"/>
        <charset val="186"/>
      </rPr>
      <t>Low</t>
    </r>
    <r>
      <rPr>
        <sz val="8"/>
        <color rgb="FFE2E2E5"/>
        <rFont val="Inter"/>
        <family val="2"/>
        <charset val="186"/>
      </rPr>
      <t> Coherence in </t>
    </r>
    <r>
      <rPr>
        <sz val="8"/>
        <color rgb="FFE2E2E5"/>
        <rFont val="Courier New"/>
        <family val="3"/>
        <charset val="186"/>
      </rPr>
      <t>Foundational Values (F10)</t>
    </r>
    <r>
      <rPr>
        <sz val="8"/>
        <color rgb="FFE2E2E5"/>
        <rFont val="Inter"/>
        <family val="2"/>
        <charset val="186"/>
      </rPr>
      <t>.</t>
    </r>
  </si>
  <si>
    <t>Structural Capital (F4)</t>
  </si>
  <si>
    <t>"The Lonely Hero"</t>
  </si>
  <si>
    <t>The venture's vision and IP are brilliant, but it relies entirely on a single person or a fragile network, making it un-investable and un-scalable.</t>
  </si>
  <si>
    <r>
      <t>High</t>
    </r>
    <r>
      <rPr>
        <sz val="8"/>
        <color rgb="FFE2E2E5"/>
        <rFont val="Inter"/>
        <family val="2"/>
        <charset val="186"/>
      </rPr>
      <t> Coherence in </t>
    </r>
    <r>
      <rPr>
        <sz val="8"/>
        <color rgb="FFE2E2E5"/>
        <rFont val="Courier New"/>
        <family val="3"/>
        <charset val="186"/>
      </rPr>
      <t>Intellectual Capital (F2)</t>
    </r>
    <r>
      <rPr>
        <sz val="8"/>
        <color rgb="FFE2E2E5"/>
        <rFont val="Inter"/>
        <family val="2"/>
        <charset val="186"/>
      </rPr>
      <t> AND a </t>
    </r>
    <r>
      <rPr>
        <b/>
        <sz val="8"/>
        <color rgb="FFE2E2E5"/>
        <rFont val="Inter"/>
        <family val="2"/>
        <charset val="186"/>
      </rPr>
      <t>Bus Factor of 1</t>
    </r>
    <r>
      <rPr>
        <sz val="8"/>
        <color rgb="FFE2E2E5"/>
        <rFont val="Inter"/>
        <family val="2"/>
        <charset val="186"/>
      </rPr>
      <t> (</t>
    </r>
    <r>
      <rPr>
        <sz val="8"/>
        <color rgb="FFE2E2E5"/>
        <rFont val="Courier New"/>
        <family val="3"/>
        <charset val="186"/>
      </rPr>
      <t>Risk &amp; Resilience (F12)</t>
    </r>
    <r>
      <rPr>
        <sz val="8"/>
        <color rgb="FFE2E2E5"/>
        <rFont val="Inter"/>
        <family val="2"/>
        <charset val="186"/>
      </rPr>
      <t> is low).</t>
    </r>
  </si>
  <si>
    <t>Intellectual Capital (F2)</t>
  </si>
  <si>
    <t>The Shadow Penalty Rules: The Conscience of the Instrument</t>
  </si>
  <si>
    <r>
      <t>The animating principle:</t>
    </r>
    <r>
      <rPr>
        <sz val="8"/>
        <rFont val="Inter"/>
        <family val="2"/>
        <charset val="186"/>
      </rPr>
      <t> A high score is only a </t>
    </r>
    <r>
      <rPr>
        <i/>
        <sz val="8"/>
        <rFont val="Inter"/>
        <family val="2"/>
        <charset val="186"/>
      </rPr>
      <t>true</t>
    </r>
    <r>
      <rPr>
        <sz val="8"/>
        <rFont val="Inter"/>
        <family val="2"/>
        <charset val="186"/>
      </rPr>
      <t> score if it does not create a "shadow"—a corresponding, hidden cost in another part of the system. When a shadow is detected, a penalty is applied, making the dissonance visible and forcing the organization to confront its own hypocris</t>
    </r>
  </si>
  <si>
    <t>During your weekly or monthly calibration loops, you, the conductor, will look at the dashboard. You will then look at this table of rules. You will ask the profound, challenging questions:</t>
  </si>
  <si>
    <t>"Our Brand score is high, but our Founder Energy is low. Are we creating an 'Experience Gap'? Are we telling a story of coherence that we are not living?"</t>
  </si>
  <si>
    <t>"Our profits are stable, but our Bus Factor is still 1. Are we in a state of 'Brittle Profit'?"</t>
  </si>
  <si>
    <r>
      <t>If the answer is yes, you make the courageous decision to </t>
    </r>
    <r>
      <rPr>
        <b/>
        <sz val="8"/>
        <rFont val="Inter"/>
        <family val="2"/>
        <charset val="186"/>
      </rPr>
      <t>activate the penalty</t>
    </r>
    <r>
      <rPr>
        <sz val="8"/>
        <rFont val="Inter"/>
        <family val="2"/>
        <charset val="186"/>
      </rPr>
      <t>. You go to your </t>
    </r>
    <r>
      <rPr>
        <sz val="8"/>
        <rFont val="Courier New"/>
        <family val="3"/>
        <charset val="186"/>
      </rPr>
      <t>DODECA_ENGINE</t>
    </r>
    <r>
      <rPr>
        <sz val="8"/>
        <rFont val="Inter"/>
        <family val="2"/>
        <charset val="186"/>
      </rPr>
      <t> (or a dedicated "Penalty Log" sheet) and you manually log the penalty for that cycle.</t>
    </r>
  </si>
  <si>
    <t>The Mechanics in the Spreadsheet:</t>
  </si>
  <si>
    <t>Final_E_f = ((γ * Self_Coherence) + ((1-γ) * Relational_Coherence)) * (1 - Total_Shadow_Penalty_for_this_Face)</t>
  </si>
  <si>
    <r>
      <t>The Shadow Penalty is a number (</t>
    </r>
    <r>
      <rPr>
        <sz val="8"/>
        <rFont val="Courier New"/>
        <family val="3"/>
        <charset val="186"/>
      </rPr>
      <t>S</t>
    </r>
    <r>
      <rPr>
        <sz val="8"/>
        <rFont val="Inter"/>
        <family val="2"/>
        <charset val="186"/>
      </rPr>
      <t>) between 0 and 1 (e.g., 0.2 for a 20% penalty). The final </t>
    </r>
    <r>
      <rPr>
        <sz val="8"/>
        <rFont val="Courier New"/>
        <family val="3"/>
        <charset val="186"/>
      </rPr>
      <t>Face Energy</t>
    </r>
    <r>
      <rPr>
        <sz val="8"/>
        <rFont val="Inter"/>
        <family val="2"/>
        <charset val="186"/>
      </rPr>
      <t> formula we designed will be upgraded to include it:</t>
    </r>
  </si>
  <si>
    <r>
      <t>The "Total Shadow Penalty" will be calculated with a </t>
    </r>
    <r>
      <rPr>
        <sz val="8"/>
        <rFont val="Courier New"/>
        <family val="3"/>
        <charset val="186"/>
      </rPr>
      <t>SUMIFS</t>
    </r>
    <r>
      <rPr>
        <sz val="8"/>
        <rFont val="Inter"/>
        <family val="2"/>
        <charset val="186"/>
      </rPr>
      <t> formula that looks up all applicable penalties from the master table we are about to build.</t>
    </r>
  </si>
  <si>
    <t>Increased Sensitivity KPI Target</t>
  </si>
  <si>
    <t>Earth (Stability): Is it grounded? -&gt;</t>
  </si>
  <si>
    <t>Raw Cash in Bank (€)</t>
  </si>
  <si>
    <t># of Funding Opportunities Pursued</t>
  </si>
  <si>
    <t>Water (Flow): Is it managed? -&gt;</t>
  </si>
  <si>
    <t>Monthly Burn Rate (€)</t>
  </si>
  <si>
    <t>Clarity Score of Financials to Stakeholders (1-5)</t>
  </si>
  <si>
    <t>Funding Alignment Index (1-5)</t>
  </si>
  <si>
    <t>KPI Name (Pillar)</t>
  </si>
  <si>
    <t>Rationale / Philosophy</t>
  </si>
  <si>
    <t>The envelope is tied to the headline KPI. If the ideal Runway is 12 months at €200/month burn, then the ideal cash (Healthy_Min) is €2400. The Target_Min can be defined as 0 or a 3-month buffer (€600). The model measures progress towards a state of ideal stability.</t>
  </si>
  <si>
    <t>Earth</t>
  </si>
  <si>
    <t>Water</t>
  </si>
  <si>
    <t>Air</t>
  </si>
  <si>
    <t>Ether</t>
  </si>
  <si>
    <t>N/A</t>
  </si>
  <si>
    <t>↓</t>
  </si>
  <si>
    <t>A "lower is better" metric. The Ideal (Healthy_Max) is a low, sustainable burn. The Min is the catastrophic, "all-hands-on-deck" crisis point. We set Healthy_Min to allow for some flex.</t>
  </si>
  <si>
    <t>The goal is not frantic activity, but consistent, high-quality effort. This plateau defines that healthy rhythm.</t>
  </si>
  <si>
    <t>Elemental_KPI_Normalized</t>
  </si>
  <si>
    <t>A simple 1-5 scale measuring the clarity and honesty of your financial storytelling.</t>
  </si>
  <si>
    <t>A 1-5 scale measuring the soul-level alignment of your capital.</t>
  </si>
  <si>
    <t>Water (Flow)</t>
  </si>
  <si>
    <t>Ether (Purpose)</t>
  </si>
  <si>
    <t>IP Security &amp; Formalization</t>
  </si>
  <si>
    <t>Question</t>
  </si>
  <si>
    <t>Is it grounded?</t>
  </si>
  <si>
    <t>Is it managed?</t>
  </si>
  <si>
    <t>Are we adding to it?</t>
  </si>
  <si>
    <t>Is it understood?</t>
  </si>
  <si>
    <t>Is it aligned?</t>
  </si>
  <si>
    <t>Is it safe?</t>
  </si>
  <si>
    <t>Is it moving?</t>
  </si>
  <si>
    <t>Is it being created?</t>
  </si>
  <si>
    <t>Is it documented?</t>
  </si>
  <si>
    <t>Is it ethical?</t>
  </si>
  <si>
    <t>Scored as: Daily=1, Weekly=0.7, Monthly=0.3, None=0. Measures the raw stability of your IP.</t>
  </si>
  <si>
    <t>Measures the consistent, flowing output of IP. 10% progress per week is a powerful, sustainable goal.</t>
  </si>
  <si>
    <t>The energy input for IP creation. A healthy, sustainable plateau of focused work.</t>
  </si>
  <si>
    <t>A 1-5 scale. How well is the genius of the model actually documented?</t>
  </si>
  <si>
    <t>Does the IP itself serve a coherent and ethical purpose?</t>
  </si>
  <si>
    <t>Weekly Progress on Thesis (%)</t>
  </si>
  <si>
    <t>Hours Logged on IP Dev</t>
  </si>
  <si>
    <t>Clarity of Core Model Docs</t>
  </si>
  <si>
    <t>Average Hours of Sleep</t>
  </si>
  <si>
    <t>Founder Energy Level (1-10)</t>
  </si>
  <si>
    <t>"Joy in the Work" Score (1-5)</t>
  </si>
  <si>
    <t>Are you rested?</t>
  </si>
  <si>
    <t>Are you energized?</t>
  </si>
  <si>
    <t>Are you growing?</t>
  </si>
  <si>
    <t>Are you self-aware?</t>
  </si>
  <si>
    <t>Are you joyful?</t>
  </si>
  <si>
    <t>Founder Sustainability</t>
  </si>
  <si>
    <t>Hours Spent in Learning/Development</t>
  </si>
  <si>
    <t>Frequency of Self-Reflection/Journaling</t>
  </si>
  <si>
    <t>The ultimate measure of purpose. Are you still connected to the soul of the work?</t>
  </si>
  <si>
    <t>A habit score: Daily=1, Weekly=0.5. Measures the clarity of self-awareness.</t>
  </si>
  <si>
    <t>Measures the act of "sharpening the saw." Too little is stagnation, too much is "pro-crash-tination."</t>
  </si>
  <si>
    <t>The core "Plateau of Coherence" metric we have perfected.</t>
  </si>
  <si>
    <t>The ultimate foundation of founder stability.</t>
  </si>
  <si>
    <t>Governance Foundation Integrity</t>
  </si>
  <si>
    <t>Initial Message Coherence</t>
  </si>
  <si>
    <t>Network Foundation Strength</t>
  </si>
  <si>
    <t>Is it legal?</t>
  </si>
  <si>
    <t>Are decisions clear?</t>
  </si>
  <si>
    <t>Are we accountable?</t>
  </si>
  <si>
    <t>It is written?</t>
  </si>
  <si>
    <t>Is it fair?</t>
  </si>
  <si>
    <t>% of Legal Registration Complete</t>
  </si>
  <si>
    <t>Decision Protocol Clarity (1-5)</t>
  </si>
  <si>
    <t># of Documented "Value Alignment Checks"</t>
  </si>
  <si>
    <t>% of Core Governance Docs Drafted</t>
  </si>
  <si>
    <t>Perceived Fairness of Structure (1-5)</t>
  </si>
  <si>
    <t>Is the message grounded?</t>
  </si>
  <si>
    <t>Is it reaching people?</t>
  </si>
  <si>
    <t>Are we speaking?</t>
  </si>
  <si>
    <t>Is it authentic?</t>
  </si>
  <si>
    <t>Are your allies real?</t>
  </si>
  <si>
    <t>Are you connecting?</t>
  </si>
  <si>
    <t>Are you building?</t>
  </si>
  <si>
    <t>Is the value clear?</t>
  </si>
  <si>
    <t>Is it vlaues-aligned?</t>
  </si>
  <si>
    <t>Clarity Score of one-sentence pitch (1-5)</t>
  </si>
  <si>
    <t>Weekly Website Traffic</t>
  </si>
  <si>
    <t># of Engaging Social Media Posts</t>
  </si>
  <si>
    <t>Quality of Feedback from listeners</t>
  </si>
  <si>
    <t>Founder's "Felt Resonance" when speaking (1-5)</t>
  </si>
  <si>
    <t># of Committed Advisors</t>
  </si>
  <si>
    <t># of In-Depth Strategic Conversations</t>
  </si>
  <si>
    <t># of Active Collaboration Projects</t>
  </si>
  <si>
    <t>Clarity of Partnership "Ask" (1-5)</t>
  </si>
  <si>
    <t>Values Alignment Score of Top 3 Partners (1-5)</t>
  </si>
  <si>
    <t>Foundational Brand Integrity</t>
  </si>
  <si>
    <t>Is the brand gounded in a consistent message?</t>
  </si>
  <si>
    <t>Is the brand creating an emotional connection?</t>
  </si>
  <si>
    <t>Is the brand actively speaking its truth?</t>
  </si>
  <si>
    <t>Is the brand trusted?</t>
  </si>
  <si>
    <t>Is the brand a true expression of the venture's soul?</t>
  </si>
  <si>
    <t>Message Consistency Score (1-5)</t>
  </si>
  <si>
    <t>Social Media Engagement Rate (%)</t>
  </si>
  <si>
    <t># of Engaging Posts</t>
  </si>
  <si>
    <t>Initial Brand Trust Score (Survey, 1-5)</t>
  </si>
  <si>
    <t>Brand-Values Alignment Score (1-5)</t>
  </si>
  <si>
    <t>Operational Viability</t>
  </si>
  <si>
    <t>Have we proven we can buil it?</t>
  </si>
  <si>
    <t>Is energy flowing into the work?</t>
  </si>
  <si>
    <t>What is the rhythm of creation?</t>
  </si>
  <si>
    <t>Is out process understandable?</t>
  </si>
  <si>
    <t>Is HOW we build aligned with WHY we build?</t>
  </si>
  <si>
    <t>"Live" Test Completion (0 or 1)</t>
  </si>
  <si>
    <t>Founder Hours Logged on Core Ops</t>
  </si>
  <si>
    <t>Development Cycle Time (Days per Iteration)</t>
  </si>
  <si>
    <t>Process Documentation Clarity (1-5)</t>
  </si>
  <si>
    <t>Operational-Values Alignment Score (1-5)</t>
  </si>
  <si>
    <t>Regenerative Intent &amp; Practice</t>
  </si>
  <si>
    <t>Are our choices grounded in action?</t>
  </si>
  <si>
    <t>Do these choices feel right?</t>
  </si>
  <si>
    <t>Are we actively learning?</t>
  </si>
  <si>
    <t>Are we communicating this value?</t>
  </si>
  <si>
    <t>Are we connected to the larger whole?</t>
  </si>
  <si>
    <t># of Documented Regenerative Choices</t>
  </si>
  <si>
    <t>Founder's Felt Sense of Integrity (1-5)</t>
  </si>
  <si>
    <t>Hours Spent Researching Regenerative Practices</t>
  </si>
  <si>
    <t>Clarity of Public Stance on Regeneration (1-5)</t>
  </si>
  <si>
    <t>Felt Connection to Planetary Purpose (1-5)</t>
  </si>
  <si>
    <t>Lived Values &amp; Cultural Integrity</t>
  </si>
  <si>
    <t>Are values embedded in our decisions?</t>
  </si>
  <si>
    <t>Does the team feel the values are real?</t>
  </si>
  <si>
    <t>Are we actively discussing our values?</t>
  </si>
  <si>
    <t>Are our values clearly stated?</t>
  </si>
  <si>
    <t>Is this an authentic expression of who we are?</t>
  </si>
  <si>
    <t>Cultural Integrity Score (Team Poll, 1-10)</t>
  </si>
  <si>
    <t>Time Spent in Values-Based Discussions</t>
  </si>
  <si>
    <t>Clarity of Published Values Statement (1-5)</t>
  </si>
  <si>
    <t>Perceived Authenticity of Values (Founder Score, 1-5)</t>
  </si>
  <si>
    <t>Pipeline Viability &amp; Coherence</t>
  </si>
  <si>
    <t>Do we have a target list?</t>
  </si>
  <si>
    <t>Are we building relationships?</t>
  </si>
  <si>
    <t>Are we making the ask?</t>
  </si>
  <si>
    <t>Is our ask clear and compelling?</t>
  </si>
  <si>
    <t>Is this the right money?</t>
  </si>
  <si>
    <t># of Potential Funders Identified</t>
  </si>
  <si>
    <t>Strength of Relationship with Top Prospects (1-5)</t>
  </si>
  <si>
    <t>Clarity of Financial Ask (1-5)</t>
  </si>
  <si>
    <t>Funding Alignment Index (from Edge KPIs)</t>
  </si>
  <si>
    <t>Risk &amp; Resilience (F12)</t>
  </si>
  <si>
    <t>Systemic Fragility Assessment</t>
  </si>
  <si>
    <t>Are we structurally fragile?</t>
  </si>
  <si>
    <t>Are we emotionally resilient?</t>
  </si>
  <si>
    <t>Are we preparing for the future?</t>
  </si>
  <si>
    <t>Do we understand out risks?</t>
  </si>
  <si>
    <t>Founder's Psychological Resilience Score (1-5)</t>
  </si>
  <si>
    <t>Hours Spent in Scenario Planning</t>
  </si>
  <si>
    <t>Clarity of Risk Documentation (1-5)</t>
  </si>
  <si>
    <t>Ethical Resilience Score (from Edge KPIs)</t>
  </si>
  <si>
    <t>Will we hold to our values under ultimate pressure?</t>
  </si>
  <si>
    <t>From the Edge KPIs. The measure of the soul's resilience.</t>
  </si>
  <si>
    <t>A 1-5 score. Have we honestly and clearly written down what could go wrong?</t>
  </si>
  <si>
    <t>The active practice of "wargaming" against potential threats. A healthy rhythm of 1-2 hours/quarter.</t>
  </si>
  <si>
    <t>A 1-5 self-assessment of the ability to stay centered and calm under pressure.</t>
  </si>
  <si>
    <t>The ultimate measure of stability. We have perfected the logic of this metric.</t>
  </si>
  <si>
    <t>The ultimate filter. A 1-5 measure of soul-level alignment with potential funders.</t>
  </si>
  <si>
    <t>A 1-5 score for the quality of the pitch deck and financial model.</t>
  </si>
  <si>
    <t>The rhythm of action. We have already perfected the logic of this plateau.</t>
  </si>
  <si>
    <t>A 1-5 score for the quality of the relationship with the top 3-5 prospects.</t>
  </si>
  <si>
    <t>The raw material for the pipeline. A list of 20 well-researched, aligned prospects is a solid foundation.</t>
  </si>
  <si>
    <t>A 1-5 founder score. The final, sovereign check of authenticity.</t>
  </si>
  <si>
    <t>A 1-5 score. How well are the values articulated to the world?</t>
  </si>
  <si>
    <t>The active practice of keeping the values alive. A healthy rhythm is 1-2 hours/month.</t>
  </si>
  <si>
    <t>A 1-10 team poll. The emotional truth of the culture.</t>
  </si>
  <si>
    <t>The habit of integrity. We aim to check 100% of key strategic decisions against our values.</t>
  </si>
  <si>
    <t>A 1-5 score. The ultimate measure of the "why" behind the regenerative impulse.</t>
  </si>
  <si>
    <t>A 1-5 score. How clearly is this value expressed to the outside world?</t>
  </si>
  <si>
    <t>The active pursuit of wisdom. A healthy rhythm of 1-3 hours/week at this stage.</t>
  </si>
  <si>
    <t>A 1-5 score. The ultimate internal, emotional compass for regenerative action.</t>
  </si>
  <si>
    <t>This measures the habit of consideration. The goal is to consciously evaluate 100% of key choices.</t>
  </si>
  <si>
    <t>A 1-5 score. Measures if the development process itself is a living example of coherence.</t>
  </si>
  <si>
    <t>A 1-5 score. Can a new team member understand how the core work gets done?</t>
  </si>
  <si>
    <t>Measures the speed of the action-feedback loop. Ideal is a 7-day cycle; Min is a 90-day cycle.</t>
  </si>
  <si>
    <t>The sustainable input of creative "lifeblood." Too little is stagnation; too much starves other domains.</t>
  </si>
  <si>
    <t>A binary (0/1) milestone. The ultimate ground-truth for a new venture is a working prototype.</t>
  </si>
  <si>
    <t>A 1-5 internal assessment. This is the ultimate measure of authenticity.</t>
  </si>
  <si>
    <t>A 1-5 survey. This measures the clarity and believability of the brand's promise in the minds of early stakeholders.</t>
  </si>
  <si>
    <t>A sustainable rhythm of high-quality communication. The goal is resonant signal, not overwhelming noise.</t>
  </si>
  <si>
    <t>Measures the quality and flow of the relationship with the audience, not just the volume of posts.</t>
  </si>
  <si>
    <t>A 1-5 scale. A consistent brand narrative is the stable ground upon which all reputation is built.</t>
  </si>
  <si>
    <t>A binary state of being. The legal foundation must be 100% solid.</t>
  </si>
  <si>
    <t>A 1-5 scale. At the survival stage, a clear and "good enough" process (a 4) is the ideal for maintaining agility.</t>
  </si>
  <si>
    <t>Project completion. The foundational "constitution" of the venture must be fully articulated.</t>
  </si>
  <si>
    <t>A 1-5 scale. Measures the felt sense of justice and coherence in the venture's structure from the inside.</t>
  </si>
  <si>
    <t>A 1-5 scale. A pitch that is not at least a "2" is actively causing confusion and harm. 4.5 is the target for profound clarity.</t>
  </si>
  <si>
    <t>At this early stage, getting 100 unique, interested visitors per week is a sign of a healthy, flowing signal.</t>
  </si>
  <si>
    <t>The sustainable rhythm of authentic communication. Quality over quantity.</t>
  </si>
  <si>
    <t>A 1-5 scale. Measures the quality of the questions and insights received from the audience after hearing the message.</t>
  </si>
  <si>
    <t>A 1-5 scale. The ultimate internal check: does the message being spoken feel true in the founder's soul?</t>
  </si>
  <si>
    <t>Three deeply committed, high-quality advisors is a powerful, stable foundation for any startup.</t>
  </si>
  <si>
    <t>The healthy, flowing rhythm of building a network without getting lost in "networking."</t>
  </si>
  <si>
    <t>At this stage, one single, active, co-creative project is a massive signal of real-world traction and an ideal target.</t>
  </si>
  <si>
    <t>A 1-5 scale. How clear and compelling is the invitation for others to join the dance?</t>
  </si>
  <si>
    <t>A 1-5 scale. The ultimate filter: are these potential partners on the same spiritual and ethical wavelength?</t>
  </si>
  <si>
    <t>Element</t>
  </si>
  <si>
    <t>Elemental Question</t>
  </si>
  <si>
    <t>Operational Efficiency</t>
  </si>
  <si>
    <t>Audit Accuracy Score</t>
  </si>
  <si>
    <t>Are our accounts in order?</t>
  </si>
  <si>
    <t>The ground-truth of financial stability is clean, auditable books.</t>
  </si>
  <si>
    <t>Cash Flow Volatility</t>
  </si>
  <si>
    <t>Is our cash flow predictable?</t>
  </si>
  <si>
    <t>Lower is better. A stable, predictable flow is a sign of a mature financial system.</t>
  </si>
  <si>
    <t>Fire</t>
  </si>
  <si>
    <t>Are our operations profitable?</t>
  </si>
  <si>
    <t>For every €1 spent on ops, the goal is to generate €3 in value.</t>
  </si>
  <si>
    <t>Clarity of Financial SOPs</t>
  </si>
  <si>
    <t>Are our processes documented?</t>
  </si>
  <si>
    <t>Clear, written financial processes are the key to scalable stability.</t>
  </si>
  <si>
    <t>Ethical Sourcing Savings</t>
  </si>
  <si>
    <t>Are efficiencies serving values?</t>
  </si>
  <si>
    <t>Measures the % of cost savings achieved specifically through more ethical/sustainable choices.</t>
  </si>
  <si>
    <t>Dev. Velocity &amp; Quality</t>
  </si>
  <si>
    <t>Code Defect Rate</t>
  </si>
  <si>
    <t>Is our product/IP robust?</t>
  </si>
  <si>
    <t>Lower is better. A direct measure of the structural integrity of the core creation.</t>
  </si>
  <si>
    <t>Dev. Cycle Time</t>
  </si>
  <si>
    <t>Are we building smoothly?</t>
  </si>
  <si>
    <t>The speed of the idea-to-reality flow. A 7-day cycle is world-class for agile development.</t>
  </si>
  <si>
    <t># Features/Chapters Completed</t>
  </si>
  <si>
    <t>Are we making progress?</t>
  </si>
  <si>
    <t>Quality over quantity. A sustainable rhythm of meaningful, completed work.</t>
  </si>
  <si>
    <t>Clarity of Product Roadmap</t>
  </si>
  <si>
    <t>Is our roadmap clear?</t>
  </si>
  <si>
    <t>A clear, shared understanding of what is being built next.</t>
  </si>
  <si>
    <t>"Felt Sense of Flow"</t>
  </si>
  <si>
    <t>Is our process coherent?</t>
  </si>
  <si>
    <t>The team's felt experience. Does the work feel like a smooth dance or a frustrating struggle?</t>
  </si>
  <si>
    <t>Role Clarity &amp; Team Stability</t>
  </si>
  <si>
    <t>Role Clarity Score</t>
  </si>
  <si>
    <t>Do people know their roles?</t>
  </si>
  <si>
    <t>A stable team is built on a foundation of clear roles and responsibilities.</t>
  </si>
  <si>
    <t>Internal Comm. Efficiency</t>
  </si>
  <si>
    <t>Is information flowing well?</t>
  </si>
  <si>
    <t>Measures the quality of the "connective tissue" within the team.</t>
  </si>
  <si>
    <t>Employee Retention Rate</t>
  </si>
  <si>
    <t>Are we retaining our talent?</t>
  </si>
  <si>
    <t>The ultimate measure of a healthy, stable culture.</t>
  </si>
  <si>
    <t>Clarity of Org. Chart</t>
  </si>
  <si>
    <t>Are our structures documented?</t>
  </si>
  <si>
    <t>A clear, visible representation of the team's structure.</t>
  </si>
  <si>
    <t>Perceived Fairness of Roles</t>
  </si>
  <si>
    <t>Does our structure feel fair?</t>
  </si>
  <si>
    <t>The soul of the structure. Do people feel empowered and respected?</t>
  </si>
  <si>
    <t>Process Resilience</t>
  </si>
  <si>
    <t>Process Resilience Score</t>
  </si>
  <si>
    <t>Can our systems handle a shock?</t>
  </si>
  <si>
    <t>A score from a simulated "stress test" of core processes.</t>
  </si>
  <si>
    <t>Avg. Process Completion Time</t>
  </si>
  <si>
    <t>Are our processes efficient?</t>
  </si>
  <si>
    <t>The speed and flow of the organizational "metabolism."</t>
  </si>
  <si>
    <t># Process Improvements</t>
  </si>
  <si>
    <t>Are we improving?</t>
  </si>
  <si>
    <t>A sustainable rhythm of conscious evolution, not endless-tinkering.</t>
  </si>
  <si>
    <t>% of Core Processes Mapped</t>
  </si>
  <si>
    <t>Are our processes mapped?</t>
  </si>
  <si>
    <t>The clarity that comes from making the invisible workflows visible.</t>
  </si>
  <si>
    <t>Simplicity &amp; Elegance</t>
  </si>
  <si>
    <t>Do our processes feel coherent?</t>
  </si>
  <si>
    <t>The ultimate measure of a masterful process is that it feels simple and beautiful.</t>
  </si>
  <si>
    <t>Customer Experience</t>
  </si>
  <si>
    <t>Product Uptime %</t>
  </si>
  <si>
    <t>Is our product reliable?</t>
  </si>
  <si>
    <t>The bedrock of customer trust is a reliable, available product.</t>
  </si>
  <si>
    <t>Customer Satisfaction (CSAT)</t>
  </si>
  <si>
    <t>Are our customers happy?</t>
  </si>
  <si>
    <t>The direct measure of the emotional flow between the product and the user.</t>
  </si>
  <si>
    <t>Mean Time to Resolve Issues</t>
  </si>
  <si>
    <t>Are we responsive?</t>
  </si>
  <si>
    <t>The speed of action in service of the customer.</t>
  </si>
  <si>
    <t>Conversion Rate %</t>
  </si>
  <si>
    <t>Is our value prop clear?</t>
  </si>
  <si>
    <t>The clarity of the value proposition, measured by the user's willingness to commit.</t>
  </si>
  <si>
    <t>Do customers feel a connection?</t>
  </si>
  <si>
    <t>The ultimate measure of loyalty and brand resonance.</t>
  </si>
  <si>
    <t>Partnership Integration</t>
  </si>
  <si>
    <t>% of Partnerships w/ Agreements</t>
  </si>
  <si>
    <t>Are our partnerships formalized?</t>
  </si>
  <si>
    <t>The stable, legal ground for collaboration.</t>
  </si>
  <si>
    <t>Partner Comm. Cadence</t>
  </si>
  <si>
    <t>Is there a smooth flow?</t>
  </si>
  <si>
    <t>A healthy, rhythmic flow of communication per month.</t>
  </si>
  <si>
    <t># Active Co-Creative Projects</t>
  </si>
  <si>
    <t>Are we creating value together?</t>
  </si>
  <si>
    <t>A sustainable number of active, energy-giving collaborations.</t>
  </si>
  <si>
    <t>Partner Onboarding Friction</t>
  </si>
  <si>
    <t>Do partners find us easy to work with?</t>
  </si>
  <si>
    <t>The clarity and efficiency of the integration process.</t>
  </si>
  <si>
    <t>Partner's Perceived Value</t>
  </si>
  <si>
    <t>Do they feel this is a win-win?</t>
  </si>
  <si>
    <t>The ultimate measure of a coherent partnership is that it feels deeply valuable to both sides.</t>
  </si>
  <si>
    <r>
      <t>λ_dept</t>
    </r>
    <r>
      <rPr>
        <sz val="11"/>
        <color rgb="FFE2E2E5"/>
        <rFont val="Currier new"/>
      </rPr>
      <t> (Dept. Coherence Penalty)</t>
    </r>
  </si>
  <si>
    <t>The "variance penalty" multipliers in your SYSTEM_COHERENCE sheet</t>
  </si>
  <si>
    <r>
      <t>They answer the question: "How much do we value </t>
    </r>
    <r>
      <rPr>
        <b/>
        <sz val="9"/>
        <color rgb="FFE2E2E5"/>
        <rFont val="Currier new"/>
      </rPr>
      <t>harmony</t>
    </r>
    <r>
      <rPr>
        <sz val="9"/>
        <color rgb="FFE2E2E5"/>
        <rFont val="Currier new"/>
      </rPr>
      <t> over raw </t>
    </r>
    <r>
      <rPr>
        <b/>
        <sz val="9"/>
        <color rgb="FFE2E2E5"/>
        <rFont val="Currier new"/>
      </rPr>
      <t>power</t>
    </r>
    <r>
      <rPr>
        <sz val="9"/>
        <color rgb="FFE2E2E5"/>
        <rFont val="Currier new"/>
      </rPr>
      <t>?"</t>
    </r>
  </si>
  <si>
    <r>
      <t>A </t>
    </r>
    <r>
      <rPr>
        <b/>
        <sz val="8"/>
        <color rgb="FFE2E2E5"/>
        <rFont val="Currier new"/>
      </rPr>
      <t>low λ</t>
    </r>
    <r>
      <rPr>
        <sz val="8"/>
        <color rgb="FFE2E2E5"/>
        <rFont val="Currier new"/>
      </rPr>
      <t> (e.g., 0.1) reflects a "growth-at-all-costs" mindset. It rewards high average scores, even if they are "jagged" and unsustainable. A </t>
    </r>
    <r>
      <rPr>
        <b/>
        <sz val="8"/>
        <color rgb="FFE2E2E5"/>
        <rFont val="Currier new"/>
      </rPr>
      <t>high λ</t>
    </r>
    <r>
      <rPr>
        <sz val="8"/>
        <color rgb="FFE2E2E5"/>
        <rFont val="Currier new"/>
      </rPr>
      <t> (e.g., 0.9) reflects the philosophy of a master conductor. It will severely punish a high average score if it comes from a dissonant, unbalanced system. It prioritizes the beauty of the music over the volume of the sound.</t>
    </r>
  </si>
  <si>
    <r>
      <t>(0.3, 0.25, 0.25):</t>
    </r>
    <r>
      <rPr>
        <sz val="8"/>
        <color rgb="FFE2E2E5"/>
        <rFont val="Currier new"/>
      </rPr>
      <t> These are wise, moderate starting points. They state a clear preference for harmony without being overly punitive.</t>
    </r>
  </si>
  <si>
    <r>
      <t>λ_oct</t>
    </r>
    <r>
      <rPr>
        <sz val="11"/>
        <color rgb="FFE2E2E5"/>
        <rFont val="Currier new"/>
      </rPr>
      <t> (Octave Coherence Penalty)</t>
    </r>
  </si>
  <si>
    <r>
      <t>λ_global</t>
    </r>
    <r>
      <rPr>
        <sz val="11"/>
        <color rgb="FFE2E2E5"/>
        <rFont val="Currier new"/>
      </rPr>
      <t> (Global Coherence Penalty)</t>
    </r>
  </si>
  <si>
    <r>
      <t>α (Alpha): The Synergy Blend</t>
    </r>
    <r>
      <rPr>
        <sz val="11"/>
        <color rgb="FFE2E2E5"/>
        <rFont val="Currier new"/>
      </rPr>
      <t xml:space="preserve"> (Pentagram Mean/Product Blend)</t>
    </r>
    <r>
      <rPr>
        <b/>
        <sz val="11"/>
        <color rgb="FFE2E2E5"/>
        <rFont val="Currier new"/>
      </rPr>
      <t xml:space="preserve"> </t>
    </r>
  </si>
  <si>
    <r>
      <t>It answers the question: "When two KPIs interact, is their combined effect a simple </t>
    </r>
    <r>
      <rPr>
        <b/>
        <sz val="9"/>
        <color theme="0"/>
        <rFont val="Currier new"/>
      </rPr>
      <t>average</t>
    </r>
    <r>
      <rPr>
        <sz val="9"/>
        <color theme="0"/>
        <rFont val="Currier new"/>
      </rPr>
      <t> (α=1.0) or is there a </t>
    </r>
    <r>
      <rPr>
        <b/>
        <sz val="9"/>
        <color theme="0"/>
        <rFont val="Currier new"/>
      </rPr>
      <t>multiplicative synergy</t>
    </r>
    <r>
      <rPr>
        <sz val="9"/>
        <color theme="0"/>
        <rFont val="Currier new"/>
      </rPr>
      <t> (α=0.0)?"</t>
    </r>
  </si>
  <si>
    <r>
      <t>A </t>
    </r>
    <r>
      <rPr>
        <b/>
        <sz val="8"/>
        <color theme="0"/>
        <rFont val="Currier new"/>
      </rPr>
      <t>high α</t>
    </r>
    <r>
      <rPr>
        <sz val="8"/>
        <color theme="0"/>
        <rFont val="Currier new"/>
      </rPr>
      <t> (e.g., 0.8) reflects a pragmatic, cautious view, trusting the simple average. A </t>
    </r>
    <r>
      <rPr>
        <b/>
        <sz val="8"/>
        <color theme="0"/>
        <rFont val="Currier new"/>
      </rPr>
      <t>low α</t>
    </r>
    <r>
      <rPr>
        <sz val="8"/>
        <color theme="0"/>
        <rFont val="Currier new"/>
      </rPr>
      <t> (e.g., 0.3) reflects a belief in non-linear effects, where two strong KPIs together create an effect far greater than their sum.</t>
    </r>
  </si>
  <si>
    <r>
      <t>(0.6):</t>
    </r>
    <r>
      <rPr>
        <sz val="8"/>
        <color rgb="FFE2E2E5"/>
        <rFont val="Currier new"/>
      </rPr>
      <t> This is a beautiful, balanced choice. It says, "We believe in synergy, but we will ground it in a pragmatic reality."</t>
    </r>
  </si>
  <si>
    <r>
      <t>β (Beta) The Intersection Blend</t>
    </r>
    <r>
      <rPr>
        <sz val="11"/>
        <color rgb="FFE2E2E5"/>
        <rFont val="Currier new"/>
      </rPr>
      <t xml:space="preserve"> (Pentagram Intersection Blend)</t>
    </r>
  </si>
  <si>
    <t>The constant in the Intersection Nodes (pᵢ) formula</t>
  </si>
  <si>
    <t>It determines how much influence adjacent "star pairs" have on each other. A β of 0.5 gives them equal influence.</t>
  </si>
  <si>
    <r>
      <t>(0.5):</t>
    </r>
    <r>
      <rPr>
        <sz val="8"/>
        <color rgb="FFE2E2E5"/>
        <rFont val="Currier new"/>
      </rPr>
      <t> This is the perfect, default choice. It assumes a state of balanced, symmetrical influence, which is the most coherent starting point.</t>
    </r>
  </si>
  <si>
    <r>
      <t xml:space="preserve">γ (Gamma): The "Ball and Pillars" </t>
    </r>
    <r>
      <rPr>
        <sz val="11"/>
        <color rgb="FFE2E2E5"/>
        <rFont val="Currier new"/>
      </rPr>
      <t>(Pentagram Pillar/Ball Blend)</t>
    </r>
  </si>
  <si>
    <t>The constant in our old Nuanced Avg. Pillar Health formula, but we can re-purpose it for our final Local Coherence Score</t>
  </si>
  <si>
    <r>
      <t>A </t>
    </r>
    <r>
      <rPr>
        <b/>
        <sz val="8"/>
        <color rgb="FFE2E2E5"/>
        <rFont val="Currier new"/>
      </rPr>
      <t>high γ</t>
    </r>
    <r>
      <rPr>
        <sz val="8"/>
        <color rgb="FFE2E2E5"/>
        <rFont val="Currier new"/>
      </rPr>
      <t> (e.g., 0.9) reflects a philosophy of "radical internal accountability." A </t>
    </r>
    <r>
      <rPr>
        <b/>
        <sz val="8"/>
        <color rgb="FFE2E2E5"/>
        <rFont val="Currier new"/>
      </rPr>
      <t>low γ</t>
    </r>
    <r>
      <rPr>
        <sz val="8"/>
        <color rgb="FFE2E2E5"/>
        <rFont val="Currier new"/>
      </rPr>
      <t> (e.g., 0.2) reflects a philosophy that a department is </t>
    </r>
    <r>
      <rPr>
        <i/>
        <sz val="8"/>
        <color rgb="FFE2E2E5"/>
        <rFont val="Currier new"/>
      </rPr>
      <t>nothing</t>
    </r>
    <r>
      <rPr>
        <sz val="8"/>
        <color rgb="FFE2E2E5"/>
        <rFont val="Currier new"/>
      </rPr>
      <t> without its healthy relationships.</t>
    </r>
  </si>
  <si>
    <r>
      <t>(0.7):</t>
    </r>
    <r>
      <rPr>
        <sz val="8"/>
        <color rgb="FFE2E2E5"/>
        <rFont val="Currier new"/>
      </rPr>
      <t> This is a wise and balanced choice. It states a belief that a department is primarily responsible for its own health (70%), but is also significantly influenced by its connections (30%).</t>
    </r>
  </si>
  <si>
    <r>
      <t>δ (Delta) The Axis Coherence Factor</t>
    </r>
    <r>
      <rPr>
        <sz val="11"/>
        <color rgb="FFE2E2E5"/>
        <rFont val="Currier new"/>
      </rPr>
      <t xml:space="preserve"> (Axis-Informed Blend)</t>
    </r>
  </si>
  <si>
    <t>The constant in our final AXIS-INFORMED FACE ENERGY formula</t>
  </si>
  <si>
    <r>
      <t>It answers the ultimate question: "How much of a domain's health is determined by its local conditions versus the health of its </t>
    </r>
    <r>
      <rPr>
        <b/>
        <sz val="9"/>
        <color rgb="FFE2E2E5"/>
        <rFont val="Currier new"/>
      </rPr>
      <t>polar opposite (its shadow)?</t>
    </r>
    <r>
      <rPr>
        <sz val="9"/>
        <color rgb="FFE2E2E5"/>
        <rFont val="Currier new"/>
      </rPr>
      <t>"</t>
    </r>
  </si>
  <si>
    <r>
      <t>This is a profound philosophical choice. A </t>
    </r>
    <r>
      <rPr>
        <b/>
        <sz val="8"/>
        <color rgb="FFE2E2E5"/>
        <rFont val="Currier new"/>
      </rPr>
      <t>high δ</t>
    </r>
    <r>
      <rPr>
        <sz val="8"/>
        <color rgb="FFE2E2E5"/>
        <rFont val="Currier new"/>
      </rPr>
      <t> (e.g., 0.9) says, "We primarily focus on our local reality." A </t>
    </r>
    <r>
      <rPr>
        <b/>
        <sz val="8"/>
        <color rgb="FFE2E2E5"/>
        <rFont val="Currier new"/>
      </rPr>
      <t>low δ</t>
    </r>
    <r>
      <rPr>
        <sz val="8"/>
        <color rgb="FFE2E2E5"/>
        <rFont val="Currier new"/>
      </rPr>
      <t> (e.g., 0.2) says, "We are profoundly and inextricably linked to our shadow; its health is our health."</t>
    </r>
  </si>
  <si>
    <r>
      <t>(0.5):</t>
    </r>
    <r>
      <rPr>
        <sz val="8"/>
        <color rgb="FFE2E2E5"/>
        <rFont val="Currier new"/>
      </rPr>
      <t> Your decision to set this to 50/50 is a magnificent and courageous statement of non-duality. It is the most coherent and advanced choice.</t>
    </r>
  </si>
  <si>
    <t>κ (Kappa): Sensitivity Amplifier</t>
  </si>
  <si>
    <t>The constant in our "amplifier" formula for the final Face Energy</t>
  </si>
  <si>
    <r>
      <t>This is your </t>
    </r>
    <r>
      <rPr>
        <b/>
        <sz val="9"/>
        <color rgb="FFE2E2E5"/>
        <rFont val="Currier new"/>
      </rPr>
      <t>"emotional responsiveness"</t>
    </r>
    <r>
      <rPr>
        <sz val="9"/>
        <color rgb="FFE2E2E5"/>
        <rFont val="Currier new"/>
      </rPr>
      <t> dial. It controls how steeply the "S-curve" of the logistic function responds.</t>
    </r>
  </si>
  <si>
    <r>
      <t>A </t>
    </r>
    <r>
      <rPr>
        <b/>
        <sz val="8"/>
        <color rgb="FFE2E2E5"/>
        <rFont val="Currier new"/>
      </rPr>
      <t>low κ</t>
    </r>
    <r>
      <rPr>
        <sz val="8"/>
        <color rgb="FFE2E2E5"/>
        <rFont val="Currier new"/>
      </rPr>
      <t> (e.g., 1.0) creates a gentle, forgiving system where it's hard to get a very low or very high score. It has high "inertia." A </t>
    </r>
    <r>
      <rPr>
        <b/>
        <sz val="8"/>
        <color rgb="FFE2E2E5"/>
        <rFont val="Currier new"/>
      </rPr>
      <t>high κ</t>
    </r>
    <r>
      <rPr>
        <sz val="8"/>
        <color rgb="FFE2E2E5"/>
        <rFont val="Currier new"/>
      </rPr>
      <t> (e.g., 5.0) creates a highly sensitive, "high-strung" system where small changes in real-world KPIs produce dramatic swings in the final Face Energy.</t>
    </r>
  </si>
  <si>
    <r>
      <t>(2.0):</t>
    </r>
    <r>
      <rPr>
        <sz val="8"/>
        <color rgb="FFE2E2E5"/>
        <rFont val="Currier new"/>
      </rPr>
      <t> This is a perfect starting point. It provides a good level of responsiveness without being overly volatile. If you ever feel the model is "stuck," this is the first knob you should consider turning up.</t>
    </r>
  </si>
  <si>
    <t>High</t>
  </si>
  <si>
    <t>30d</t>
  </si>
  <si>
    <t>72h</t>
  </si>
  <si>
    <t>Low</t>
  </si>
  <si>
    <t>7d</t>
  </si>
  <si>
    <t>4h</t>
  </si>
  <si>
    <t>Brand Consistency &amp; Trust</t>
  </si>
  <si>
    <t>Is the brand grounded in a consistent message?</t>
  </si>
  <si>
    <t>At this octave, consistency is the bedrock of a stable brand identity.</t>
  </si>
  <si>
    <t>Does the market trust our brand?</t>
  </si>
  <si>
    <t>Measures the emotional current between the brand and its audience. A score of 4 indicates deep trust.</t>
  </si>
  <si>
    <t>Public Relations Activity</t>
  </si>
  <si>
    <t>Are we actively building our reputation?</t>
  </si>
  <si>
    <t>A sustainable rhythm of proactive PR (articles, interviews) per quarter.</t>
  </si>
  <si>
    <t>Clarity of Competitive Positioning</t>
  </si>
  <si>
    <t>Is our unique value clear to the market?</t>
  </si>
  <si>
    <t>How clearly do stakeholders understand what makes Quannex different and superior?</t>
  </si>
  <si>
    <t>Does our brand promise match our operational reality?</t>
  </si>
  <si>
    <t>An Edge KPI. The ultimate measure of authenticity, expressed as a ratio. The goal is a perfect 1:1 alignment.</t>
  </si>
  <si>
    <t>Operational Throughput</t>
  </si>
  <si>
    <t>Is our product stable and reliable?</t>
  </si>
  <si>
    <t>The bedrock of operational excellence is a system that works consistently.</t>
  </si>
  <si>
    <t>Process Efficiency (Flow State)</t>
  </si>
  <si>
    <t>Are our workflows smooth?</t>
  </si>
  <si>
    <t>A qualitative score for how "frictionless" the core operational processes feel to the team.</t>
  </si>
  <si>
    <t>Task Completion Rate (%)</t>
  </si>
  <si>
    <t>Are we delivering what we promise?</t>
  </si>
  <si>
    <t>The raw measure of action and output. Do we finish what we start?</t>
  </si>
  <si>
    <t>Clarity of Roles in Ops</t>
  </si>
  <si>
    <t>Does everyone know their part in the process?</t>
  </si>
  <si>
    <t>Clear roles are the key to efficient and harmonious operational flow.</t>
  </si>
  <si>
    <t>Operational Pride</t>
  </si>
  <si>
    <t>Is the team proud of the work they do?</t>
  </si>
  <si>
    <t>The soul of operations. The felt sense of quality and purpose in the daily work.</t>
  </si>
  <si>
    <t>Regenerative Operations</t>
  </si>
  <si>
    <t>Are our processes materially efficient?</t>
  </si>
  <si>
    <t>A simple, grounded measure of moving towards a circular model.</t>
  </si>
  <si>
    <t>Employee Well-being linked to Regen choices</t>
  </si>
  <si>
    <t>Do our eco-choices improve our culture?</t>
  </si>
  <si>
    <t>A qualitative measure. Does choosing a green supplier make the team feel more aligned and proud?</t>
  </si>
  <si>
    <t># of Regenerative Process Improvements</t>
  </si>
  <si>
    <t>Are we actively making our ops greener?</t>
  </si>
  <si>
    <t>A sustainable rhythm of conscious improvements per quarter.</t>
  </si>
  <si>
    <t>Clarity of Supply Chain Ethics</t>
  </si>
  <si>
    <t>Do we know where our resources come from?</t>
  </si>
  <si>
    <t>The clarity and transparency of your entire supply chain.</t>
  </si>
  <si>
    <t>Operational Regeneration Index</t>
  </si>
  <si>
    <t>Are our operations healing or harming?</t>
  </si>
  <si>
    <t>The Edge KPI. A sophisticated composite score measuring the net regenerative impact of all ops.</t>
  </si>
  <si>
    <t>Formalized Cultural Systems</t>
  </si>
  <si>
    <t>Are values embedded in our formal systems?</t>
  </si>
  <si>
    <t>The Edge KPI. How well are values reflected in hiring, performance reviews, etc.?</t>
  </si>
  <si>
    <t>Internal Communication Flow</t>
  </si>
  <si>
    <t>How well does information and empathy flow?</t>
  </si>
  <si>
    <t>A measure of the health of the internal "circulatory system."</t>
  </si>
  <si>
    <t># of Community-Building Rituals</t>
  </si>
  <si>
    <t>Are we actively nurturing our culture?</t>
  </si>
  <si>
    <t>A sustainable rhythm of rituals (e.g., weekly check-ins, monthly celebrations) per month.</t>
  </si>
  <si>
    <t>Clarity of Code of Conduct</t>
  </si>
  <si>
    <t>Are our shared rules clear and explicit?</t>
  </si>
  <si>
    <t>A perfectly clear, written articulation of the cultural "rules of the road."</t>
  </si>
  <si>
    <t>Does the team feel the culture is authentic?</t>
  </si>
  <si>
    <t>A team poll. The ultimate measure of the soul of the lived culture.</t>
  </si>
  <si>
    <t>Financial System Integrity</t>
  </si>
  <si>
    <t>Do our financial systems meet professional standards?</t>
  </si>
  <si>
    <t>The Edge KPI. A checklist score measuring the robustness of your financial documentation.</t>
  </si>
  <si>
    <t>Predictability of Financial Projections</t>
  </si>
  <si>
    <t>How accurate is our financial forecasting?</t>
  </si>
  <si>
    <t>Speed of Financial Reporting</t>
  </si>
  <si>
    <t>How quickly can we close our books?</t>
  </si>
  <si>
    <t>The speed and efficiency of the core accounting process at the end of each month.</t>
  </si>
  <si>
    <t>Clarity of Financial Model</t>
  </si>
  <si>
    <t>Is our business model clear and defensible?</t>
  </si>
  <si>
    <t>A 1-5 score for the clarity and logic of your financial projections.</t>
  </si>
  <si>
    <t>Is our funding strategy aligned with our soul?</t>
  </si>
  <si>
    <t>The Edge KPI. The ultimate check that your financial structure serves your purpose.</t>
  </si>
  <si>
    <t>Risk Management Systems</t>
  </si>
  <si>
    <t>Are our core systems protected?</t>
  </si>
  <si>
    <t>The Edge KPI. A measure of the robustness of your operational safeguards.</t>
  </si>
  <si>
    <t>Team's Psychological Resilience</t>
  </si>
  <si>
    <t>Can the team handle pressure with grace?</t>
  </si>
  <si>
    <t>A qualitative assessment of the team's ability to navigate stress and uncertainty.</t>
  </si>
  <si>
    <t># of Risk Scenarios Modeled</t>
  </si>
  <si>
    <t>Are we actively preparing for threats?</t>
  </si>
  <si>
    <t>A sustainable rhythm of proactive "wargaming" sessions per quarter.</t>
  </si>
  <si>
    <t>Clarity of Risk Register</t>
  </si>
  <si>
    <t>Have we clearly documented our known risks?</t>
  </si>
  <si>
    <t>A perfectly clear, written log of the top 5-10 risks facing the venture.</t>
  </si>
  <si>
    <t>Will our values hold up under extreme pressure?</t>
  </si>
  <si>
    <t>The Edge KPI. The measure of the soul's ability to maintain integrity in a crisis.</t>
  </si>
  <si>
    <t>15d</t>
  </si>
  <si>
    <t>3d</t>
  </si>
  <si>
    <t>Rationale / Philosophy (Defines the Envelope)</t>
  </si>
  <si>
    <t>Pay Equity Ratios</t>
  </si>
  <si>
    <t>The goal is a balanced, equitable distribution of resources. The ideal is a ratio near 1.0 (e.g., between leadership and team pay).</t>
  </si>
  <si>
    <t>Are we actively sharing our success?</t>
  </si>
  <si>
    <t>Clarity of Compensation Philosophy</t>
  </si>
  <si>
    <t>Is the 'why' behind our financial choices clear?</t>
  </si>
  <si>
    <t>A score (1-5) on how well the principles of compensation are articulated and understood.</t>
  </si>
  <si>
    <t>"Financial Empathy" Score</t>
  </si>
  <si>
    <t>Does our financial system feel like it cares?</t>
  </si>
  <si>
    <t>A qualitative score (1-5) from the team. Does the system feel like a supportive tool or a controlling mechanism?</t>
  </si>
  <si>
    <t>Collaborative Knowledge</t>
  </si>
  <si>
    <t>Are we giving our knowledge back to the earth?</t>
  </si>
  <si>
    <t>Is there a flow of ideas between us and others?</t>
  </si>
  <si>
    <t># of Jointly Authored Papers/Patents</t>
  </si>
  <si>
    <t>Are we actively creating shared wins?</t>
  </si>
  <si>
    <t>A sustainable rhythm of creating formal, shared intellectual property.</t>
  </si>
  <si>
    <t>Clarity of IP Attribution Policies</t>
  </si>
  <si>
    <t>Are the rules of collaboration clear and fair?</t>
  </si>
  <si>
    <t>A score (1-5). Clear, fair agreements are the air a healthy collaboration breathes.</t>
  </si>
  <si>
    <t>"Knowledge as a Commons" Mentality</t>
  </si>
  <si>
    <t>Do we see our knowledge as a gift to be shared?</t>
  </si>
  <si>
    <t>A score (1-5). The ultimate purpose behind collaborative IP.</t>
  </si>
  <si>
    <t>Psychological Safety Score</t>
  </si>
  <si>
    <t>A survey score (1-5). The absolute, non-negotiable bedrock of any high-performing, coherent team.</t>
  </si>
  <si>
    <t>Team Cohesion / eNPS</t>
  </si>
  <si>
    <t>The classic eNPS score, measuring team morale and loyalty.</t>
  </si>
  <si>
    <t>Quality of Peer-to-Peer Feedback</t>
  </si>
  <si>
    <t>Is our communication honest, kind, and useful?</t>
  </si>
  <si>
    <t>A score (1-5). The clarity and quality of the air between people.</t>
  </si>
  <si>
    <t>"Sense of Belonging" Score</t>
  </si>
  <si>
    <t>Do our people feel they are truly part of the whole?</t>
  </si>
  <si>
    <t>A poll (1-10). The ultimate measure of a deeply resonant culture.</t>
  </si>
  <si>
    <t>Participatory Governance</t>
  </si>
  <si>
    <t>A percentage. What % of the team actively participates in governance decisions?</t>
  </si>
  <si>
    <t>Perceived Fairness of Structure</t>
  </si>
  <si>
    <t>Clarity of Appeal Processes</t>
  </si>
  <si>
    <t>Is it clear and safe to challenge the structure?</t>
  </si>
  <si>
    <t>A score (1-5). The crucial "release valve" for a healthy, non-tyrannical system.</t>
  </si>
  <si>
    <t>Customer Retention Rate %</t>
  </si>
  <si>
    <t>The most grounded, long-term measure of a healthy customer relationship.</t>
  </si>
  <si>
    <t>Do our customers have a strong emotional bond with us?</t>
  </si>
  <si>
    <t>The classic measure of customer love and willingness to advocate.</t>
  </si>
  <si>
    <t>Clarity of Customer Feedback Channels</t>
  </si>
  <si>
    <t>Can our customers speak to us easily and feel heard?</t>
  </si>
  <si>
    <t>Does our brand feel like a shared identity?</t>
  </si>
  <si>
    <t>A score (1-5). The ultimate state of resonance, where the boundary between company and customer dissolves.</t>
  </si>
  <si>
    <t>Ecosystem Health</t>
  </si>
  <si>
    <t>Partner's "Perceived Value of Rel." Score</t>
  </si>
  <si>
    <t>Do our partners feel this relationship is a win?</t>
  </si>
  <si>
    <t>The emotional current of the partnership. It must be a win-win to be coherent.</t>
  </si>
  <si>
    <t>A score (1-5). The crucial alignment of vision and purpose between partners.</t>
  </si>
  <si>
    <t>"Ecosystem as a Garden" Mentality</t>
  </si>
  <si>
    <t>Do we act as stewards of the whole network?</t>
  </si>
  <si>
    <t>A score (1-5). The ultimate purpose: to nurture the health of the entire ecosystem, not just our part in it.</t>
  </si>
  <si>
    <t>Stakeholder Value Distribution</t>
  </si>
  <si>
    <t>Is our financial structure grounded in fairness?</t>
  </si>
  <si>
    <t>Stakeholder Trust in Financials</t>
  </si>
  <si>
    <t>A 1-5 survey to key stakeholders (employees, partners) on their confidence in the financial integrity of the venture.</t>
  </si>
  <si>
    <t># of Active Co-Creative Projects</t>
  </si>
  <si>
    <t>Openness to External Feedback</t>
  </si>
  <si>
    <t>A 1-5 score measuring how well the team listens to and integrates ideas and critiques from its ecosystem.</t>
  </si>
  <si>
    <t>Is our team a safe ground for authenticity?</t>
  </si>
  <si>
    <t>Is there a strong emotional bond?</t>
  </si>
  <si>
    <t>The speed and efficiency with which interpersonal conflicts are addressed and resolved.</t>
  </si>
  <si>
    <t>Does every voice have a channel to flow?</t>
  </si>
  <si>
    <t>The percentage of the team that actively participates in key governance decisions or forums.</t>
  </si>
  <si>
    <t># of Votes/Polls on Key Decisions</t>
  </si>
  <si>
    <t>Are we actively seeking the collective wisdom?</t>
  </si>
  <si>
    <t>A sustainable rhythm of participatory decision-making per month.</t>
  </si>
  <si>
    <t>Leadership-Team Alignment Score</t>
  </si>
  <si>
    <t>Are the leaders and the team in resonance?</t>
  </si>
  <si>
    <t>Is our relationship with customers stable and lasting?</t>
  </si>
  <si>
    <t>Community Engagement Metrics</t>
  </si>
  <si>
    <t>Are we actively building a community?</t>
  </si>
  <si>
    <t>Measures active participation (forum posts, event attendance, user-generated content).</t>
  </si>
  <si>
    <t>A 1-5 score on the effectiveness of systems for gathering and acting on customer feedback.</t>
  </si>
  <si>
    <t>Customer-Brand Purpose Alignment</t>
  </si>
  <si>
    <t>Average Partnership Longevity</t>
  </si>
  <si>
    <t>Are our partnerships grounded in long-term commitment?</t>
  </si>
  <si>
    <t>The average length in years of a formal partnership.</t>
  </si>
  <si>
    <t>Are we actively creating value together?</t>
  </si>
  <si>
    <t>A sustainable rhythm of deep, collaborative projects.</t>
  </si>
  <si>
    <t>Quality of Partner Communication</t>
  </si>
  <si>
    <t>Is our communication with partners clear and honest?</t>
  </si>
  <si>
    <t>1:5</t>
  </si>
  <si>
    <t>1:2</t>
  </si>
  <si>
    <t>1:1</t>
  </si>
  <si>
    <t>1:15</t>
  </si>
  <si>
    <t>Is there an emotional flow of trust around in our numbers?</t>
  </si>
  <si>
    <t>% of Profit Shared/Bonus Allocation % with Team/Community</t>
  </si>
  <si>
    <t>The percentage of profits that are directly shared with the team, not just retained for shareholders. A direct measure of generosity. The ideal would be a significant, predefined percentage.</t>
  </si>
  <si>
    <t>A sustainable rhythm of building with our community, not just for them.</t>
  </si>
  <si>
    <t>Team Cohesion &amp; Psych./Safety</t>
  </si>
  <si>
    <t>Do we actively and skillfully heal our dissonance/disagreements?</t>
  </si>
  <si>
    <t>Conflict Resolution Time/Effectiveness</t>
  </si>
  <si>
    <t>14d</t>
  </si>
  <si>
    <t>1d</t>
  </si>
  <si>
    <t>A survey measuring the percentage of alignment on key strategic issues</t>
  </si>
  <si>
    <t>Are our people grounded in the structure and fairness?</t>
  </si>
  <si>
    <t>Customer Loyalty, Love &amp; Community</t>
  </si>
  <si>
    <t>0.5y</t>
  </si>
  <si>
    <t>3y</t>
  </si>
  <si>
    <t>1y</t>
  </si>
  <si>
    <t>Brand Trust &amp; Authenticity</t>
  </si>
  <si>
    <t>Is our brand a trusted foundation in the market?</t>
  </si>
  <si>
    <t>Trust is the stable ground upon which all authentic brands are built.</t>
  </si>
  <si>
    <t>Emotional Resonance of Story</t>
  </si>
  <si>
    <t>Does our story create a deep, positive feeling?</t>
  </si>
  <si>
    <t>A qualitative measure of the brand's ability to connect with the hearts of its audience.</t>
  </si>
  <si>
    <t># of Authentic Community Interactions</t>
  </si>
  <si>
    <t>Are we actively engaging in real conversations?</t>
  </si>
  <si>
    <t>A sustainable rhythm of genuine, non-automated interactions per week.</t>
  </si>
  <si>
    <t>Clarity of Our "Why"</t>
  </si>
  <si>
    <t>Is the core purpose of our brand clearly communicated?</t>
  </si>
  <si>
    <t>How well do stakeholders understand the deep "why" behind what we do?</t>
  </si>
  <si>
    <t>Brand-Community Co-creation</t>
  </si>
  <si>
    <t>Is our brand being co-created with our community?</t>
  </si>
  <si>
    <t>The percentage of brand content or initiatives that are born from direct community collaboration.</t>
  </si>
  <si>
    <t>Collaborative Flow</t>
  </si>
  <si>
    <t>Cross-Functional Team Success Rate</t>
  </si>
  <si>
    <t>Are our teams grounded in effective collaboration?</t>
  </si>
  <si>
    <t>The bedrock of relational operations. Do teams that work together succeed together?</t>
  </si>
  <si>
    <t>"Felt Sense of Flow" in Ops</t>
  </si>
  <si>
    <t>Does the work feel like a smooth dance?</t>
  </si>
  <si>
    <t>A team survey. The emotional and energetic quality of the operational rhythm.</t>
  </si>
  <si>
    <t>Mean Time to Resolve Internal Blockers</t>
  </si>
  <si>
    <t>How quickly do we help each other get unstuck?</t>
  </si>
  <si>
    <t>The speed with which the team swarms to solve internal problems and restore flow.</t>
  </si>
  <si>
    <t>Clarity of Inter-team Communication</t>
  </si>
  <si>
    <t>Do our teams communicate clearly with each other?</t>
  </si>
  <si>
    <t>A 1-5 score on the quality and clarity of information flow between different operational units.</t>
  </si>
  <si>
    <t>Operational Pride &amp; Shared Ownership</t>
  </si>
  <si>
    <t>Does the team feel a collective ownership of the work?</t>
  </si>
  <si>
    <t>The ultimate measure of a coherent operational culture.</t>
  </si>
  <si>
    <t>Stakeholder Relationships</t>
  </si>
  <si>
    <t>Local Community Investment</t>
  </si>
  <si>
    <t>Are we grounded in our local ecosystem?</t>
  </si>
  <si>
    <t>The percentage of revenue consciously reinvested into the health of the local community.</t>
  </si>
  <si>
    <t>Supplier Relationship Health Score</t>
  </si>
  <si>
    <t>Are our supplier relationships built on trust and mutual respect?</t>
  </si>
  <si>
    <t>A 1-5 survey to key suppliers.</t>
  </si>
  <si>
    <t># of Proactive Stakeholder Engagements</t>
  </si>
  <si>
    <t>Are we actively listening to our ecosystem?</t>
  </si>
  <si>
    <t>A sustainable rhythm of proactive outreach sessions (town halls, feedback forums) per quarter.</t>
  </si>
  <si>
    <t>Clarity of Stakeholder Impact Report</t>
  </si>
  <si>
    <t>Is our impact on stakeholders clear and honest?</t>
  </si>
  <si>
    <t>The quality and transparency of reporting on our social and ecological impact.</t>
  </si>
  <si>
    <t>"Sense of Shared Fate" with Stakeholders</t>
  </si>
  <si>
    <t>Do we feel we are all in this together?</t>
  </si>
  <si>
    <t>A qualitative measure of the deepest level of systemic and planetary alignment.</t>
  </si>
  <si>
    <t>Values in Relationship</t>
  </si>
  <si>
    <t>Are values grounded in our relationships?</t>
  </si>
  <si>
    <t>An Edge KPI. A 360-degree review score on how well team members feel their peers embody the core values.</t>
  </si>
  <si>
    <t>Empathy Score in Communications</t>
  </si>
  <si>
    <t>Do our internal communications feel compassionate?</t>
  </si>
  <si>
    <t>A qualitative score, perhaps using AI semantic analysis or team surveys on internal emails and messages.</t>
  </si>
  <si>
    <t># of Courageous Conversations</t>
  </si>
  <si>
    <t>Are we actively addressing value misalignments?</t>
  </si>
  <si>
    <t>The number of facilitated, intentional conversations per month to heal cultural dissonances.</t>
  </si>
  <si>
    <t>Understanding of Values in Action</t>
  </si>
  <si>
    <t>Can team members give clear examples of our values in action?</t>
  </si>
  <si>
    <t>The percentage of the team that can articulate a recent, concrete example of a core value being lived.</t>
  </si>
  <si>
    <t>Does our culture feel like a true and safe home?</t>
  </si>
  <si>
    <t>Investor Relationships</t>
  </si>
  <si>
    <t>Investor Trust &amp; Confidence Score</t>
  </si>
  <si>
    <t>Do our funders have a stable trust in our team and vision?</t>
  </si>
  <si>
    <t>A 1-5 survey to key investors.</t>
  </si>
  <si>
    <t>Flow of Communication with Investors</t>
  </si>
  <si>
    <t>Is there a healthy, transparent flow of information?</t>
  </si>
  <si>
    <t>A sustainable rhythm of updates and conversations per quarter. Not too much, not too little.</t>
  </si>
  <si>
    <t>Speed of Response to Investor Queries</t>
  </si>
  <si>
    <t>Are we actively serving our financial partners?</t>
  </si>
  <si>
    <t>The speed and quality of response to investor questions and needs.</t>
  </si>
  <si>
    <t>Clarity of Investor Reporting</t>
  </si>
  <si>
    <t>Are our reports to investors clear, honest, and holistic?</t>
  </si>
  <si>
    <t>To what degree does our reporting go beyond simple financials to share the true, coherent story of the venture?</t>
  </si>
  <si>
    <t>Investor-Mission Resonance</t>
  </si>
  <si>
    <t>Do our investors truly share our 'why'?</t>
  </si>
  <si>
    <t>A deep, qualitative assessment of the soul-level alignment with your capital partners.</t>
  </si>
  <si>
    <t>Relational Resilience</t>
  </si>
  <si>
    <t>"Strength of Support Network"</t>
  </si>
  <si>
    <t>Are we grounded in a strong support system?</t>
  </si>
  <si>
    <t>A 1-5 qualitative score of the strength, diversity, and reliability of the founder's and team's support network.</t>
  </si>
  <si>
    <t>Team's Emotional Regulation Capacity</t>
  </si>
  <si>
    <t>Can the team navigate stress with grace and flow?</t>
  </si>
  <si>
    <t>A qualitative assessment of the team's ability to stay centered during a crisis.</t>
  </si>
  <si>
    <t>Speed of Relational Repair</t>
  </si>
  <si>
    <t>How quickly and effectively do we repair trust when it is broken?</t>
  </si>
  <si>
    <t>The mean time to resolve a significant interpersonal or inter-team conflict.</t>
  </si>
  <si>
    <t>Clarity of Conflict Resolution Protocols</t>
  </si>
  <si>
    <t>Do we have a clear, agreed-upon process for healing?</t>
  </si>
  <si>
    <t>Is there a written, understood, and trusted process for navigating conflict?</t>
  </si>
  <si>
    <t>"Anti-Fragility" of Culture</t>
  </si>
  <si>
    <t>Does our culture get stronger from facing challenges?</t>
  </si>
  <si>
    <t>A qualitative score. Do we learn, grow, and become more coherent after a crisis, or are we weakened by it?</t>
  </si>
  <si>
    <r>
      <t>Measures the </t>
    </r>
    <r>
      <rPr>
        <sz val="8"/>
        <color theme="1"/>
        <rFont val="Courier New"/>
        <family val="3"/>
        <charset val="186"/>
      </rPr>
      <t>forecast variance</t>
    </r>
    <r>
      <rPr>
        <sz val="8"/>
        <color theme="1"/>
        <rFont val="Inter"/>
        <family val="2"/>
        <charset val="186"/>
      </rPr>
      <t>. How well do we understand the financial flow of our own venture?</t>
    </r>
  </si>
  <si>
    <t>48h</t>
  </si>
  <si>
    <t>24h</t>
  </si>
  <si>
    <t>Investment in Innovation</t>
  </si>
  <si>
    <t>% of Budget to R&amp;D/Innovation</t>
  </si>
  <si>
    <t>Is our creativity grounded in real resources?</t>
  </si>
  <si>
    <t>The tangible, financial commitment to building the future. 15% is a strong, healthy signal for a growth-oriented venture.</t>
  </si>
  <si>
    <t>Flow of "Experimental Capital"</t>
  </si>
  <si>
    <t>Can we easily fund small, creative experiments?</t>
  </si>
  <si>
    <t>A 1-5 score on the speed and lack of bureaucracy for getting small, innovative ideas funded and tested.</t>
  </si>
  <si>
    <t>Innovation ROI</t>
  </si>
  <si>
    <t>Are our creative investments generating a return?</t>
  </si>
  <si>
    <t>For every €1 invested in innovation, the goal is to see a €3 return in value (financial, social, or systemic).</t>
  </si>
  <si>
    <t>Clarity of Innovation Thesis</t>
  </si>
  <si>
    <t>Is our creative focus clear and well-defined?</t>
  </si>
  <si>
    <t>How clearly have we defined the "big problems" we are trying to solve with our innovation?</t>
  </si>
  <si>
    <t>Alignment of Investments with Planetary Needs</t>
  </si>
  <si>
    <t>Is our capital serving the highest creative good?</t>
  </si>
  <si>
    <t>A qualitative score. Are our R&amp;D investments aimed at solving the planet's most profound dissonances?</t>
  </si>
  <si>
    <t>Embodied Innovation</t>
  </si>
  <si>
    <t># of Working Prototypes</t>
  </si>
  <si>
    <t>Are our ideas grounded in tangible reality?</t>
  </si>
  <si>
    <t>The sustainable rhythm of turning ideas into working models. Focus on quality over quantity.</t>
  </si>
  <si>
    <t>Idea-to-Prototype Cycle Time</t>
  </si>
  <si>
    <t>What is the speed of our creative flow?</t>
  </si>
  <si>
    <t>The time it takes to turn a well-defined idea into a testable prototype.</t>
  </si>
  <si>
    <t>Are we actively formalizing our creations?</t>
  </si>
  <si>
    <t>A sustainable rhythm of either protecting unique IP or gifting it to the commons per year.</t>
  </si>
  <si>
    <t>Clarity of Technical Documentation</t>
  </si>
  <si>
    <t>Can others understand and build upon our creations?</t>
  </si>
  <si>
    <t>The clarity and quality of the documentation that accompanies each prototype or innovation.</t>
  </si>
  <si>
    <t>Beauty &amp; Elegance of Design</t>
  </si>
  <si>
    <t>Is our creation a work of art?</t>
  </si>
  <si>
    <t>A qualitative score. Does the design of our innovation (code, thesis, etc.) possess a sense of beauty and coherent elegance?</t>
  </si>
  <si>
    <t>Creative Culture</t>
  </si>
  <si>
    <t>Psychological Safety for "Crazy Ideas"</t>
  </si>
  <si>
    <t>Is it safe to be a creative genius here?</t>
  </si>
  <si>
    <t>A survey. The bedrock of a creative culture is safety from ridicule for proposing bold, non-obvious ideas.</t>
  </si>
  <si>
    <t>"Flow State" Score</t>
  </si>
  <si>
    <t>Does our work environment enable deep creative flow?</t>
  </si>
  <si>
    <t>A team survey on the ability to achieve uninterrupted, deep focus.</t>
  </si>
  <si>
    <t># of "Hack Days" or Creative Sprints</t>
  </si>
  <si>
    <t>Do we actively make space for pure creation?</t>
  </si>
  <si>
    <t>A healthy rhythm of dedicated, playful, creative sessions per quarter.</t>
  </si>
  <si>
    <t>Cross-Pollination of Ideas</t>
  </si>
  <si>
    <t>Do ideas flow freely between different minds?</t>
  </si>
  <si>
    <t>A qualitative score for the quality of brainstorming and interdisciplinary collaboration.</t>
  </si>
  <si>
    <t>Celebration of "Noble Failures"</t>
  </si>
  <si>
    <t>Is it safe for our experiments to fail?</t>
  </si>
  <si>
    <t>How well does the culture celebrate the learning that comes from experiments that don't "succeed"? This is the soul of innovation.</t>
  </si>
  <si>
    <t>Adaptive Governance</t>
  </si>
  <si>
    <t>Governance as a Stable Platform</t>
  </si>
  <si>
    <t>Does our structure provide a stable ground for creativity?</t>
  </si>
  <si>
    <t>Does the governance feel like a solid launchpad, not a shaky boat?</t>
  </si>
  <si>
    <t>Speed of Adapting Policies</t>
  </si>
  <si>
    <t>Can our rules change as fast as we learn?</t>
  </si>
  <si>
    <t>The time it takes for the governance system to adapt its own rules based on new information.</t>
  </si>
  <si>
    <t># of "Amnesty for Innovation" Processes</t>
  </si>
  <si>
    <t>Can we safely break rules for the sake of a good idea?</t>
  </si>
  <si>
    <t>Is there a formal, trusted process for allowing teams to temporarily suspend a rule for a well-defined experiment?</t>
  </si>
  <si>
    <t>Clarity of Innovation Mandate</t>
  </si>
  <si>
    <t>Is it clear what we are trying to create (and what we aren't)?</t>
  </si>
  <si>
    <t>How clearly has the governance articulated the "sandbox" within which creative freedom can be exercised?</t>
  </si>
  <si>
    <t>Do our creations align with our deepest values?</t>
  </si>
  <si>
    <t>An Edge KPI. Does our governance ensure that what we create is a true reflection of who we are?</t>
  </si>
  <si>
    <t>Co-Creative Marketing</t>
  </si>
  <si>
    <t>Are our innovations grounded in real user needs?</t>
  </si>
  <si>
    <t>The percentage of new features or ideas that are directly sourced from or co-developed with the customer community.</t>
  </si>
  <si>
    <t>Flow of Customer Ideas</t>
  </si>
  <si>
    <t>Do we have a frictionless channel for customer ideas?</t>
  </si>
  <si>
    <t>A 1-5 score on the quality and accessibility of the idea submission process.</t>
  </si>
  <si>
    <t># of Beta-Testing Campaigns</t>
  </si>
  <si>
    <t>Are we actively testing our creations with our community?</t>
  </si>
  <si>
    <t>A sustainable rhythm of engaging the community in testing and refining new prototypes.</t>
  </si>
  <si>
    <t>Clarity of "Beta" Communications</t>
  </si>
  <si>
    <t>Is our communication about new creations clear and honest?</t>
  </si>
  <si>
    <t>How clearly do we manage expectations and invite feedback during the experimental phase?</t>
  </si>
  <si>
    <t>"Sense of Shared Creation"</t>
  </si>
  <si>
    <t>Does our community feel like they are building this with us?</t>
  </si>
  <si>
    <t>The ultimate measure of a co-creative brand.</t>
  </si>
  <si>
    <t>Ecosystem Innovation</t>
  </si>
  <si>
    <t># of Innovations from Partners</t>
  </si>
  <si>
    <t>Are our partnerships a source of new creations?</t>
  </si>
  <si>
    <t>At this stage, having one significant innovation emerge from a partnership is a powerful signal.</t>
  </si>
  <si>
    <t>Flow of "Open Innovation"</t>
  </si>
  <si>
    <t>Are we open to ideas flowing from our entire network?</t>
  </si>
  <si>
    <t>How well is the venture tapping into the collective intelligence of its broader ecosystem?</t>
  </si>
  <si>
    <t># of Joint R&amp;D Projects</t>
  </si>
  <si>
    <t>Are we actively investing in building the future together?</t>
  </si>
  <si>
    <t>A sustainable number of deep, long-term R&amp;D collaborations with key strategic partners.</t>
  </si>
  <si>
    <t>Clarity of IP in Partnerships</t>
  </si>
  <si>
    <t>Are our agreements about shared creation crystal clear?</t>
  </si>
  <si>
    <t>A perfect, unambiguous understanding of who owns what in a co-creative endeavor.</t>
  </si>
  <si>
    <t>"Synergistic Emergence" Score</t>
  </si>
  <si>
    <t>Are our partnerships creating things neither of us could have created alone?</t>
  </si>
  <si>
    <t>A qualitative score measuring the "1+1=3" effect of your most important partnerships.</t>
  </si>
  <si>
    <t>90d</t>
  </si>
  <si>
    <t>Innovative Branding</t>
  </si>
  <si>
    <t>Market Experimentation Rate</t>
  </si>
  <si>
    <t>Are our brand ideas grounded in real-world tests?</t>
  </si>
  <si>
    <t>A sustainable rhythm of A/B testing, message experiments, and new channel explorations per quarter.</t>
  </si>
  <si>
    <t>Flow of Creative Brand Assets</t>
  </si>
  <si>
    <t>Are we producing a steady stream of beautiful content?</t>
  </si>
  <si>
    <t>A 1-5 score measuring the quality and consistency of creative output (visuals, articles, videos).</t>
  </si>
  <si>
    <t>Boldness of Brand Voice</t>
  </si>
  <si>
    <t>Are we actively pushing the boundaries of our message?</t>
  </si>
  <si>
    <t>A qualitative score. Is our brand voice playing it safe, or is it a courageous, thought-provoking signal?</t>
  </si>
  <si>
    <t>Clarity of Our Unique "Magic"</t>
  </si>
  <si>
    <t>Can we clearly articulate the unique genius of our creation?</t>
  </si>
  <si>
    <t>Beyond the value prop, how well can we explain the deep, unique "magic" at the heart of the Spiral model?</t>
  </si>
  <si>
    <t>Artistic &amp; Aesthetic Quality</t>
  </si>
  <si>
    <t>Is our brand itself a work of art?</t>
  </si>
  <si>
    <t>A qualitative score for the sheer beauty, elegance, and artistic merit of the brand's presentation.</t>
  </si>
  <si>
    <t>Operational Innovation</t>
  </si>
  <si>
    <t>Stability of Experimental Features</t>
  </si>
  <si>
    <t>Can we innovate without breaking our core product?</t>
  </si>
  <si>
    <t>"Learning Velocity" from Ops Data</t>
  </si>
  <si>
    <t>How quickly are we turning operational data into insights?</t>
  </si>
  <si>
    <t>The time it takes for a key learning from operational data to be translated into a process improvement experiment.</t>
  </si>
  <si>
    <t># of Process Improvement Experiments</t>
  </si>
  <si>
    <t>Are we actively seeking a better way to work?</t>
  </si>
  <si>
    <t>A sustainable rhythm of testing new workflows, tools, and operational models per quarter.</t>
  </si>
  <si>
    <t>Clarity of Innovation-Ops Handoff</t>
  </si>
  <si>
    <t>Is the process for integrating new ideas clear?</t>
  </si>
  <si>
    <t>A 1-5 score on the clarity of the process for moving a successful experiment into the core operational workflow.</t>
  </si>
  <si>
    <t>Joy in Operational Craftsmanship</t>
  </si>
  <si>
    <t>Do we find creative joy in making our process beautiful?</t>
  </si>
  <si>
    <t>The felt sense of pride and artistry in the operational work itself.</t>
  </si>
  <si>
    <t>Regenerative Design</t>
  </si>
  <si>
    <t>Circularity of Product Design</t>
  </si>
  <si>
    <t>Is our product designed to be regenerative from the start?</t>
  </si>
  <si>
    <t>A score based on a checklist. What percentage of our product/service is designed according to circular principles?</t>
  </si>
  <si>
    <t>Flow of "Cradle-to-Cradle" Thinking</t>
  </si>
  <si>
    <t>Is our design process a constant flow of awareness?</t>
  </si>
  <si>
    <t>A qualitative score. How deeply is the "waste = food" principle embedded in our design and R&amp;D culture?</t>
  </si>
  <si>
    <t># of Products/Features with Net-Positive Impact</t>
  </si>
  <si>
    <t>Are we actively creating things that heal?</t>
  </si>
  <si>
    <t>At this stage, creating one flagship feature or product that is demonstrably regenerative is a huge milestone.</t>
  </si>
  <si>
    <t>Clarity of "Life Cycle Assessment"</t>
  </si>
  <si>
    <t>Do we clearly understand the full impact of our creations?</t>
  </si>
  <si>
    <t>A binary score. Have we completed a formal or informal Life Cycle Assessment for our core offering?</t>
  </si>
  <si>
    <t>Design as an Act of Love for the Planet</t>
  </si>
  <si>
    <t>Is our creative process an expression of planetary care?</t>
  </si>
  <si>
    <t>The ultimate, qualitative measure of the soul of the creative process.</t>
  </si>
  <si>
    <t>Evolution of Values</t>
  </si>
  <si>
    <t>Resilience of Values Under Creative Stress</t>
  </si>
  <si>
    <t>Do our values remain a stable ground during rapid change?</t>
  </si>
  <si>
    <t>A qualitative score. When a brilliant but "edgy" new idea appears, do our values provide a clear filter or do they buckle?</t>
  </si>
  <si>
    <t>Flow of New Insights into our Value System</t>
  </si>
  <si>
    <t>Is our understanding of our own values deepening?</t>
  </si>
  <si>
    <t># of "Values Edge" Conversations</t>
  </si>
  <si>
    <t>Are we actively exploring the challenging edges of our ethics?</t>
  </si>
  <si>
    <t>A healthy rhythm of conversations per quarter focused on the most difficult ethical questions related to our innovations.</t>
  </si>
  <si>
    <t>Clarity of "Ethical Non-Negotiables"</t>
  </si>
  <si>
    <t>Are our brightest red lines crystal clear to all?</t>
  </si>
  <si>
    <t>Values as a Source of Innovation</t>
  </si>
  <si>
    <t>Do our values themselves inspire new creations?</t>
  </si>
  <si>
    <t>To what degree are our best new ideas born directly from a deep meditation on our core values?</t>
  </si>
  <si>
    <t>Creative Capital</t>
  </si>
  <si>
    <t>R&amp;D Investment as a % of Revenue</t>
  </si>
  <si>
    <t>Is our creativity grounded in a real financial commitment?</t>
  </si>
  <si>
    <t>A duplicate, confirming its importance. The financial bedrock of innovation.</t>
  </si>
  <si>
    <t>Funding for Experimental "Crazy Ideas"</t>
  </si>
  <si>
    <t>Is there a liquid pool of capital for pure experimentation?</t>
  </si>
  <si>
    <t>What percentage of the R&amp;D budget is explicitly "un--pegged," available for high-risk, high-reward explorations?</t>
  </si>
  <si>
    <t>Venture Capital / "Smart Money" Attraction</t>
  </si>
  <si>
    <t>Are we actively attracting capital that understands innovation?</t>
  </si>
  <si>
    <t>A 1-5 score on the quality of the venture's relationships with investors who specialize in deep tech or paradigm-shifting ideas.</t>
  </si>
  <si>
    <t>Clarity of Innovation Funding Thesis</t>
  </si>
  <si>
    <t>Is our strategy for funding innovation clear and compelling?</t>
  </si>
  <si>
    <t>How clearly can we articulate our long-term plan for funding the evolution of our product and vision?</t>
  </si>
  <si>
    <t>Capital as a Fuel for Planetary Transformation</t>
  </si>
  <si>
    <t>Is our funding model itself an act of creative purpose?</t>
  </si>
  <si>
    <t>Do our investors share our deepest, Monad-level vision for what this capital is here to create?</t>
  </si>
  <si>
    <t>Innovative Resilience</t>
  </si>
  <si>
    <t>Diversity of Innovation Portfolio</t>
  </si>
  <si>
    <t>Are our creative bets grounded in a resilient strategy?</t>
  </si>
  <si>
    <t>A 1-5 score. Are we balancing incremental improvements with radical new ideas, creating a resilient portfolio of innovation?</t>
  </si>
  <si>
    <t>Speed of Learning from Failed Experiments</t>
  </si>
  <si>
    <t>How quickly and gracefully do we pivot from what isn't working?</t>
  </si>
  <si>
    <t>The "pivot velocity." The time it takes from declaring an experiment a "noble failure" to fully integrating the learnings and reallocating the resources.</t>
  </si>
  <si>
    <t>"Anti-Fragility" through Innovation</t>
  </si>
  <si>
    <t>Are we actively using innovation to get stronger from shocks?</t>
  </si>
  <si>
    <t>Do we respond to a crisis or a market shift with a creative, innovative response that makes us more resilient than we were before?</t>
  </si>
  <si>
    <t>Clarity on "Riskiest Assumptions"</t>
  </si>
  <si>
    <t>Are we crystal clear about what we need to prove?</t>
  </si>
  <si>
    <t>How clearly has the team identified and documented the biggest assumptions in its business model that need to be tested and validated?</t>
  </si>
  <si>
    <t>Innovation as the Ultimate Risk Mitigation</t>
  </si>
  <si>
    <t>Do we see that the greatest risk is not innovating?</t>
  </si>
  <si>
    <t>A cultural score. To what degree does the organization understand that in a complex world, the only true safety lies in continuous, conscious evolution?</t>
  </si>
  <si>
    <r>
      <t>Measures the uptime and stability of the core system </t>
    </r>
    <r>
      <rPr>
        <i/>
        <sz val="8"/>
        <color theme="0"/>
        <rFont val="Inter"/>
        <family val="2"/>
        <charset val="186"/>
      </rPr>
      <t>while</t>
    </r>
    <r>
      <rPr>
        <sz val="8"/>
        <color theme="0"/>
        <rFont val="Inter"/>
        <family val="2"/>
        <charset val="186"/>
      </rPr>
      <t> new, experimental features are being tested.</t>
    </r>
  </si>
  <si>
    <r>
      <t>How well is the organization learning and evolving its </t>
    </r>
    <r>
      <rPr>
        <i/>
        <sz val="8"/>
        <color theme="0"/>
        <rFont val="Inter"/>
        <family val="2"/>
        <charset val="186"/>
      </rPr>
      <t>interpretation</t>
    </r>
    <r>
      <rPr>
        <sz val="8"/>
        <color theme="0"/>
        <rFont val="Inter"/>
        <family val="2"/>
        <charset val="186"/>
      </rPr>
      <t> of its core values as it grows?</t>
    </r>
  </si>
  <si>
    <r>
      <t>Are the absolute ethical boundaries, the things we will </t>
    </r>
    <r>
      <rPr>
        <i/>
        <sz val="8"/>
        <color theme="0"/>
        <rFont val="Inter"/>
        <family val="2"/>
        <charset val="186"/>
      </rPr>
      <t>never</t>
    </r>
    <r>
      <rPr>
        <sz val="8"/>
        <color theme="0"/>
        <rFont val="Inter"/>
        <family val="2"/>
        <charset val="186"/>
      </rPr>
      <t> do for profit or growth, perfectly clear to everyone?</t>
    </r>
  </si>
  <si>
    <t>Financial Storytelling</t>
  </si>
  <si>
    <t>Auditability &amp; Data Integrity Score</t>
  </si>
  <si>
    <t>Is our financial story grounded in irrefutable data?</t>
  </si>
  <si>
    <t>The absolute, non-negotiable foundation of truthful financial expression is clean, verifiable data.</t>
  </si>
  <si>
    <t>Stakeholder Confidence in Financials</t>
  </si>
  <si>
    <t>Does our reporting create a current of trust?</t>
  </si>
  <si>
    <t>A 1-5 survey. Measures the emotional resonance and believability of our financial story among key stakeholders.</t>
  </si>
  <si>
    <t>Quality of Annual/Impact Report</t>
  </si>
  <si>
    <t>Are we actively and beautifully crafting our financial narrative?</t>
  </si>
  <si>
    <t>A 1-5 score. Is our primary financial report a masterpiece of clarity, beauty, and authentic storytelling?</t>
  </si>
  <si>
    <t>Clarity of Business Model Articulation</t>
  </si>
  <si>
    <t>Is our value-creation story simple and clear to all?</t>
  </si>
  <si>
    <t>How easily can an outsider understand precisely how our organization creates and sustains financial value?</t>
  </si>
  <si>
    <t>Integration of Purpose in Financials</t>
  </si>
  <si>
    <t>Does our financial story express our soul?</t>
  </si>
  <si>
    <t>To what degree do our financial reports go beyond numbers to tell the profound story of our purpose and impact?</t>
  </si>
  <si>
    <t>Knowledge Sharing &amp; Influence</t>
  </si>
  <si>
    <t># of Published White Papers/Articles</t>
  </si>
  <si>
    <t>Is our core knowledge grounded in tangible, citable artifacts?</t>
  </si>
  <si>
    <t>A sustainable rhythm of turning internal knowledge into public, referenceable assets per quarter.</t>
  </si>
  <si>
    <t>Community Engagement with Content</t>
  </si>
  <si>
    <t>Is our knowledge flowing into and nourishing our ecosystem?</t>
  </si>
  <si>
    <t>Measures the shares, comments, and depth of discussion generated by our published knowledge.</t>
  </si>
  <si>
    <t># of Workshops/Talks Delivered</t>
  </si>
  <si>
    <t>Are we actively teaching what we know?</t>
  </si>
  <si>
    <t>A healthy rhythm of actively sharing our expertise and IP with the world per quarter.</t>
  </si>
  <si>
    <t>"Simplicity of Explanation" Score</t>
  </si>
  <si>
    <t>Is our complex genius expressed with simple elegance?</t>
  </si>
  <si>
    <t>A 1-5 score. How well can we explain the most complex parts of our model to a brilliant novice?</t>
  </si>
  <si>
    <t>Influence on the Wider Discourse</t>
  </si>
  <si>
    <t>Is our IP becoming a standard for our field?</t>
  </si>
  <si>
    <t>A qualitative score. Are other thinkers, leaders, and organizations beginning to adopt our language and frameworks?</t>
  </si>
  <si>
    <t>Cultural Storytelling</t>
  </si>
  <si>
    <t>Team's Ability to Articulate the "Why"</t>
  </si>
  <si>
    <t>Is every team member grounded in our shared story?</t>
  </si>
  <si>
    <t>The % of the team that can powerfully and accurately tell the organization's origin story and purpose.</t>
  </si>
  <si>
    <t>Employee Brand Ambassadorship</t>
  </si>
  <si>
    <t>Do our people feel like authentic, proud ambassadors?</t>
  </si>
  <si>
    <t>An "eNPS" style score. How likely are our team members to recommend our organization as a place of work and inspiration?</t>
  </si>
  <si>
    <t># of "Behind the Scenes" Cultural Stories</t>
  </si>
  <si>
    <t>Are we actively sharing the human reality of our culture?</t>
  </si>
  <si>
    <t>A sustainable rhythm of authentic, internal storytelling made public per month.</t>
  </si>
  <si>
    <t>Clarity of "Culture as a Product"</t>
  </si>
  <si>
    <t>Is our "way of being" a clear and attractive offering?</t>
  </si>
  <si>
    <t>How clearly do we articulate our culture as a key differentiator in our recruitment and branding?</t>
  </si>
  <si>
    <t>Inspirational Impact of our Culture</t>
  </si>
  <si>
    <t>Does our story inspire others to build better cultures?</t>
  </si>
  <si>
    <t>A qualitative score. Are other organizations looking to us as a model for a coherent and life-affirming culture?</t>
  </si>
  <si>
    <t>Governance Transparency</t>
  </si>
  <si>
    <t>% of Governance Docs Made Public</t>
  </si>
  <si>
    <t>Is our structure grounded in radical transparency?</t>
  </si>
  <si>
    <t>What percentage of our core, non-proprietary governance documents are available for the public to see?</t>
  </si>
  <si>
    <t>Perceived Transparency of Decision Flow</t>
  </si>
  <si>
    <t>Does the flow of our decisions feel clear and honest?</t>
  </si>
  <si>
    <r>
      <t>An external stakeholder survey. Do people trust the </t>
    </r>
    <r>
      <rPr>
        <i/>
        <sz val="8"/>
        <color rgb="FFE2E2E5"/>
        <rFont val="Inter"/>
        <family val="2"/>
        <charset val="186"/>
      </rPr>
      <t>process</t>
    </r>
    <r>
      <rPr>
        <sz val="8"/>
        <color rgb="FFE2E2E5"/>
        <rFont val="Inter"/>
        <family val="2"/>
        <charset val="186"/>
      </rPr>
      <t> by which we make choices?</t>
    </r>
  </si>
  <si>
    <t># of Public Statements on Governance</t>
  </si>
  <si>
    <t>Are we actively communicating how we govern?</t>
  </si>
  <si>
    <t>A healthy rhythm of blog posts or statements per year explaining key governance choices.</t>
  </si>
  <si>
    <t>Clarity of Governance Model Explanation</t>
  </si>
  <si>
    <t>Is our unique structure clearly understood?</t>
  </si>
  <si>
    <t>How well can we explain our unique legal and operational structure (e.g., Foundation) to the world?</t>
  </si>
  <si>
    <t>Influence of our Governance Model</t>
  </si>
  <si>
    <t>Does our way of governing serve as a model for others?</t>
  </si>
  <si>
    <t>Is our governance model itself becoming a piece of IP that inspires change in our ecosystem?</t>
  </si>
  <si>
    <t>Core Message "Signal Drift" %</t>
  </si>
  <si>
    <t>Is our core message stable and consistently expressed?</t>
  </si>
  <si>
    <t>Market's "Felt Resonance" Score</t>
  </si>
  <si>
    <t>Signal-to-Noise Ratio</t>
  </si>
  <si>
    <t>"Uplift" Score of Communications</t>
  </si>
  <si>
    <t>Ecosystem Narrative Weaving</t>
  </si>
  <si>
    <t>Health of Community Platform</t>
  </si>
  <si>
    <t>Do we have a stable "town square" for our ecosystem?</t>
  </si>
  <si>
    <t>A 1-5 score measuring the health, activity, and safety of our primary community platform (e.g., forum, Discord, newsletter).</t>
  </si>
  <si>
    <t>Flow of Community-Generated Stories</t>
  </si>
  <si>
    <t>Are the stories of our ecosystem flowing freely?</t>
  </si>
  <si>
    <t># of Partner Voice Amplifications</t>
  </si>
  <si>
    <t>Are we actively using our platform to feature our partners?</t>
  </si>
  <si>
    <t>A sustainable rhythm of partner spotlights, guest posts, and joint announcements per quarter.</t>
  </si>
  <si>
    <t>Clarity of "Joint Value Proposition"</t>
  </si>
  <si>
    <t>Is the story of our partnerships clear and compelling?</t>
  </si>
  <si>
    <t>How clearly can we articulate the "1+1=3" value of our key partnerships to the world?</t>
  </si>
  <si>
    <t>Generative Impact of our Network Narrative</t>
  </si>
  <si>
    <t>Is the story of our ecosystem inspiring other ecosystems?</t>
  </si>
  <si>
    <t>A qualitative measure of the influence and inspirational power of our collaborative model.</t>
  </si>
  <si>
    <t>Operational Transparency</t>
  </si>
  <si>
    <t>Process Documentation Readability Score</t>
  </si>
  <si>
    <t>Is our "how-to" documentation grounded and accessible?</t>
  </si>
  <si>
    <t>How easy is it for an outsider (or new team member) to read and understand our operational processes?</t>
  </si>
  <si>
    <t>Flow of "Behind the Scenes" Content</t>
  </si>
  <si>
    <t>Are we sharing the human story of our work?</t>
  </si>
  <si>
    <t>A sustainable rhythm of authentic, "making-of" content per month.</t>
  </si>
  <si>
    <t># of Public "Lessons Learned"</t>
  </si>
  <si>
    <t>Are we actively sharing our failures and learnings?</t>
  </si>
  <si>
    <t>The courageous act of publishing post-mortems and sharing wisdom from mistakes per quarter.</t>
  </si>
  <si>
    <t>Clarity of Operational Metrics</t>
  </si>
  <si>
    <t>Are the metrics we use to run our engine clear to all?</t>
  </si>
  <si>
    <t>How clearly do we explain the "why" behind the KPIs we track internally?</t>
  </si>
  <si>
    <t>Operational Model as a Teachable Asset</t>
  </si>
  <si>
    <t>Can other organizations learn from how we work?</t>
  </si>
  <si>
    <t>To what degree has our operational model itself become a piece of influential, teachable IP?</t>
  </si>
  <si>
    <t>Impact Storytelling</t>
  </si>
  <si>
    <t>Third-Party Impact Verification</t>
  </si>
  <si>
    <t>Is our regenerative claim grounded in objective proof?</t>
  </si>
  <si>
    <t>A binary milestone. Have we had our core regenerative claims verified by a respected third party?</t>
  </si>
  <si>
    <t>Emotional Impact of Our Story</t>
  </si>
  <si>
    <t>Does our story of regeneration inspire a feeling of hope?</t>
  </si>
  <si>
    <t>A qualitative survey. How do people feel after reading our impact report or hearing our story?</t>
  </si>
  <si>
    <t># of Impact Cases Published</t>
  </si>
  <si>
    <t>Are we actively telling the stories of our impact?</t>
  </si>
  <si>
    <t>A sustainable rhythm of well-crafted case studies per year.</t>
  </si>
  <si>
    <t>Clarity and Honesty of Impact Data</t>
  </si>
  <si>
    <t>Is our impact data radical in its transparency?</t>
  </si>
  <si>
    <t>A 1-5 score. Do we share the failures and challenges with the same clarity as our successes?</t>
  </si>
  <si>
    <t>Our Story's Contribution to the Planetary Narrative</t>
  </si>
  <si>
    <t>Is our story helping to write a new story for the world?</t>
  </si>
  <si>
    <t>Does our impact story serve the larger purpose of shifting the global conversation towards regeneration?</t>
  </si>
  <si>
    <t>Values as a Beacon</t>
  </si>
  <si>
    <t>Are our values grounded in a clear, public artifact?</t>
  </si>
  <si>
    <t>Is there a beautifully crafted, easily accessible page or document that states what we stand for?</t>
  </si>
  <si>
    <t>"Felt Authenticity" of Public Values</t>
  </si>
  <si>
    <t>Does the world feel our values are real?</t>
  </si>
  <si>
    <t>An external survey. Do partners and customers perceive our lived actions as being aligned with our stated values?</t>
  </si>
  <si>
    <t>Leadership's Active Voice on Values</t>
  </si>
  <si>
    <t>Are our leaders actively speaking from our values?</t>
  </si>
  <si>
    <t>A rhythm of articles, talks, or posts per quarter where leadership explicitly connects strategy to values.</t>
  </si>
  <si>
    <t>Simplicity &amp; Memorability of Values</t>
  </si>
  <si>
    <t>Are our values simple enough to live by?</t>
  </si>
  <si>
    <t>Are the core values articulated in a clear, memorable, and non-jargony way?</t>
  </si>
  <si>
    <t>Values as a Source of Public Inspiration</t>
  </si>
  <si>
    <t>Do our values inspire people, even outside our company?</t>
  </si>
  <si>
    <t>To what degree are our values becoming a "north star" that helps others navigate their own journeys?</t>
  </si>
  <si>
    <t>Capital as Communication</t>
  </si>
  <si>
    <t>Transparency of Funding Sources</t>
  </si>
  <si>
    <t>Is the foundation of our capital clear to all?</t>
  </si>
  <si>
    <t>Are we radically transparent about who has funded us and under what terms?</t>
  </si>
  <si>
    <t>Investor's "Felt Resonance" with our Story</t>
  </si>
  <si>
    <t>Do our investors feel a deep connection to our narrative?</t>
  </si>
  <si>
    <t>A qualitative score. Do our capital partners feel like true co-authors of our story?</t>
  </si>
  <si>
    <t># of Proactive Investor Updates</t>
  </si>
  <si>
    <t>Are we actively nurturing the narrative with our investors?</t>
  </si>
  <si>
    <t>A healthy, rhythmic flow of deep and authentic updates to financial partners per quarter.</t>
  </si>
  <si>
    <t>Clarity of our Financial "Ask"</t>
  </si>
  <si>
    <t>Is the story of our future funding needs clear and compelling?</t>
  </si>
  <si>
    <t>How clearly can we articulate what we need next, why we need it, and what it will create?</t>
  </si>
  <si>
    <t>Our Funding Model as an Inspiring Story</t>
  </si>
  <si>
    <t>Does how we are funded become a story that inspires others?</t>
  </si>
  <si>
    <t>Does our approach to "conscious capital" itself become an influential piece of our brand?</t>
  </si>
  <si>
    <t>Resilience through Story</t>
  </si>
  <si>
    <t>Publication of a "Failure Report"</t>
  </si>
  <si>
    <t>Are we grounded enough to share our biggest failures?</t>
  </si>
  <si>
    <t>A binary milestone. Have we had the courage to publish an annual, honest report of our biggest mistakes and learnings?</t>
  </si>
  <si>
    <t>Emotional Honesty in Crisis Comms.</t>
  </si>
  <si>
    <t>When things go wrong, do we speak from the heart?</t>
  </si>
  <si>
    <t>A score for the authenticity, speed, and compassion of communication during a crisis.</t>
  </si>
  <si>
    <t># of Proactive "Red Team" Exercises Shared</t>
  </si>
  <si>
    <t>Are we actively and openly stress-testing our own ideas?</t>
  </si>
  <si>
    <t>A rhythm of publicly sharing the results of exercises where we invite others to challenge our most cherished assumptions.</t>
  </si>
  <si>
    <t>Clarity of Risk &amp; Mitigation Comms.</t>
  </si>
  <si>
    <t>Are we radically transparent about the risks we face?</t>
  </si>
  <si>
    <t>How clearly do we communicate our known risks and our plans to mitigate them to our stakeholders?</t>
  </si>
  <si>
    <t>Our Vulnerability as a Source of Strength</t>
  </si>
  <si>
    <t>Does our open honesty become our greatest source of resilience?</t>
  </si>
  <si>
    <t>The ultimate paradox of authentic expression: does our willingness to be vulnerable make us invincible?</t>
  </si>
  <si>
    <r>
      <t>Measures the rate and quality of stories, ideas, and content being generated </t>
    </r>
    <r>
      <rPr>
        <i/>
        <sz val="8"/>
        <color theme="0"/>
        <rFont val="Inter"/>
        <family val="2"/>
        <charset val="186"/>
      </rPr>
      <t>by the community</t>
    </r>
    <r>
      <rPr>
        <sz val="8"/>
        <color theme="0"/>
        <rFont val="Inter"/>
        <family val="2"/>
        <charset val="186"/>
      </rPr>
      <t>, not just by us.</t>
    </r>
  </si>
  <si>
    <t>Long-Term Capital Stewardship</t>
  </si>
  <si>
    <t>7-Generation Financial Planning</t>
  </si>
  <si>
    <t>Is our financial plan grounded in a truly long-term view?</t>
  </si>
  <si>
    <t>A binary milestone. Have we developed a formal financial model that considers a multi-generational (or at least 10-20 year) time horizon?</t>
  </si>
  <si>
    <t>Flow of Capital to Future Bets</t>
  </si>
  <si>
    <t>Is there a liquid pool of capital for long-term, visionary projects?</t>
  </si>
  <si>
    <t>The percentage of the total budget explicitly allocated to "moonshot" or 7-Generation projects.</t>
  </si>
  <si>
    <t>Long-Term Regenerative ROI</t>
  </si>
  <si>
    <t>Are our most visionary investments creating the most profound value?</t>
  </si>
  <si>
    <t>Clarity of Long-Term Financial Vision</t>
  </si>
  <si>
    <t>Is our long-term financial story clear and compelling?</t>
  </si>
  <si>
    <t>How clearly can we articulate the financial architecture of the world we are trying to build?</t>
  </si>
  <si>
    <t>Finance as an Act of Future-Building</t>
  </si>
  <si>
    <t>Is our capital a direct expression of the future we choose?</t>
  </si>
  <si>
    <t>The degree to which the venture's entire financial strategy is seen as the primary engine for creating a more coherent future.</t>
  </si>
  <si>
    <t>Evolution of Knowledge</t>
  </si>
  <si>
    <t>Long-Term IP Roadmap</t>
  </si>
  <si>
    <t>Is our intellectual capital grounded in a long-term plan?</t>
  </si>
  <si>
    <t>A binary milestone. Do we have a clear, written roadmap for the evolution of our core models and IP over the next 5-10 years?</t>
  </si>
  <si>
    <t>"Learning Velocity" of the System</t>
  </si>
  <si>
    <t>Is our organization itself a rapid learning system?</t>
  </si>
  <si>
    <t>A 1-5 score measuring the speed and efficiency with which the organization unlearns old paradigms and integrates new knowledge.</t>
  </si>
  <si>
    <t># of Paradigm-Shifting Insights</t>
  </si>
  <si>
    <t>Are we actively generating truly novel ideas?</t>
  </si>
  <si>
    <t>The number of core, "game-changing" insights generated and documented per year. A measure of true creative genius.</t>
  </si>
  <si>
    <t>Clarity of Future Vision</t>
  </si>
  <si>
    <t>Is the picture of the future we are building clear to all?</t>
  </si>
  <si>
    <t>How vividly and precisely can the team articulate the world that this IP will help create?</t>
  </si>
  <si>
    <t>Knowledge in Service of Planetary Evolution</t>
  </si>
  <si>
    <t>Is our knowledge for the good of future generations?</t>
  </si>
  <si>
    <t>The degree to which our entire R&amp;D and IP strategy is consciously aimed at solving the deepest challenges of tomorrow.</t>
  </si>
  <si>
    <t>Long-Term Cultural Viability</t>
  </si>
  <si>
    <t>Succession Planning &amp; Mentorship</t>
  </si>
  <si>
    <t>Is our culture grounded enough to outlive its founders?</t>
  </si>
  <si>
    <t>A 1-5 score on the health of mentorship programs and the formal process for developing the next generation of leaders.</t>
  </si>
  <si>
    <t>Inter-Generational Flow of Wisdom</t>
  </si>
  <si>
    <t>Is there a healthy flow of knowledge from old to new?</t>
  </si>
  <si>
    <t>How well is tacit knowledge and deep wisdom passed between senior and junior members of the team?</t>
  </si>
  <si>
    <t>Leadership Development Programs</t>
  </si>
  <si>
    <t>Are we actively forging the leaders of tomorrow?</t>
  </si>
  <si>
    <t>A sustainable rhythm of formal programs designed to cultivate the next wave of coherent leadership.</t>
  </si>
  <si>
    <t>Clarity of Long-Term Cultural Vision</t>
  </si>
  <si>
    <t>Is the "soul" of our future culture clear?</t>
  </si>
  <si>
    <t>Do we have a clear, shared vision for the kind of culture we want to have in 10, 20, 50 years?</t>
  </si>
  <si>
    <t>Culture as a Living Legacy</t>
  </si>
  <si>
    <t>Is our way of being our greatest gift to the future?</t>
  </si>
  <si>
    <t>The degree to which the culture itself is viewed as the most important and enduring "product" the organization creates.</t>
  </si>
  <si>
    <t>Evolutionary Governance</t>
  </si>
  <si>
    <t>Constitutional Stability</t>
  </si>
  <si>
    <t>Is our core governance built to last?</t>
  </si>
  <si>
    <t>A 1-5 score on the resilience and timelessness of the venture's core "constitutional" documents and principles.</t>
  </si>
  <si>
    <t>Speed of Governance Evolution</t>
  </si>
  <si>
    <t>Can our governance model itself learn and evolve?</t>
  </si>
  <si>
    <t>The time it takes for the organization to make a fundamental, structural change to its own governance model based on new learning.</t>
  </si>
  <si>
    <t># of Governance Experiments</t>
  </si>
  <si>
    <t>Are we actively stress-testing our own power structures?</t>
  </si>
  <si>
    <t>A rhythm of consciously running experiments with new forms of decision-making, ownership, and power.</t>
  </si>
  <si>
    <t>Clarity of Evolutionary Path</t>
  </si>
  <si>
    <t>Is our path to a more coherent future structure clear?</t>
  </si>
  <si>
    <t>Do we a have a clear, shared vision for how our governance will evolve as we scale?</t>
  </si>
  <si>
    <t>Governance as a Living Inquiry</t>
  </si>
  <si>
    <t>Is our way of governing a constant search for truth?</t>
  </si>
  <si>
    <t>The degree to which governance is seen not as a fixed set of rules, but as a living, dynamic, and joyful exploration of coherence.</t>
  </si>
  <si>
    <t>Future-Shaping Narratives</t>
  </si>
  <si>
    <t>Long-Term Narrative Arc</t>
  </si>
  <si>
    <t>Is our story grounded in a long, epic timeline?</t>
  </si>
  <si>
    <t>A binary milestone. Have we articulated the grand, multi-year or multi-decade narrative arc of our brand?</t>
  </si>
  <si>
    <t>Flow of "Weak Signals" from the Future</t>
  </si>
  <si>
    <t>Are we listening to the whispers of what is to come?</t>
  </si>
  <si>
    <t>A qualitative score on the organization's ability to detect and interpret the subtle, emergent trends that will shape the future.</t>
  </si>
  <si>
    <t># of "Provocative" Future Scenarios</t>
  </si>
  <si>
    <t>Are we actively telling challenging stories about the future?</t>
  </si>
  <si>
    <t>The number of thought-provoking articles, videos, or scenarios we publish per year that challenge conventional thinking about the future.</t>
  </si>
  <si>
    <t>Clarity of our Vision for a Better World</t>
  </si>
  <si>
    <t>Is the future we are aiming for clear and compelling?</t>
  </si>
  <si>
    <t>How vividly and inspiringly can we paint a picture of the world we are trying to co-create?</t>
  </si>
  <si>
    <t>Brand as a "Strange Attractor" for the Future</t>
  </si>
  <si>
    <t>Is our brand itself a force that pulls the desired future into being?</t>
  </si>
  <si>
    <t>a "trellis", from chaos theory. To what degree does our brand act as a powerful, coherent signal around which a new, better future can self-organize?</t>
  </si>
  <si>
    <t>Ecosystem as a Future-Builder</t>
  </si>
  <si>
    <t>Long-Term Ecosystem Health</t>
  </si>
  <si>
    <t>Are our partnerships grounded in creating a resilient future for all?</t>
  </si>
  <si>
    <t>A qualitative score on the long-term viability and health of the entire ecosystem we are a part of.</t>
  </si>
  <si>
    <t>Flow of "Generative" Capital in Network</t>
  </si>
  <si>
    <t>Does value and support flow freely to where it's needed most?</t>
  </si>
  <si>
    <t>How well does our network act as a "mutual support system," beyond simple transactional relationships?</t>
  </si>
  <si>
    <t># of Joint Ventures for Systemic Change</t>
  </si>
  <si>
    <t>Are we actively co-creating the future with our partners?</t>
  </si>
  <si>
    <t>The number of deep, formal joint ventures aimed at tackling large, systemic challenges that no single organization could solve.</t>
  </si>
  <si>
    <t>Clarity of "Shared Vision" with Ecosystem</t>
  </si>
  <si>
    <t>Do we have a clear, shared picture of the future we are building together?</t>
  </si>
  <si>
    <t>How well is the "meta-vision" of the entire ecosystem articulated and understood by all its members?</t>
  </si>
  <si>
    <t>Network as a Seed for a New Civilization</t>
  </si>
  <si>
    <t>Is our collaborative ecosystem a living prototype of a better way to be?</t>
  </si>
  <si>
    <t>The ultimate measure of a coherent network: is it a seed crystal for a more beautiful future for all of humanity?</t>
  </si>
  <si>
    <r>
      <t>A qualitative 1-5 score. Measures the </t>
    </r>
    <r>
      <rPr>
        <i/>
        <sz val="8"/>
        <rFont val="Inter"/>
        <family val="2"/>
        <charset val="186"/>
      </rPr>
      <t>systemic</t>
    </r>
    <r>
      <rPr>
        <sz val="8"/>
        <rFont val="Inter"/>
        <family val="2"/>
        <charset val="186"/>
      </rPr>
      <t> return (not just financial) on our most future-focused investments.</t>
    </r>
  </si>
  <si>
    <t>5y</t>
  </si>
  <si>
    <t>How much does our core message deviate across different channels and team members? Lower is better. The bedrock of listening. A low drift % proves that the market is hearing a stable, grounded signal from us.</t>
  </si>
  <si>
    <t>What is the emotional current our signal creates in the audience?</t>
  </si>
  <si>
    <r>
      <t>A survey of our target audience. How do they </t>
    </r>
    <r>
      <rPr>
        <i/>
        <sz val="8"/>
        <rFont val="Inter"/>
        <family val="2"/>
        <charset val="186"/>
      </rPr>
      <t>feel</t>
    </r>
    <r>
      <rPr>
        <sz val="8"/>
        <rFont val="Inter"/>
        <family val="2"/>
        <charset val="186"/>
      </rPr>
      <t> after interacting with our brand? A receptive measure. How do they feel? This is the core of empathetic listening to the market.</t>
    </r>
  </si>
  <si>
    <t>Are we actively creating spaces for the market to speak to us?</t>
  </si>
  <si>
    <t>Measures the quality and frequency of two-way conversations (forums, workshops), not just one-way projection.</t>
  </si>
  <si>
    <t>Depth of Community Dialogue</t>
  </si>
  <si>
    <t>Can we hear the true signal in the market's response?</t>
  </si>
  <si>
    <t>How well can we distinguish valuable, coherent feedback from random noise and distraction? A measure of our clarity as listeners.</t>
  </si>
  <si>
    <t>Does our audience feel elevated and served by our signal?</t>
  </si>
  <si>
    <t>Does our marketing and communication leave people feeling more coherent, intelligent, and inspired, regardless of whether they buy? The ultimate receptive measure. Does the audience feel that our communication is a gift to them?</t>
  </si>
  <si>
    <t>Ecosystem Signal Fidelity</t>
  </si>
  <si>
    <t>Authentic Brand Expression</t>
  </si>
  <si>
    <t>The bedrock of an authentic brand. A ratio of 1.0 means our "say" and our "do" are in perfect alignment.</t>
  </si>
  <si>
    <t>"Felt Authenticity" of Brand Voice</t>
  </si>
  <si>
    <t># of "Flagship" Content Pieces</t>
  </si>
  <si>
    <t>Artistic &amp; Aesthetic Quality of Brand</t>
  </si>
  <si>
    <t>Is our "speaking" grounded in the truth of our "doing"?</t>
  </si>
  <si>
    <t>Is the emotional current of our voice true to our soul?</t>
  </si>
  <si>
    <t>Are we actively planting our flag and speaking our deepest truth?</t>
  </si>
  <si>
    <t>Is our voice expressed with clarity, beauty, and elegance?</t>
  </si>
  <si>
    <t>Is our voice a beacon that helps others to navigate?</t>
  </si>
  <si>
    <t>An internal measure. Does the voice we project outwards feel like an authentic and true expression of who we are?</t>
  </si>
  <si>
    <t>The deliberate, high-effort acts of speaking. Measures the creation of profound, thesis-grade content per quarter.</t>
  </si>
  <si>
    <t>A qualitative score for the sheer craftsmanship and artistry of our brand's expression.</t>
  </si>
  <si>
    <t>The ultimate purpose of our speech. Does our brand's signal shine a light that illuminates a path for others?</t>
  </si>
  <si>
    <t>"Legacy" Branding</t>
  </si>
  <si>
    <t>Longevity of Brand Architecture</t>
  </si>
  <si>
    <t>Is our brand's core identity built on timeless principles?</t>
  </si>
  <si>
    <t>A 1-5 score. How well is our brand's "deep grammar" designed to be relevant for decades, not just years?</t>
  </si>
  <si>
    <t>Emotional Resonance with Future Generations</t>
  </si>
  <si>
    <t>Is the story we're telling one that will matter to our children's children?</t>
  </si>
  <si>
    <t>A profound, qualitative assessment of the story's timeless emotional power.</t>
  </si>
  <si>
    <t>Creation of a "Canonical" Work</t>
  </si>
  <si>
    <t>Are we actively creating the single, definitive work that will be our legacy?</t>
  </si>
  <si>
    <t>A binary milestone. Have we published the "great book" or created the "masterpiece" that will stand as our ultimate contribution?</t>
  </si>
  <si>
    <t>Clarity of our Mythopoetic Narrative</t>
  </si>
  <si>
    <t>Have we articulated the grand, mythic story of our purpose?</t>
  </si>
  <si>
    <t>Beyond a brand story, this is the articulation of the venture's role in the great, unfolding story of humanity.</t>
  </si>
  <si>
    <t>Brand as a Teacher of Wisdom</t>
  </si>
  <si>
    <t>Does our brand itself become a source of timeless wisdom?</t>
  </si>
  <si>
    <t>To what degree does our brand transcend commerce and become a trusted source for deep, universal truths?</t>
  </si>
  <si>
    <t>Evolutionary Operations</t>
  </si>
  <si>
    <t>"Autopoietic" System Design</t>
  </si>
  <si>
    <t>Are our operations designed to be self-creating and self-maintaining?</t>
  </si>
  <si>
    <t>(From Varela &amp; Maturana). A 1-5 score on how well our systems are designed to learn, adapt, and sustain themselves without constant intervention.</t>
  </si>
  <si>
    <t>Flow of "Emergent" Processes</t>
  </si>
  <si>
    <t>Can new, better ways of working flow up organically from the team?</t>
  </si>
  <si>
    <t>How well does the system allow for and integrate emergent, bottom-up process innovations?</t>
  </si>
  <si>
    <t>"Exaptation" Rate</t>
  </si>
  <si>
    <t>Are we actively finding surprising, higher uses for our existing tools?</t>
  </si>
  <si>
    <t>(From evolutionary biology). A score for how well we repurpose existing tools and processes for novel, higher-order functions.</t>
  </si>
  <si>
    <t>Simplicity of Core Operating Principles</t>
  </si>
  <si>
    <t>Can our entire operational model be distilled to a few clear principles?</t>
  </si>
  <si>
    <t>The ultimate sign of mastery. Can our complex "how" be explained via a handful of simple, elegant, guiding principles?</t>
  </si>
  <si>
    <t>Operations as a Practice of Mastery</t>
  </si>
  <si>
    <t>Is the daily work itself a path to personal and collective evolution?</t>
  </si>
  <si>
    <t>The degree to which team members feel their daily operational work is a profound practice for their own growth.</t>
  </si>
  <si>
    <t>Generational Regeneration</t>
  </si>
  <si>
    <t>7-Generation Impact Assessment</t>
  </si>
  <si>
    <t>Are we grounded in a truly long-term view of our impact?</t>
  </si>
  <si>
    <t>A binary milestone. Have we conducted a formal analysis of the potential impact of our actions on the next seven generations?</t>
  </si>
  <si>
    <t>"Flow of Care" for Future Beings</t>
  </si>
  <si>
    <t>Do our decisions embody a deep, emotional care for the future?</t>
  </si>
  <si>
    <t>A profound, qualitative score. Is our strategic process imbued with a felt sense of responsibility for those not yet born?</t>
  </si>
  <si>
    <t># of Projects with a 100+ Year Horizon</t>
  </si>
  <si>
    <t>Are we actively seeding projects that will outlive us?</t>
  </si>
  <si>
    <t>A single, profoundly ambitious, "cathedral project" is a massive signal of long-term vision.</t>
  </si>
  <si>
    <t>Clarity of our Regenerative Legacy</t>
  </si>
  <si>
    <t>Is the long-term positive impact we want to create crystal clear?</t>
  </si>
  <si>
    <t>Can we articulate, with perfect clarity, the regenerative legacy we intend to leave?</t>
  </si>
  <si>
    <t>Organization as a Planetary Steward</t>
  </si>
  <si>
    <t>Do we see ourselves as caretakers for a small piece of the Earth?</t>
  </si>
  <si>
    <t>Timeless Values</t>
  </si>
  <si>
    <t>Constitutional Integrity</t>
  </si>
  <si>
    <t>Are our core values embedded in a rock-solid, timeless "constitution"?</t>
  </si>
  <si>
    <t>The degree to which the venture's deepest principles are protected in its foundational legal and governance documents.</t>
  </si>
  <si>
    <t>"Transmission Fidelity" of Values</t>
  </si>
  <si>
    <t>How well are our values passed on to new generations of the team?</t>
  </si>
  <si>
    <t>A measure of the effectiveness of the cultural onboarding process.</t>
  </si>
  <si>
    <t>Active Defense of Values</t>
  </si>
  <si>
    <t>Do we actively and courageously defend our values, even when it's costly?</t>
  </si>
  <si>
    <t>A score based on real-world case studies. When faced with a choice between values and profit/convenience, which do we choose?</t>
  </si>
  <si>
    <t>Universalizability of Values</t>
  </si>
  <si>
    <t>Are our values clear and resonant across all cultures and times?</t>
  </si>
  <si>
    <t>How well are our values based on deep, universal, archetypal principles rather than narrow, temporary beliefs?</t>
  </si>
  <si>
    <t>Values as a Connection to the Sacred</t>
  </si>
  <si>
    <t>Do our values connect us to the timeless and the transcendent?</t>
  </si>
  <si>
    <t>The ultimate purpose of values: to be a bridge between the mundane and the magnificent.</t>
  </si>
  <si>
    <t>Legacy Capital</t>
  </si>
  <si>
    <t>Creation of an Endowment / Foundation</t>
  </si>
  <si>
    <t>Is our financial vision grounded in a structure of permanence?</t>
  </si>
  <si>
    <t>A binary milestone. Have we created a legal and financial structure designed to carry the mission forward for generations?</t>
  </si>
  <si>
    <t>"Patient Capital" Ratio</t>
  </si>
  <si>
    <t>What is the emotional time-horizon of our funders?</t>
  </si>
  <si>
    <t>The weighted-average time horizon of our primary capital partners. The goal is to be funded by "cathedral-builders."</t>
  </si>
  <si>
    <t>Investment in "Deep Future" R&amp;D</t>
  </si>
  <si>
    <t>Are we actively funding research that may not pay off for decades?</t>
  </si>
  <si>
    <t>The percentage of the R&amp;D budget allocated to pure, foundational research with a 20+ year time horizon.</t>
  </si>
  <si>
    <t>Clarity of our "100-Year Plan"</t>
  </si>
  <si>
    <t>Is our long, long-term vision for value creation clear?</t>
  </si>
  <si>
    <t>How vividly can we articulate the story of the venture's role in the world a century from now?</t>
  </si>
  <si>
    <t>Capital as a Generational Trust</t>
  </si>
  <si>
    <t>Do we see our capital not as ours, but as a trust for the future?</t>
  </si>
  <si>
    <t>The ultimate shift in the consciousness of capital.</t>
  </si>
  <si>
    <t>"Anti-Fragile" Vision</t>
  </si>
  <si>
    <t>Redundancy of Core Vision</t>
  </si>
  <si>
    <t>Is the vision held by a resilient group, not a single individual?</t>
  </si>
  <si>
    <t>A "Bus Factor" for the vision itself. How many people in the organization are true "culture carriers" who could steward the vision?</t>
  </si>
  <si>
    <t>"Flow State" in the Face of Deep Uncertainty</t>
  </si>
  <si>
    <t>Can we remain in a state of creative flow amidst profound, long-term ambiguity?</t>
  </si>
  <si>
    <t>The team's ability to dance with the unknown without needing to collapse into rigid, certain plans.</t>
  </si>
  <si>
    <t>Active "Wargaming" of Civilizational Shifts</t>
  </si>
  <si>
    <t>Are we actively preparing for deep, systemic shocks?</t>
  </si>
  <si>
    <t>A rhythm of holding one or two deep, strategic "wargaming" sessions per year focused on major planetary shifts.</t>
  </si>
  <si>
    <t>Clarity of "Succession Triggers"</t>
  </si>
  <si>
    <t>Is the plan for how leadership evolves clear and transparent?</t>
  </si>
  <si>
    <t>Is it perfectly clear under what conditions and through what process the current leadership would pass the baton?</t>
  </si>
  <si>
    <t>The Vision's Ability to Self-Correct</t>
  </si>
  <si>
    <t>Is our vision itself a living, evolving, anti-fragile entity?</t>
  </si>
  <si>
    <t>The ultimate measure of a resilient vision: is it designed to learn, adapt, and even transcend its own origins?</t>
  </si>
  <si>
    <r>
      <t>The ultimate shift in identity, from a business that "does" regeneration to a being that </t>
    </r>
    <r>
      <rPr>
        <i/>
        <sz val="8"/>
        <rFont val="Inter"/>
        <family val="2"/>
        <charset val="186"/>
      </rPr>
      <t>is</t>
    </r>
    <r>
      <rPr>
        <sz val="8"/>
        <rFont val="Inter"/>
        <family val="2"/>
        <charset val="186"/>
      </rPr>
      <t> a steward.</t>
    </r>
  </si>
  <si>
    <t>20y</t>
  </si>
  <si>
    <t>Capital as Sacred Energy</t>
  </si>
  <si>
    <t>Creation of a "Commons" Trust</t>
  </si>
  <si>
    <t>Is our wealth grounded in a permanent gift to the world?</t>
  </si>
  <si>
    <t>A binary milestone. Have we created an independent, legally-binding trust or foundation that holds a portion of the venture's wealth for the benefit of all?</t>
  </si>
  <si>
    <t>Unconditional Generosity Score</t>
  </si>
  <si>
    <t>Does our capital flow where it is needed, without expectation of return?</t>
  </si>
  <si>
    <t>A 1-5 qualitative score. How much of our surplus capital is given away freely, as an act of pure service, to support coherence in the wider ecosystem?</t>
  </si>
  <si>
    <t>Funding the "Unfundable"</t>
  </si>
  <si>
    <t>Are we actively using our resources to seed impossible dreams?</t>
  </si>
  <si>
    <t>The number of profoundly visionary but "commercially unviable" projects that we choose to sponsor each year. The ultimate act of faith in coherence.</t>
  </si>
  <si>
    <t>Articulation of a New Economic Paradigm</t>
  </si>
  <si>
    <t>Are we teaching the world a new, more beautiful story about money?</t>
  </si>
  <si>
    <t>To what degree is our venture contributing to a global shift in the consciousness of capital?</t>
  </si>
  <si>
    <t>Capital and Life are Indistinguishable</t>
  </si>
  <si>
    <t>Is our financial flow a perfect mirror of the planet's lifeblood?</t>
  </si>
  <si>
    <t>Knowledge as a Living Field</t>
  </si>
  <si>
    <t>The Model as a Living, Evolving Entity</t>
  </si>
  <si>
    <t>Is our core IP grounded in a structure that can live beyond us?</t>
  </si>
  <si>
    <t>A 1-5 score on the health of the open-source community, foundation, or other structure designed to steward the model's evolution for generations.</t>
  </si>
  <si>
    <t>Effortless Transmission of Wisdom</t>
  </si>
  <si>
    <t>Does the wisdom of the model flow to where it is needed?</t>
  </si>
  <si>
    <t>A qualitative score. How easily and gracefully are new people able to learn, understand, and apply the core principles?</t>
  </si>
  <si>
    <t>Radical Open-Sourcing of Core IP</t>
  </si>
  <si>
    <t>Are we actively and completely giving our genius away?</t>
  </si>
  <si>
    <t>The percentage of the venture's core, non-proprietary IP that is freely available to the world.</t>
  </si>
  <si>
    <t>Simplicity on the Far Side of Complexity</t>
  </si>
  <si>
    <t>Is our deepest wisdom expressed with the clarity of a child?</t>
  </si>
  <si>
    <t>Can we explain the entire, magnificent model in a few, simple, self-evident truths?</t>
  </si>
  <si>
    <t>Knowledge Serves Planetary Consciousness</t>
  </si>
  <si>
    <t>Is our IP a direct instrument for the planet's awakening?</t>
  </si>
  <si>
    <t>The ultimate purpose. Does our knowledge act as a catalyst for a global shift in consciousness?</t>
  </si>
  <si>
    <t>Consciousness as Capital</t>
  </si>
  <si>
    <t>A Lineage of Mastery</t>
  </si>
  <si>
    <t>Is our way of being grounded in a real, transmittable practice?</t>
  </si>
  <si>
    <t>A milestone. Has the internal culture and practice become a formal "school" or "lineage" that can train others in the art of coherence?</t>
  </si>
  <si>
    <t>Collective State of Presence</t>
  </si>
  <si>
    <t>Is the emotional field of our team one of deep, resonant peace?</t>
  </si>
  <si>
    <t>A qualitative measure of the team's shared state of consciousness. Can be measured through group meditation coherence or deep intuitive sensing.</t>
  </si>
  <si>
    <t>Team as a Source of Global Awakening</t>
  </si>
  <si>
    <t>Does the very presence of our team create a healing ripple in the world?</t>
  </si>
  <si>
    <t>The degree to which team members, in all their interactions, act as ambassadors of coherence and inspiration to the wider world.</t>
  </si>
  <si>
    <t>"Telepathic" Communication Clarity</t>
  </si>
  <si>
    <t>Is our internal communication so clear it feels telepathic?</t>
  </si>
  <si>
    <t>(From "grokking"). A 1-5 score on the team's ability to understand each other's intent and meaning with minimal friction and maximum depth.</t>
  </si>
  <si>
    <t>Sense of Oneness</t>
  </si>
  <si>
    <t>Do we experience the truth that the individual is the collective, and vice-versa?</t>
  </si>
  <si>
    <t>The ultimate state of a coherent culture, where all sense of separation dissolves into a shared, unified field of being.</t>
  </si>
  <si>
    <t>Governance as Emergent Order</t>
  </si>
  <si>
    <t>Organization as a "Field of Coherence"</t>
  </si>
  <si>
    <t>Is our structure so perfected it has become an invisible, supportive field?</t>
  </si>
  <si>
    <t>Does the organization feel less like a company and more like a naturally occurring ecosystem or field of energy?</t>
  </si>
  <si>
    <t>Spontaneous, Synergistic Action</t>
  </si>
  <si>
    <t>Does the right thing just happen, without needing to be managed?</t>
  </si>
  <si>
    <t>The frequency with which complex, multi-part actions self-organize and are executed flawlessly without top-down control.</t>
  </si>
  <si>
    <t># of Miracles or Synchronicities Logged</t>
  </si>
  <si>
    <t>Are we actively witnessing the magic that our coherence invites?</t>
  </si>
  <si>
    <t>A log of "impossible" or deeply meaningful coincidences and breakthroughs that occur as a result of the system's high state of resonance.</t>
  </si>
  <si>
    <t>Radical Transparency / "Glass Walls"</t>
  </si>
  <si>
    <t>Is every action and decision perfectly visible to all?</t>
  </si>
  <si>
    <t>The state where there are no "internal secrets" because the entire system operates from a place of absolute, unshakable integrity.</t>
  </si>
  <si>
    <t>Governance is Indistinguishable from Life</t>
  </si>
  <si>
    <t>Have we transcended the need for "governance" entirely?</t>
  </si>
  <si>
    <r>
      <t>The Monad-level state. The organization's natural, living process </t>
    </r>
    <r>
      <rPr>
        <i/>
        <sz val="8"/>
        <color rgb="FFE2E2E5"/>
        <rFont val="Inter"/>
        <family val="2"/>
        <charset val="186"/>
      </rPr>
      <t>is</t>
    </r>
    <r>
      <rPr>
        <sz val="8"/>
        <color rgb="FFE2E2E5"/>
        <rFont val="Inter"/>
        <family val="2"/>
        <charset val="186"/>
      </rPr>
      <t> its perfect, emergent governance.</t>
    </r>
  </si>
  <si>
    <t>The Market as a Field of Consciousness</t>
  </si>
  <si>
    <t>Community as a Sovereign Entity</t>
  </si>
  <si>
    <t>Is our community so coherent it governs itself?</t>
  </si>
  <si>
    <t>A milestone. Has the community around the brand developed its own emergent, self-governing structures?</t>
  </si>
  <si>
    <t>Effortless Exchange of Value</t>
  </si>
  <si>
    <t>Does value flow between us and our "market" without friction?</t>
  </si>
  <si>
    <t>The state where the concepts of "price," "cost," and "selling" dissolve into a joyful and continuous exchange of mutual support.</t>
  </si>
  <si>
    <t>"Inspirational Coefficient"</t>
  </si>
  <si>
    <t>How much inspired action does our presence generate in others?</t>
  </si>
  <si>
    <t>A measure of the "ripple effect." For every one action we take, how many coherent actions are inspired in our ecosystem?</t>
  </si>
  <si>
    <t>Market as a Collective Intelligence</t>
  </si>
  <si>
    <t>Is our market itself a source of profound wisdom and clarity?</t>
  </si>
  <si>
    <t>No Separation Between Creator and User</t>
  </si>
  <si>
    <t>Have we dissolved the boundary between "us" and "them"?</t>
  </si>
  <si>
    <t>The ultimate state of co-creation, where the users are the creators, the creators are the users, and all are stewards of the shared vision.</t>
  </si>
  <si>
    <t>The Network as a Planetary Organ</t>
  </si>
  <si>
    <t>Ecosystem as a Resilient Bio-Region</t>
  </si>
  <si>
    <t>Is our network a stable, self-sustaining, and life-affirming part of the planetary ecosystem?</t>
  </si>
  <si>
    <t>The degree to which our network of partners functions like a healthy, natural ecosystem.</t>
  </si>
  <si>
    <t>Unconditional Support Network</t>
  </si>
  <si>
    <t>Does support, love, and resources flow to where it's needed, unconditionally?</t>
  </si>
  <si>
    <t>The degree to which the network moves beyond transactional relationships to a state of a true, gift-economy-based "family."</t>
  </si>
  <si>
    <t>Co-Creation of a New Civilization</t>
  </si>
  <si>
    <t>Are we actively and consciously building a better world together?</t>
  </si>
  <si>
    <t>A qualitative assessment. Is the shared, active work of our network a conscious and focused effort to prototype a new, more coherent form of civilization?</t>
  </si>
  <si>
    <t>Ecosystem as a Sentient Being</t>
  </si>
  <si>
    <t>Is the collective intelligence of our network clear and accessible?</t>
  </si>
  <si>
    <t>Has the network developed its own forms of collective sense-making and a shared "nervous system"?</t>
  </si>
  <si>
    <t>The Network is the Planetary Weave</t>
  </si>
  <si>
    <t>Have we realized our network is not a thing, but a thread in the living fabric of the planet?</t>
  </si>
  <si>
    <t>The final, Monad-level realization of non-duality and total systemic embedding.</t>
  </si>
  <si>
    <r>
      <t>The ultimate, Monad-level state. </t>
    </r>
    <r>
      <rPr>
        <sz val="8"/>
        <rFont val="Courier New"/>
        <family val="3"/>
        <charset val="186"/>
      </rPr>
      <t>Net-Positive Financial Impact</t>
    </r>
    <r>
      <rPr>
        <sz val="8"/>
        <rFont val="Inter"/>
        <family val="2"/>
        <charset val="186"/>
      </rPr>
      <t> is the metric where every financial action demonstrably creates more life and vitality than it consumes.</t>
    </r>
  </si>
  <si>
    <r>
      <t>To what degree have we moved from "listening to the market" to being in a deep, co-creative dialogue </t>
    </r>
    <r>
      <rPr>
        <i/>
        <sz val="8"/>
        <rFont val="Inter"/>
        <family val="2"/>
        <charset val="186"/>
      </rPr>
      <t>with</t>
    </r>
    <r>
      <rPr>
        <sz val="8"/>
        <rFont val="Inter"/>
        <family val="2"/>
        <charset val="186"/>
      </rPr>
      <t> the market as a single, intelligent being?</t>
    </r>
  </si>
  <si>
    <t>Brand as an Archetype</t>
  </si>
  <si>
    <t>The Brand as a Timeless Symbol</t>
  </si>
  <si>
    <t>Is our brand so grounded it has become a universal archetype?</t>
  </si>
  <si>
    <t>Has the brand (its name, its glyph) transcended our organization and entered the collective consciousness as a symbol for coherence itself?</t>
  </si>
  <si>
    <t>The "Felt Sense" of the Brand's Field</t>
  </si>
  <si>
    <t>Can people feel the resonant field of our brand without even hearing our name?</t>
  </si>
  <si>
    <t>The ultimate measure of brand resonance. A qualitative score of the pure, non-verbal, energetic signature of the brand.</t>
  </si>
  <si>
    <t>Spontaneous Emergence of Brand in Culture</t>
  </si>
  <si>
    <t>Is our brand being actively and creatively remixed by the world?</t>
  </si>
  <si>
    <t>Does our brand's language, symbols, and ideas appear organically in art, in other movements, in the language of others, without our effort?</t>
  </si>
  <si>
    <t>The Brand as a Philosophical School</t>
  </si>
  <si>
    <t>Is our brand a clear and coherent school of thought?</t>
  </si>
  <si>
    <t>To what degree have the ideas of the brand coalesced into a formal philosophy that is studied and debated?</t>
  </si>
  <si>
    <t>The Brand is Indistinguishable from Truth</t>
  </si>
  <si>
    <t>Does our brand simply point to a self-evident truth?</t>
  </si>
  <si>
    <t>The final state, where the brand is no longer "selling" an idea, but is a transparent lens through which a universal truth is perceived.</t>
  </si>
  <si>
    <t>Operations as a Living Art</t>
  </si>
  <si>
    <t>Beauty as a Core Metric</t>
  </si>
  <si>
    <t>Is the sheer beauty and elegance of our process a primary measure of its success?</t>
  </si>
  <si>
    <t>Is "beauty" a formal, non-negotiable metric on par with "efficiency" in all operational reviews?</t>
  </si>
  <si>
    <t>The "Music" of Operations</t>
  </si>
  <si>
    <t>If our operations were music, what would it sound like? Is it a symphony?</t>
  </si>
  <si>
    <t>A qualitative, synesthetic measure of the harmony, rhythm, and flow of the daily work.</t>
  </si>
  <si>
    <t>Spontaneous Acts of Operational Genius</t>
  </si>
  <si>
    <t>How frequently do moments of breathtaking, un-managed genius emerge from our process?</t>
  </si>
  <si>
    <t>The rate at which the team, in a state of flow, creates novel solutions that transcend the existing process.</t>
  </si>
  <si>
    <t>The "Koan" of the Process</t>
  </si>
  <si>
    <t>Can the deep wisdom of our process be expressed in a single, simple, paradoxical phrase?</t>
  </si>
  <si>
    <t>A milestone. Has the team discovered the central "koan" or elegant paradox that sits at the heart of its mastery?</t>
  </si>
  <si>
    <t>The Work is the Meditation</t>
  </si>
  <si>
    <t>Is the act of working itself a profound practice of presence?</t>
  </si>
  <si>
    <t>The final state where the distinction between "work," "play," and "spiritual practice" has completely dissolved.</t>
  </si>
  <si>
    <t>Creation as a Planetary Act</t>
  </si>
  <si>
    <t>The Organization as a Biosphere Steward</t>
  </si>
  <si>
    <t>Are we grounded in our role as a recognized caretaker of a part of the planet?</t>
  </si>
  <si>
    <t>A milestone. Has the organization taken formal, long-term stewardship over a piece of land, an ecosystem, or a commons?</t>
  </si>
  <si>
    <t>The Flow of Life Force</t>
  </si>
  <si>
    <t>Is the net result of our existence an increase in the total life force of the planet?</t>
  </si>
  <si>
    <t>The ultimate, profound measure of regeneration. Is the world more alive because we exist?</t>
  </si>
  <si>
    <t>Seeding of New Regenerative Worlds</t>
  </si>
  <si>
    <t>Are we actively using our surplus to create other, independent regenerative ventures?</t>
  </si>
  <si>
    <t>A measure of generativity. Are we a "star nursery," actively birthing new, coherent systems into the world?</t>
  </si>
  <si>
    <t>The Voice of the Voiceless</t>
  </si>
  <si>
    <t>Have we become a clear and powerful voice for the planet, for future generations, for non-human beings?</t>
  </si>
  <si>
    <t>Does our organization act as a channel and an advocate for the parts of the system that cannot speak for themselves?</t>
  </si>
  <si>
    <t>The Organization is the Earth Healing Itself</t>
  </si>
  <si>
    <t>Have we realized we are not "healing the Earth," but are an expression of the Earth's own impulse to heal?</t>
  </si>
  <si>
    <t>The final, Monad-level insight of non-duality and total ecological embedding.</t>
  </si>
  <si>
    <t>Values as Universal Law</t>
  </si>
  <si>
    <t>The Values as a Public Constitution</t>
  </si>
  <si>
    <t>Are our values so stable and universal they serve as a constitution for our entire ecosystem?</t>
  </si>
  <si>
    <t>Are other organizations voluntarily "ratifying" our core values as part of their own governance?</t>
  </si>
  <si>
    <t>The "Felt Sense" of Universal Truth</t>
  </si>
  <si>
    <t>When people encounter our values, do they feel a sense of profound, self-evident truth?</t>
  </si>
  <si>
    <t>The degree to which our values resonate not as opinions, but as archetypes of universal law.</t>
  </si>
  <si>
    <t>Values as an Irresistible, Spreading Fire</t>
  </si>
  <si>
    <t>Are our values a "benevolent virus" of coherence that spreads effortlessly?</t>
  </si>
  <si>
    <t>The "viral coefficient" of our core ethical and philosophical principles.</t>
  </si>
  <si>
    <t>The Simplicity of Ultimate Truth</t>
  </si>
  <si>
    <t>Can our entire ethical system be expressed in a single, universally understood principle?</t>
  </si>
  <si>
    <t>A milestone. Have we discovered the "golden rule" at the heart of our entire constitutional framework?</t>
  </si>
  <si>
    <t>There is Only Coherence</t>
  </si>
  <si>
    <t>Have we transcended the need for "values" because our every action is a direct expression of coherence?</t>
  </si>
  <si>
    <t>The final state, where ethics are no longer a filter for action, but are the very source of action itself.</t>
  </si>
  <si>
    <t>Capital as a Field of Grace</t>
  </si>
  <si>
    <t>The Venture as a Permanent Endowment</t>
  </si>
  <si>
    <t>Is our financial body a self-sustaining, permanent gift to the world?</t>
  </si>
  <si>
    <t>The milestone of becoming a fully endowed, self-sustaining foundation that exists purely for its mission.</t>
  </si>
  <si>
    <t>The Effortless Flow of Abundance</t>
  </si>
  <si>
    <t>Does capital and energy flow to us, and through us, without resistance or fear?</t>
  </si>
  <si>
    <t>The final state of economic flow, where "fundraising" is replaced by the magnetic attraction of resonant resources.</t>
  </si>
  <si>
    <t>The Spontaneous Generation of New Worlds</t>
  </si>
  <si>
    <t>Does our capital actively and continuously seed new, independent, coherent ventures?</t>
  </si>
  <si>
    <t>The ultimate act of generativity: our surplus is the soil for a thousand new forests.</t>
  </si>
  <si>
    <t>The Dissolution of "Ours" and "Theirs"</t>
  </si>
  <si>
    <t>Is the concept of ownership clear and yet totally fluid?</t>
  </si>
  <si>
    <t>The state where resources are understood to be stewarded, not owned, and flow to wherever they can create the most coherence for the whole.</t>
  </si>
  <si>
    <t>The Economy of the Gift</t>
  </si>
  <si>
    <t>Have we become a living embodiment of a new, more beautiful economic paradigm?</t>
  </si>
  <si>
    <t>The final state, where all financial transactions are experienced as a joyful, sacred, and continuous exchange of gifts.</t>
  </si>
  <si>
    <t>Resilience as Being</t>
  </si>
  <si>
    <t>The Organization as an Eternal Knot</t>
  </si>
  <si>
    <t>Is our structure so fundamentally sound it is like an eternal, beautiful knot in the fabric of spacetime?</t>
  </si>
  <si>
    <t>A measure of the timeless, archetypal integrity of the venture's very form.</t>
  </si>
  <si>
    <t>The Ocean of Calm</t>
  </si>
  <si>
    <t>Is the core of our being a state of unshakable, profound peace, even in the midst of cosmic storms?</t>
  </si>
  <si>
    <t>The ultimate state of organizational consciousness.</t>
  </si>
  <si>
    <t>The Phoenix</t>
  </si>
  <si>
    <t>Do we joyfully and consciously embrace the cycles of death and rebirth to emerge ever more coherent?</t>
  </si>
  <si>
    <t>The mastery of "Anti-Fragility." The system not only withstands shocks, but uses them as the very fuel for its own magnificent evolution.</t>
  </si>
  <si>
    <t>The Silence of Perfect Knowing</t>
  </si>
  <si>
    <t>Have we transcended the need for "risk management" because our every action is an expression of perfect, intuitive alignment?</t>
  </si>
  <si>
    <t>The clarity that comes when the inner compass and the outer path are one.</t>
  </si>
  <si>
    <t>We are Coherence</t>
  </si>
  <si>
    <t>Have we dissolved the illusion that we are "building" coherence, and realized that we are an expression of the universe's own coherence?</t>
  </si>
  <si>
    <t>The final, beautiful, and total surrender to the music that was always and already playing.</t>
  </si>
  <si>
    <t>Elemental_KPI_Normalized18</t>
  </si>
  <si>
    <t>Elemental Nature of the Relationship</t>
  </si>
  <si>
    <t>The Question this Edge Asks</t>
  </si>
  <si>
    <t>Earth (Grounding)</t>
  </si>
  <si>
    <t>How is our capital grounded in real, tangible operational work?</t>
  </si>
  <si>
    <t>Fire (Transformation)</t>
  </si>
  <si>
    <t>How does our capital transform into valuable knowledge?</t>
  </si>
  <si>
    <t>How does capital flow to and from our community in a healthy way?</t>
  </si>
  <si>
    <t>Air (Communication)</t>
  </si>
  <si>
    <t>How do we communicate our financial value and story?</t>
  </si>
  <si>
    <t>How does our capital serve the highest purpose of regeneration?</t>
  </si>
  <si>
    <t>How does our humanity serve and express our highest values?</t>
  </si>
  <si>
    <t>What is the emotional flow and quality of our human relationships?</t>
  </si>
  <si>
    <t>How is our human energy grounded and supported by our structures?</t>
  </si>
  <si>
    <t>How does our human passion transform into the energy that attracts resources?</t>
  </si>
  <si>
    <t>How do our people's minds connect to create shared knowledge?</t>
  </si>
  <si>
    <t>How does our knowledge flow to our community? (Teaching)</t>
  </si>
  <si>
    <t>Is our knowledge grounded in and aligned with our core values?</t>
  </si>
  <si>
    <t>Does our knowledge serve the highest purpose of regeneration?</t>
  </si>
  <si>
    <t>Do our structures help or hinder the clarity of our public message?</t>
  </si>
  <si>
    <t>Can our structure transform to meet the needs of due diligence?</t>
  </si>
  <si>
    <t>Does our structure embody the highest integrity of our brand?</t>
  </si>
  <si>
    <t>Are our partnerships grounded in clear, stable, formal agreements?</t>
  </si>
  <si>
    <t>Does our market feedback transform into operational improvements?</t>
  </si>
  <si>
    <t>Does our market resonance serve the highest purpose of our brand's truth?</t>
  </si>
  <si>
    <t>Is there a healthy flow of conversation between our market and community?</t>
  </si>
  <si>
    <t>Is our brand a source of resilient, trust-based flow during a crisis?</t>
  </si>
  <si>
    <t>Does our brand promise transform into operational excellence?</t>
  </si>
  <si>
    <t>Do we clearly communicate our brand's power to potential funders?</t>
  </si>
  <si>
    <t>Is there a healthy flow of regenerative practice within our operations?</t>
  </si>
  <si>
    <t>Does operational clarity inform and reduce systemic risk?</t>
  </si>
  <si>
    <t>Does our regenerative practice transform into greater systemic resilience?</t>
  </si>
  <si>
    <t>Is our regenerative impulse grounded in our core values?</t>
  </si>
  <si>
    <t>Do we clearly communicate our values to our capital partners?</t>
  </si>
  <si>
    <t>Do our values transform into resilience during a crisis?</t>
  </si>
  <si>
    <t>Does a healthy funding pipeline create a flow of resilience?</t>
  </si>
  <si>
    <t>Vertex_ID</t>
  </si>
  <si>
    <t>Face_1_ID</t>
  </si>
  <si>
    <t>Face_2_ID</t>
  </si>
  <si>
    <t>Face_3_ID</t>
  </si>
  <si>
    <t>Face_1_Energy (E₁)</t>
  </si>
  <si>
    <t>Face_2_Energy (E₂)</t>
  </si>
  <si>
    <t>Face_3_Energy (E₃)</t>
  </si>
  <si>
    <t>V1</t>
  </si>
  <si>
    <t>V2</t>
  </si>
  <si>
    <t>V3</t>
  </si>
  <si>
    <t>V4</t>
  </si>
  <si>
    <t>V5</t>
  </si>
  <si>
    <t>V6</t>
  </si>
  <si>
    <t>V7</t>
  </si>
  <si>
    <t>V8</t>
  </si>
  <si>
    <t>V9</t>
  </si>
  <si>
    <t>V10</t>
  </si>
  <si>
    <t>V11</t>
  </si>
  <si>
    <t>V12</t>
  </si>
  <si>
    <t>V13</t>
  </si>
  <si>
    <t>V14</t>
  </si>
  <si>
    <t>V15</t>
  </si>
  <si>
    <t>V16</t>
  </si>
  <si>
    <t>V17</t>
  </si>
  <si>
    <t>V18</t>
  </si>
  <si>
    <t>V19</t>
  </si>
  <si>
    <t>V20</t>
  </si>
  <si>
    <t>Connected Faces</t>
  </si>
  <si>
    <t>1, 2, 6</t>
  </si>
  <si>
    <t>3, 4, 11</t>
  </si>
  <si>
    <t>1, 5, 6</t>
  </si>
  <si>
    <t>4, 7, 11</t>
  </si>
  <si>
    <t>1, 8, 9</t>
  </si>
  <si>
    <t>5, 7, 8</t>
  </si>
  <si>
    <t>2, 9, 10</t>
  </si>
  <si>
    <t>7, 8, 12</t>
  </si>
  <si>
    <t>2, 3, 10</t>
  </si>
  <si>
    <t>7, 11, 12</t>
  </si>
  <si>
    <t>8, 9, 12</t>
  </si>
  <si>
    <t>3, 10, 11</t>
  </si>
  <si>
    <t>9, 10, 12</t>
  </si>
  <si>
    <t>4, 5, 6</t>
  </si>
  <si>
    <t>10, 11, 12</t>
  </si>
  <si>
    <t>1, 5, 8</t>
  </si>
  <si>
    <t>4, 5, 7</t>
  </si>
  <si>
    <r>
      <t>V-Mean</t>
    </r>
    <r>
      <rPr>
        <b/>
        <sz val="8"/>
        <rFont val="Inter"/>
        <family val="2"/>
        <charset val="186"/>
      </rPr>
      <t> (The Ambient Temperature):</t>
    </r>
  </si>
  <si>
    <r>
      <t>What it is:</t>
    </r>
    <r>
      <rPr>
        <sz val="8"/>
        <rFont val="Inter"/>
        <family val="2"/>
        <charset val="186"/>
      </rPr>
      <t> The average </t>
    </r>
    <r>
      <rPr>
        <sz val="8"/>
        <rFont val="Courier New"/>
        <family val="3"/>
        <charset val="186"/>
      </rPr>
      <t>Face Energy</t>
    </r>
    <r>
      <rPr>
        <sz val="8"/>
        <rFont val="Inter"/>
        <family val="2"/>
        <charset val="186"/>
      </rPr>
      <t> of the three domains that meet at that vertex.</t>
    </r>
  </si>
  <si>
    <r>
      <t>What it tells you:</t>
    </r>
    <r>
      <rPr>
        <sz val="8"/>
        <rFont val="Inter"/>
        <family val="2"/>
        <charset val="186"/>
      </rPr>
      <t> This is a measure of the overall "energetic charge" or "ambient temperature" at that specific intersection. Is this a "hot" corner of the organization where a lot of energy is concentrated, or is it a "cool," quiet one?</t>
    </r>
  </si>
  <si>
    <r>
      <t>Interpretation:</t>
    </r>
    <r>
      <rPr>
        <sz val="8"/>
        <rFont val="Inter"/>
        <family val="2"/>
        <charset val="186"/>
      </rPr>
      <t> A high </t>
    </r>
    <r>
      <rPr>
        <sz val="8"/>
        <rFont val="Courier New"/>
        <family val="3"/>
        <charset val="186"/>
      </rPr>
      <t>V-Mean</t>
    </r>
    <r>
      <rPr>
        <sz val="8"/>
        <rFont val="Inter"/>
        <family val="2"/>
        <charset val="186"/>
      </rPr>
      <t> is not necessarily good or bad. It simply tells you that this is a high-energy, high-importance junction. It's a place to pay attention.</t>
    </r>
  </si>
  <si>
    <r>
      <t>What it is:</t>
    </r>
    <r>
      <rPr>
        <sz val="8"/>
        <rFont val="Inter"/>
        <family val="2"/>
        <charset val="186"/>
      </rPr>
      <t> The average </t>
    </r>
    <r>
      <rPr>
        <i/>
        <sz val="8"/>
        <rFont val="Inter"/>
        <family val="2"/>
        <charset val="186"/>
      </rPr>
      <t>difference</t>
    </r>
    <r>
      <rPr>
        <sz val="8"/>
        <rFont val="Inter"/>
        <family val="2"/>
        <charset val="186"/>
      </rPr>
      <t> in energy between the three meeting faces.</t>
    </r>
  </si>
  <si>
    <r>
      <t>What it tells you:</t>
    </r>
    <r>
      <rPr>
        <sz val="8"/>
        <rFont val="Inter"/>
        <family val="2"/>
        <charset val="186"/>
      </rPr>
      <t> This is the most important metric. It measures the </t>
    </r>
    <r>
      <rPr>
        <b/>
        <sz val="8"/>
        <rFont val="Inter"/>
        <family val="2"/>
        <charset val="186"/>
      </rPr>
      <t>"dissonant circulation" or "spin"</t>
    </r>
    <r>
      <rPr>
        <sz val="8"/>
        <rFont val="Inter"/>
        <family val="2"/>
        <charset val="186"/>
      </rPr>
      <t> at the vertex. A low </t>
    </r>
    <r>
      <rPr>
        <sz val="8"/>
        <rFont val="Courier New"/>
        <family val="3"/>
        <charset val="186"/>
      </rPr>
      <t>ω</t>
    </r>
    <r>
      <rPr>
        <sz val="8"/>
        <rFont val="Inter"/>
        <family val="2"/>
        <charset val="186"/>
      </rPr>
      <t> score (near 0) means the three meeting departments are in a state of harmonious, balanced resonance. A high </t>
    </r>
    <r>
      <rPr>
        <sz val="8"/>
        <rFont val="Courier New"/>
        <family val="3"/>
        <charset val="186"/>
      </rPr>
      <t>ω</t>
    </r>
    <r>
      <rPr>
        <sz val="8"/>
        <rFont val="Inter"/>
        <family val="2"/>
        <charset val="186"/>
      </rPr>
      <t> score means they are pulling in wildly different directions, creating a turbulent "whirlpool" of wasted energy and conflict.</t>
    </r>
  </si>
  <si>
    <r>
      <t>Interpretation:</t>
    </r>
    <r>
      <rPr>
        <sz val="8"/>
        <rFont val="Inter"/>
        <family val="2"/>
        <charset val="186"/>
      </rPr>
      <t> A high </t>
    </r>
    <r>
      <rPr>
        <sz val="8"/>
        <rFont val="Courier New"/>
        <family val="3"/>
        <charset val="186"/>
      </rPr>
      <t>ω</t>
    </r>
    <r>
      <rPr>
        <sz val="8"/>
        <rFont val="Inter"/>
        <family val="2"/>
        <charset val="186"/>
      </rPr>
      <t> score is </t>
    </r>
    <r>
      <rPr>
        <b/>
        <sz val="8"/>
        <rFont val="Inter"/>
        <family val="2"/>
        <charset val="186"/>
      </rPr>
      <t>always a red flag.</t>
    </r>
    <r>
      <rPr>
        <sz val="8"/>
        <rFont val="Inter"/>
        <family val="2"/>
        <charset val="186"/>
      </rPr>
      <t> It is the mathematical signature of a "Bermuda Triangle" in your organization—a hidden source of chaos and incoherence.</t>
    </r>
  </si>
  <si>
    <r>
      <t>Vortex Strength (ω)</t>
    </r>
    <r>
      <rPr>
        <b/>
        <sz val="8"/>
        <rFont val="Inter"/>
        <family val="2"/>
        <charset val="186"/>
      </rPr>
      <t> (The Spin):</t>
    </r>
  </si>
  <si>
    <t>Departments</t>
  </si>
  <si>
    <r>
      <t>Finding the "Hotspots" (High </t>
    </r>
    <r>
      <rPr>
        <b/>
        <sz val="8"/>
        <rFont val="Courier New"/>
        <family val="3"/>
        <charset val="186"/>
      </rPr>
      <t>ω</t>
    </r>
    <r>
      <rPr>
        <b/>
        <sz val="8"/>
        <rFont val="Inter"/>
        <family val="2"/>
        <charset val="186"/>
      </rPr>
      <t>):</t>
    </r>
  </si>
  <si>
    <r>
      <t>Your Action:</t>
    </r>
    <r>
      <rPr>
        <sz val="8"/>
        <rFont val="Inter"/>
        <family val="2"/>
        <charset val="186"/>
      </rPr>
      <t> Sort the map by </t>
    </r>
    <r>
      <rPr>
        <b/>
        <sz val="8"/>
        <rFont val="Courier New"/>
        <family val="3"/>
        <charset val="186"/>
      </rPr>
      <t>Vortex Strength (ω)</t>
    </r>
    <r>
      <rPr>
        <b/>
        <sz val="8"/>
        <rFont val="Inter"/>
        <family val="2"/>
        <charset val="186"/>
      </rPr>
      <t> descending.</t>
    </r>
    <r>
      <rPr>
        <sz val="8"/>
        <rFont val="Inter"/>
        <family val="2"/>
        <charset val="186"/>
      </rPr>
      <t> The vertices at the top of this list are your organization's most critical, hidden points of conflict.</t>
    </r>
  </si>
  <si>
    <r>
      <t>Strategic Value:</t>
    </r>
    <r>
      <rPr>
        <sz val="8"/>
        <rFont val="Inter"/>
        <family val="2"/>
        <charset val="186"/>
      </rPr>
      <t> This is a revelation. The problem might not be with "Finance" (a Face) or the "Finance-Ecology Relationship" (an Edge). The problem might be at the </t>
    </r>
    <r>
      <rPr>
        <b/>
        <sz val="8"/>
        <rFont val="Inter"/>
        <family val="2"/>
        <charset val="186"/>
      </rPr>
      <t>Vertex where Finance, Core Operations, and Regenerative Flow all meet.</t>
    </r>
    <r>
      <rPr>
        <sz val="8"/>
        <rFont val="Inter"/>
        <family val="2"/>
        <charset val="186"/>
      </rPr>
      <t> This triadic junction might be the true source of the dissonance. The </t>
    </r>
    <r>
      <rPr>
        <sz val="8"/>
        <rFont val="Courier New"/>
        <family val="3"/>
        <charset val="186"/>
      </rPr>
      <t>Vortex Map</t>
    </r>
    <r>
      <rPr>
        <sz val="8"/>
        <rFont val="Inter"/>
        <family val="2"/>
        <charset val="186"/>
      </rPr>
      <t> makes this previously invisible problem, visible. It tells you </t>
    </r>
    <r>
      <rPr>
        <i/>
        <sz val="8"/>
        <rFont val="Inter"/>
        <family val="2"/>
        <charset val="186"/>
      </rPr>
      <t>exactly which three leaders need to be in a room together to solve the problem.</t>
    </r>
  </si>
  <si>
    <r>
      <t>Finding the "Synergy Hubs" (Low </t>
    </r>
    <r>
      <rPr>
        <b/>
        <sz val="8"/>
        <rFont val="Courier New"/>
        <family val="3"/>
        <charset val="186"/>
      </rPr>
      <t>ω</t>
    </r>
    <r>
      <rPr>
        <b/>
        <sz val="8"/>
        <rFont val="Inter"/>
        <family val="2"/>
        <charset val="186"/>
      </rPr>
      <t>, High </t>
    </r>
    <r>
      <rPr>
        <b/>
        <sz val="8"/>
        <rFont val="Courier New"/>
        <family val="3"/>
        <charset val="186"/>
      </rPr>
      <t>V-Mean</t>
    </r>
    <r>
      <rPr>
        <b/>
        <sz val="8"/>
        <rFont val="Inter"/>
        <family val="2"/>
        <charset val="186"/>
      </rPr>
      <t>):</t>
    </r>
  </si>
  <si>
    <r>
      <t>Your Action:</t>
    </r>
    <r>
      <rPr>
        <sz val="8"/>
        <rFont val="Inter"/>
        <family val="2"/>
        <charset val="186"/>
      </rPr>
      <t> Look for vertices with a very low Vortex Strength but a high </t>
    </r>
    <r>
      <rPr>
        <sz val="8"/>
        <rFont val="Courier New"/>
        <family val="3"/>
        <charset val="186"/>
      </rPr>
      <t>V-Mean</t>
    </r>
    <r>
      <rPr>
        <sz val="8"/>
        <rFont val="Inter"/>
        <family val="2"/>
        <charset val="186"/>
      </rPr>
      <t>.</t>
    </r>
  </si>
  <si>
    <r>
      <t>Strategic Value:</t>
    </r>
    <r>
      <rPr>
        <sz val="8"/>
        <rFont val="Inter"/>
        <family val="2"/>
        <charset val="186"/>
      </rPr>
      <t> These are your "creative hotspots." These are the junctions where three high-energy departments are working in perfect, harmonious resonance. These are the places where miracles, synergies, and unexpected breakthroughs are happening. As a conductor, your job is to study these hubs, understand </t>
    </r>
    <r>
      <rPr>
        <i/>
        <sz val="8"/>
        <rFont val="Inter"/>
        <family val="2"/>
        <charset val="186"/>
      </rPr>
      <t>why</t>
    </r>
    <r>
      <rPr>
        <sz val="8"/>
        <rFont val="Inter"/>
        <family val="2"/>
        <charset val="186"/>
      </rPr>
      <t> they are so coherent, and then export their "best practices" and "way of being" to the rest of the organization.</t>
    </r>
  </si>
  <si>
    <t>O1 - Survival (Focus: Existence)</t>
  </si>
  <si>
    <t>O2 - Structure (Focus: Stability)</t>
  </si>
  <si>
    <t>O3 - Relationships (Focus: Connection)</t>
  </si>
  <si>
    <t>O4 - Creativity (Focus: Possibility)</t>
  </si>
  <si>
    <t>O5 - Expression (Focus: Clarity)</t>
  </si>
  <si>
    <t>O6 - Vision (Focus: Direction)</t>
  </si>
  <si>
    <t>O7 - Radiance (Focus: Service)</t>
  </si>
  <si>
    <t>Macro V-Mean (Avg. Energy)</t>
  </si>
  <si>
    <t>Micro V-Mean (Avg of 9 KPIs)</t>
  </si>
  <si>
    <t>Micro Vortex (ω)</t>
  </si>
  <si>
    <t>L1.1</t>
  </si>
  <si>
    <t>SENSITIVITY AMPLIFIER - FACE ENERGY:</t>
  </si>
  <si>
    <t>Elemental  KPI Coherence</t>
  </si>
  <si>
    <t>KPI_1_ID</t>
  </si>
  <si>
    <t>KPI_2_ID</t>
  </si>
  <si>
    <t>KPI_9_ID</t>
  </si>
  <si>
    <t>KPI_3_ID</t>
  </si>
  <si>
    <t>KPI_4_ID</t>
  </si>
  <si>
    <t>KPI_5_ID</t>
  </si>
  <si>
    <t>KPI_6_ID</t>
  </si>
  <si>
    <t>KPI_7_ID</t>
  </si>
  <si>
    <t>KPI_8_ID</t>
  </si>
  <si>
    <t>3, 6, 2</t>
  </si>
  <si>
    <t>1, 9, 2</t>
  </si>
  <si>
    <t>3, 4, 6</t>
  </si>
  <si>
    <t>F1-Fire</t>
  </si>
  <si>
    <t>F1-Water</t>
  </si>
  <si>
    <t>F2-Fire</t>
  </si>
  <si>
    <t>F2-Water</t>
  </si>
  <si>
    <t>F6-Air</t>
  </si>
  <si>
    <t>F6-Water</t>
  </si>
  <si>
    <t>F1-Air</t>
  </si>
  <si>
    <t>F5-Air</t>
  </si>
  <si>
    <t>F5-Water</t>
  </si>
  <si>
    <t>F6-Fire</t>
  </si>
  <si>
    <t>F1-Earth</t>
  </si>
  <si>
    <t>F1-Ether</t>
  </si>
  <si>
    <t>F8-Earth</t>
  </si>
  <si>
    <t>F8-Water</t>
  </si>
  <si>
    <t>F9-Water</t>
  </si>
  <si>
    <t>F9-Ether</t>
  </si>
  <si>
    <t>F2-Ether</t>
  </si>
  <si>
    <t>F2-Earth</t>
  </si>
  <si>
    <t>F9-Earth</t>
  </si>
  <si>
    <t>F10-Earth</t>
  </si>
  <si>
    <t>F10-Ether</t>
  </si>
  <si>
    <t>F2-Air</t>
  </si>
  <si>
    <t>F3-Air</t>
  </si>
  <si>
    <t>F3-Ether</t>
  </si>
  <si>
    <t>F3-Water</t>
  </si>
  <si>
    <t>F3-Fire</t>
  </si>
  <si>
    <t xml:space="preserve">F10-Ether </t>
  </si>
  <si>
    <r>
      <t>You are saying that if the </t>
    </r>
    <r>
      <rPr>
        <b/>
        <sz val="8"/>
        <rFont val="Inter"/>
        <family val="2"/>
        <charset val="186"/>
      </rPr>
      <t>Vortex Steward for V1</t>
    </r>
    <r>
      <rPr>
        <sz val="8"/>
        <rFont val="Inter"/>
        <family val="2"/>
        <charset val="186"/>
      </rPr>
      <t> sees a high </t>
    </r>
    <r>
      <rPr>
        <sz val="8"/>
        <rFont val="Courier New"/>
        <family val="3"/>
        <charset val="186"/>
      </rPr>
      <t>Micro Vortex</t>
    </r>
    <r>
      <rPr>
        <sz val="8"/>
        <rFont val="Inter"/>
        <family val="2"/>
        <charset val="186"/>
      </rPr>
      <t> score, their job is not just to "fix" the existing KPIs. Their job is to </t>
    </r>
    <r>
      <rPr>
        <b/>
        <sz val="8"/>
        <rFont val="Inter"/>
        <family val="2"/>
        <charset val="186"/>
      </rPr>
      <t>re-choreograph the dance.</t>
    </r>
  </si>
  <si>
    <r>
      <t>They might see that the </t>
    </r>
    <r>
      <rPr>
        <sz val="8"/>
        <rFont val="Courier New"/>
        <family val="3"/>
        <charset val="186"/>
      </rPr>
      <t>F1-Earth</t>
    </r>
    <r>
      <rPr>
        <sz val="8"/>
        <rFont val="Inter"/>
        <family val="2"/>
        <charset val="186"/>
      </rPr>
      <t> and </t>
    </r>
    <r>
      <rPr>
        <sz val="8"/>
        <rFont val="Courier New"/>
        <family val="3"/>
        <charset val="186"/>
      </rPr>
      <t>F1-Water</t>
    </r>
    <r>
      <rPr>
        <sz val="8"/>
        <rFont val="Inter"/>
        <family val="2"/>
        <charset val="186"/>
      </rPr>
      <t> elements are creating dissonance.</t>
    </r>
  </si>
  <si>
    <r>
      <t>Their "corrective action" could be to say: "For this next strategic sprint, I am going to ask the Financial Capital team to temporarily bring their </t>
    </r>
    <r>
      <rPr>
        <b/>
        <sz val="8"/>
        <rFont val="Inter"/>
        <family val="2"/>
        <charset val="186"/>
      </rPr>
      <t>'Fire' (ROI)</t>
    </r>
    <r>
      <rPr>
        <sz val="8"/>
        <rFont val="Inter"/>
        <family val="2"/>
        <charset val="186"/>
      </rPr>
      <t> and </t>
    </r>
    <r>
      <rPr>
        <b/>
        <sz val="8"/>
        <rFont val="Inter"/>
        <family val="2"/>
        <charset val="186"/>
      </rPr>
      <t>'Air' (Transparency)</t>
    </r>
    <r>
      <rPr>
        <sz val="8"/>
        <rFont val="Inter"/>
        <family val="2"/>
        <charset val="186"/>
      </rPr>
      <t> energies to this specific triadic relationship, instead of their 'Water' energy."</t>
    </r>
  </si>
  <si>
    <r>
      <t>This is the ultimate expression of the "dance of governance." You are not just adjusting the volume of the players; you are asking them to play a different, more harmonious note. This is </t>
    </r>
    <r>
      <rPr>
        <b/>
        <sz val="8"/>
        <rFont val="Inter"/>
        <family val="2"/>
        <charset val="186"/>
      </rPr>
      <t>conscious, real-time, organizational re-design.</t>
    </r>
  </si>
  <si>
    <t>F3-Earth</t>
  </si>
  <si>
    <t>F10-Air</t>
  </si>
  <si>
    <t>F7-Air</t>
  </si>
  <si>
    <t>F7-Fire</t>
  </si>
  <si>
    <t>F5-Ether</t>
  </si>
  <si>
    <t>F4-Ether</t>
  </si>
  <si>
    <t>F4-Air</t>
  </si>
  <si>
    <t>F10-Fire</t>
  </si>
  <si>
    <t>F9-Fire</t>
  </si>
  <si>
    <t>F8-Air</t>
  </si>
  <si>
    <t>F7-Water</t>
  </si>
  <si>
    <t>F5-Fire</t>
  </si>
  <si>
    <t>F4-Fire</t>
  </si>
  <si>
    <t>F4-Earth</t>
  </si>
  <si>
    <t>F12-Water</t>
  </si>
  <si>
    <t>F12-Fire</t>
  </si>
  <si>
    <t>F12-Air</t>
  </si>
  <si>
    <t>F6-Earth</t>
  </si>
  <si>
    <t>F12-Ether</t>
  </si>
  <si>
    <t>F8-Fire</t>
  </si>
  <si>
    <t>F11-Ether</t>
  </si>
  <si>
    <t>F11-Air</t>
  </si>
  <si>
    <t>F11-Earth</t>
  </si>
  <si>
    <t>F11-Fire</t>
  </si>
  <si>
    <t>F7-Earth</t>
  </si>
  <si>
    <t>F7-Ether</t>
  </si>
  <si>
    <t>F4-Water</t>
  </si>
  <si>
    <t>F11-Water</t>
  </si>
  <si>
    <t>Coherence_Score</t>
  </si>
  <si>
    <t>Coherence_Score2</t>
  </si>
  <si>
    <t>Coherence_Score3</t>
  </si>
  <si>
    <t>Coherence_Score4</t>
  </si>
  <si>
    <t>Coherence_Score5</t>
  </si>
  <si>
    <t>Coherence_Score6</t>
  </si>
  <si>
    <t>Coherence_Score7</t>
  </si>
  <si>
    <t>Coherence_Score8</t>
  </si>
  <si>
    <t>Coherence_Score9</t>
  </si>
  <si>
    <t>Average</t>
  </si>
  <si>
    <t>Coherance-To-Variance-Ratio</t>
  </si>
  <si>
    <t>Macro Vortex Strength(ω)</t>
  </si>
  <si>
    <t>Overall Vertex Coherence</t>
  </si>
  <si>
    <t>Normalize_Macro_Vortex (ω)</t>
  </si>
  <si>
    <t>Normalized_Micro_Vortex(ω)</t>
  </si>
  <si>
    <t xml:space="preserve">Fire: Are we adding to it? -&gt; </t>
  </si>
  <si>
    <t xml:space="preserve">Air: Is it understood? -&gt; </t>
  </si>
  <si>
    <t>Ether: Is it aligned? -&gt;</t>
  </si>
  <si>
    <t>Financial Capital (F1)</t>
  </si>
  <si>
    <t>Intellectual Capital (F2)</t>
  </si>
  <si>
    <t>Human Capital (F3)</t>
  </si>
  <si>
    <t>Structural Capital (F4)</t>
  </si>
  <si>
    <t>Market Resonance (F5)</t>
  </si>
  <si>
    <t>Community &amp; Partners (F6)</t>
  </si>
  <si>
    <t>Brand &amp; Reputation (F7)</t>
  </si>
  <si>
    <t>Core Operations (F8)</t>
  </si>
  <si>
    <t>Regenerative Flow (F9)</t>
  </si>
  <si>
    <t>Foundational Values (F10)</t>
  </si>
  <si>
    <t>Funding Pipeline (F11)</t>
  </si>
  <si>
    <t>During the application of the model, the 12 initial KPIs later became a face of the dodecahedron each, dissected through the 5 elemental KPIs in the REFERENCE_MODELS sheet.</t>
  </si>
  <si>
    <r>
      <t xml:space="preserve">This worksheet serves as an initial input for the </t>
    </r>
    <r>
      <rPr>
        <b/>
        <sz val="12"/>
        <color rgb="FF000000"/>
        <rFont val="Aptos Narrow"/>
        <family val="2"/>
      </rPr>
      <t>Siral-Dashboard</t>
    </r>
    <r>
      <rPr>
        <sz val="12"/>
        <color rgb="FF000000"/>
        <rFont val="Aptos Narrow"/>
        <family val="2"/>
      </rPr>
      <t xml:space="preserve">, followed through the </t>
    </r>
    <r>
      <rPr>
        <b/>
        <sz val="12"/>
        <color rgb="FF000000"/>
        <rFont val="Aptos Narrow"/>
        <family val="2"/>
      </rPr>
      <t>IFC thought framework:</t>
    </r>
    <r>
      <rPr>
        <i/>
        <sz val="12"/>
        <color rgb="FF000000"/>
        <rFont val="Aptos Narrow"/>
        <family val="2"/>
      </rPr>
      <t xml:space="preserve"> PESTEL&amp;Peters5Forces, McKinsey 7S Framework, SWOT&amp;Controntation, Attack-Defend-Withdraw-Maneuvire, Strategy Map(KSIs), Balanced-Scorecard, =  KPIS.</t>
    </r>
  </si>
  <si>
    <t>Explanation</t>
  </si>
  <si>
    <t>Responsible</t>
  </si>
  <si>
    <t>Balanced (0-10)</t>
  </si>
  <si>
    <t>Advancement_Normalization</t>
  </si>
  <si>
    <t>Standard_Deviation</t>
  </si>
  <si>
    <t>Face Energy e_f</t>
  </si>
  <si>
    <t>Delta_Value (Sensitive)</t>
  </si>
  <si>
    <t>Side - Reception:</t>
  </si>
  <si>
    <t>Side - Projection:</t>
  </si>
  <si>
    <t>The Breath Axis Manifestation Matrix</t>
  </si>
  <si>
    <t>Axis 1: The Resource Flow Axis (F11: Funding Pipeline ↔ F1: Financial Capital)</t>
  </si>
  <si>
    <t>Octave</t>
  </si>
  <si>
    <t>Projection Question (The Exhale)</t>
  </si>
  <si>
    <t>Reception Question (The Inhale)</t>
  </si>
  <si>
    <t>Are we actively seeking any resources to exist?</t>
  </si>
  <si>
    <t>Do we have enough cash to survive?</t>
  </si>
  <si>
    <t>Is our funding pursuit efficient and systematic?</t>
  </si>
  <si>
    <t>Is our capital being managed with discipline?</t>
  </si>
  <si>
    <t>Are we building trust with values-aligned funders?</t>
  </si>
  <si>
    <t>Is our capital use creating stakeholder trust?</t>
  </si>
  <si>
    <t>Are we seeking capital to fund bold experiments?</t>
  </si>
  <si>
    <t>Is our capital base diverse enough for creative risks?</t>
  </si>
  <si>
    <t>Is our financial story attracting aligned capital?</t>
  </si>
  <si>
    <t>Do our financial reports express our integrity?</t>
  </si>
  <si>
    <t>Are we seeking capital for 100-year projects?</t>
  </si>
  <si>
    <t>Is our capital structured for generational stewardship?</t>
  </si>
  <si>
    <t>Is our very presence a magnet for sacred capital?</t>
  </si>
  <si>
    <t>Is our capital a pure gift to the world?</t>
  </si>
  <si>
    <t>Axis 2: The Substance &amp; Story Axis (F7: Brand &amp; Reputation ↔ F2: Intellectual Capital)</t>
  </si>
  <si>
    <t>Do we have a basic, functional description of our idea?</t>
  </si>
  <si>
    <t>Have we documented the core of the idea?</t>
  </si>
  <si>
    <t>Is our brand message consistent and reliable?</t>
  </si>
  <si>
    <t>Is our IP robust and well-architected?</t>
  </si>
  <si>
    <t>Does our brand story build community and trust?</t>
  </si>
  <si>
    <t>Is our IP being co-created with our partners?</t>
  </si>
  <si>
    <t>Is our brand actively telling new, challenging stories?</t>
  </si>
  <si>
    <t>Is our IP portfolio generating novel creations?</t>
  </si>
  <si>
    <t>Is our brand's voice a beautiful and authentic work of art?</t>
  </si>
  <si>
    <t>Is our knowledge expressed with a masterful, simple elegance?</t>
  </si>
  <si>
    <t>Is our brand telling a story that can change the future?</t>
  </si>
  <si>
    <t>Is our IP a legacy that will serve future generations?</t>
  </si>
  <si>
    <t>Is our brand an archetypal symbol for truth itself?</t>
  </si>
  <si>
    <t>Is our knowledge a living field of planetary consciousness?</t>
  </si>
  <si>
    <t>Axis 3: The Being &amp; Doing Axis (F8: Core Operations ↔ F3: Human Capital)</t>
  </si>
  <si>
    <t>Is our work efficient and reliable?</t>
  </si>
  <si>
    <t>Is our team stable and are roles clear?</t>
  </si>
  <si>
    <t>Does our work feel collaborative and joyful?</t>
  </si>
  <si>
    <t>Does our team feel safe and connected?</t>
  </si>
  <si>
    <t>Are we creating space for operational innovation?</t>
  </si>
  <si>
    <t>Do our people have the psychological safety to be creative?</t>
  </si>
  <si>
    <t>Are we transparently sharing how we work?</t>
  </si>
  <si>
    <t>Is our culture a story worth telling?</t>
  </si>
  <si>
    <t>Is our work a path to collective mastery?</t>
  </si>
  <si>
    <t>Is our culture designed to outlive its founders?</t>
  </si>
  <si>
    <t>Is our work itself a form of meditation and service?</t>
  </si>
  <si>
    <t>Is our collective being a source of healing for the world?</t>
  </si>
  <si>
    <t>Axis 4: The Form &amp; Integrity Axis (F4: Structural Capital ↔ F9: Regenerative Flow)</t>
  </si>
  <si>
    <t>Do we have the basic legal forms to exist?</t>
  </si>
  <si>
    <t>Are we making conscious, integrity-based choices?</t>
  </si>
  <si>
    <t>Are our processes resilient and scalable?</t>
  </si>
  <si>
    <t>Are those processes designed to reduce waste?</t>
  </si>
  <si>
    <t>Do our structures feel fair and empowering?</t>
  </si>
  <si>
    <t>Are our relationships with our stakeholders regenerative?</t>
  </si>
  <si>
    <t>Does our governance allow for creative rule-breaking?</t>
  </si>
  <si>
    <t>Is our creativity in service of regeneration?</t>
  </si>
  <si>
    <t>Are we radically transparent about our structures?</t>
  </si>
  <si>
    <t>Is our story of impact honest and verifiable?</t>
  </si>
  <si>
    <t>Is our governance model itself designed to evolve?</t>
  </si>
  <si>
    <t>Are we a steward for future generations?</t>
  </si>
  <si>
    <t>Has our structure dissolved into emergent order?</t>
  </si>
  <si>
    <t>Are we a living expression of the Earth healing itself?</t>
  </si>
  <si>
    <t>Axis 5: The Perception &amp; Truth Axis (F5: Market Resonance ↔ F10: Foundational Values)</t>
  </si>
  <si>
    <t>Does the market understand our basic message?</t>
  </si>
  <si>
    <t>Are our actions grounded in our core values?</t>
  </si>
  <si>
    <t>Do customers have a reliable, stable experience?</t>
  </si>
  <si>
    <t>Are our values embedded in our formal cultural systems?</t>
  </si>
  <si>
    <t>Are we building a loyal, trusting community?</t>
  </si>
  <si>
    <t>Are our values lived in our daily relationships?</t>
  </si>
  <si>
    <t>Is the market co-creating our product with us?</t>
  </si>
  <si>
    <t>Are our values themselves a source of innovation?</t>
  </si>
  <si>
    <t>Does the market feel our authentic signal?</t>
  </si>
  <si>
    <t>Is our public expression of values a beacon of truth?</t>
  </si>
  <si>
    <t>Is the market seeing us as a shaper of the future?</t>
  </si>
  <si>
    <t>Are our values universal and timeless?</t>
  </si>
  <si>
    <t>Have "we" and "the market" dissolved into one field?</t>
  </si>
  <si>
    <t>Have our values become a self-evident truth?</t>
  </si>
  <si>
    <t>Axis 6: The Network &amp; Fortress Axis (F6: Community &amp; Partners ↔ F12: Risk &amp; Resilience)</t>
  </si>
  <si>
    <t>Are we building a foundational support network?</t>
  </si>
  <si>
    <t>Is our venture protected from a single point of failure?</t>
  </si>
  <si>
    <t>Are our partnerships stable and well-integrated?</t>
  </si>
  <si>
    <t>Are our core systems resilient and managed for risk?</t>
  </si>
  <si>
    <t>Are our partnerships deep and mutually supportive?</t>
  </si>
  <si>
    <t>Is our resilience built on a foundation of trust?</t>
  </si>
  <si>
    <t>Is our network a source of ecosystem-level innovation?</t>
  </si>
  <si>
    <t>Is our innovation portfolio diverse enough to be resilient?</t>
  </si>
  <si>
    <t>Is the story of our ecosystem clear and inspiring?</t>
  </si>
  <si>
    <t>Is our honesty about our failures making us stronger?</t>
  </si>
  <si>
    <t>Is our network consciously building a better future?</t>
  </si>
  <si>
    <t>Is our vision itself resilient and able to self-correct?</t>
  </si>
  <si>
    <t>Is our network a living prototype of a new civilization?</t>
  </si>
  <si>
    <t>Have we mastered the art of becoming stronger from chaos?</t>
  </si>
  <si>
    <r>
      <t>Is </t>
    </r>
    <r>
      <rPr>
        <i/>
        <sz val="8"/>
        <rFont val="Inter"/>
        <family val="2"/>
        <charset val="186"/>
      </rPr>
      <t>any</t>
    </r>
    <r>
      <rPr>
        <sz val="8"/>
        <rFont val="Inter"/>
        <family val="2"/>
        <charset val="186"/>
      </rPr>
      <t> work getting done?</t>
    </r>
  </si>
  <si>
    <r>
      <t>Does the founder have the energy to </t>
    </r>
    <r>
      <rPr>
        <i/>
        <sz val="8"/>
        <rFont val="Inter"/>
        <family val="2"/>
        <charset val="186"/>
      </rPr>
      <t>exist</t>
    </r>
    <r>
      <rPr>
        <sz val="8"/>
        <rFont val="Inter"/>
        <family val="2"/>
        <charset val="186"/>
      </rPr>
      <t>?</t>
    </r>
  </si>
  <si>
    <t>Final_Derrived</t>
  </si>
  <si>
    <t>The Name of the Breath</t>
  </si>
  <si>
    <r>
      <t>The Breath of </t>
    </r>
    <r>
      <rPr>
        <b/>
        <sz val="8"/>
        <rFont val="Inter"/>
        <family val="2"/>
        <charset val="186"/>
      </rPr>
      <t>Viability</t>
    </r>
  </si>
  <si>
    <r>
      <t>The Breath of </t>
    </r>
    <r>
      <rPr>
        <b/>
        <sz val="8"/>
        <rFont val="Inter"/>
        <family val="2"/>
        <charset val="186"/>
      </rPr>
      <t>Efficiency</t>
    </r>
  </si>
  <si>
    <r>
      <t>The Breath of </t>
    </r>
    <r>
      <rPr>
        <b/>
        <sz val="8"/>
        <rFont val="Inter"/>
        <family val="2"/>
        <charset val="186"/>
      </rPr>
      <t>Integrity</t>
    </r>
  </si>
  <si>
    <r>
      <t>The Breath of </t>
    </r>
    <r>
      <rPr>
        <b/>
        <sz val="8"/>
        <rFont val="Inter"/>
        <family val="2"/>
        <charset val="186"/>
      </rPr>
      <t>Possibility</t>
    </r>
  </si>
  <si>
    <r>
      <t>The Breath of </t>
    </r>
    <r>
      <rPr>
        <b/>
        <sz val="8"/>
        <rFont val="Inter"/>
        <family val="2"/>
        <charset val="186"/>
      </rPr>
      <t>Transparency</t>
    </r>
  </si>
  <si>
    <r>
      <t>The Breath of </t>
    </r>
    <r>
      <rPr>
        <b/>
        <sz val="8"/>
        <rFont val="Inter"/>
        <family val="2"/>
        <charset val="186"/>
      </rPr>
      <t>Legacy</t>
    </r>
  </si>
  <si>
    <r>
      <t>The Breath of </t>
    </r>
    <r>
      <rPr>
        <b/>
        <sz val="8"/>
        <rFont val="Inter"/>
        <family val="2"/>
        <charset val="186"/>
      </rPr>
      <t>Infinite Circulation</t>
    </r>
  </si>
  <si>
    <r>
      <t>The Breath of </t>
    </r>
    <r>
      <rPr>
        <b/>
        <sz val="8"/>
        <rFont val="Inter"/>
        <family val="2"/>
        <charset val="186"/>
      </rPr>
      <t>Articulation</t>
    </r>
  </si>
  <si>
    <r>
      <t>The Breath of </t>
    </r>
    <r>
      <rPr>
        <b/>
        <sz val="8"/>
        <rFont val="Inter"/>
        <family val="2"/>
        <charset val="186"/>
      </rPr>
      <t>Consistency</t>
    </r>
  </si>
  <si>
    <r>
      <t>The Breath of </t>
    </r>
    <r>
      <rPr>
        <b/>
        <sz val="8"/>
        <rFont val="Inter"/>
        <family val="2"/>
        <charset val="186"/>
      </rPr>
      <t>Authenticity</t>
    </r>
  </si>
  <si>
    <r>
      <t>The Breath of </t>
    </r>
    <r>
      <rPr>
        <b/>
        <sz val="8"/>
        <rFont val="Inter"/>
        <family val="2"/>
        <charset val="186"/>
      </rPr>
      <t>Genius</t>
    </r>
  </si>
  <si>
    <r>
      <t>The Breath of </t>
    </r>
    <r>
      <rPr>
        <b/>
        <sz val="8"/>
        <rFont val="Inter"/>
        <family val="2"/>
        <charset val="186"/>
      </rPr>
      <t>Beauty</t>
    </r>
  </si>
  <si>
    <r>
      <t>The Breath of </t>
    </r>
    <r>
      <rPr>
        <b/>
        <sz val="8"/>
        <rFont val="Inter"/>
        <family val="2"/>
        <charset val="186"/>
      </rPr>
      <t>Endurance</t>
    </r>
  </si>
  <si>
    <r>
      <t>The Breath of </t>
    </r>
    <r>
      <rPr>
        <b/>
        <sz val="8"/>
        <rFont val="Inter"/>
        <family val="2"/>
        <charset val="186"/>
      </rPr>
      <t>Revelation</t>
    </r>
  </si>
  <si>
    <r>
      <t>The Breath of </t>
    </r>
    <r>
      <rPr>
        <b/>
        <sz val="8"/>
        <rFont val="Inter"/>
        <family val="2"/>
        <charset val="186"/>
      </rPr>
      <t>Sustainability</t>
    </r>
  </si>
  <si>
    <r>
      <t>The Breath of </t>
    </r>
    <r>
      <rPr>
        <b/>
        <sz val="8"/>
        <rFont val="Inter"/>
        <family val="2"/>
        <charset val="186"/>
      </rPr>
      <t>Rhythm</t>
    </r>
  </si>
  <si>
    <r>
      <t>The Breath of </t>
    </r>
    <r>
      <rPr>
        <b/>
        <sz val="8"/>
        <rFont val="Inter"/>
        <family val="2"/>
        <charset val="186"/>
      </rPr>
      <t>Belonging</t>
    </r>
  </si>
  <si>
    <r>
      <t>The Breath of </t>
    </r>
    <r>
      <rPr>
        <b/>
        <sz val="8"/>
        <rFont val="Inter"/>
        <family val="2"/>
        <charset val="186"/>
      </rPr>
      <t>Play</t>
    </r>
  </si>
  <si>
    <r>
      <t>The Breath of </t>
    </r>
    <r>
      <rPr>
        <b/>
        <sz val="8"/>
        <rFont val="Inter"/>
        <family val="2"/>
        <charset val="186"/>
      </rPr>
      <t>Presence</t>
    </r>
  </si>
  <si>
    <r>
      <t>The Breath of </t>
    </r>
    <r>
      <rPr>
        <b/>
        <sz val="8"/>
        <rFont val="Inter"/>
        <family val="2"/>
        <charset val="186"/>
      </rPr>
      <t>Continuity</t>
    </r>
  </si>
  <si>
    <r>
      <t>The Breath of </t>
    </r>
    <r>
      <rPr>
        <b/>
        <sz val="8"/>
        <rFont val="Inter"/>
        <family val="2"/>
        <charset val="186"/>
      </rPr>
      <t>Oneness</t>
    </r>
  </si>
  <si>
    <r>
      <t>The Breath of </t>
    </r>
    <r>
      <rPr>
        <b/>
        <sz val="8"/>
        <rFont val="Inter"/>
        <family val="2"/>
        <charset val="186"/>
      </rPr>
      <t>Intention</t>
    </r>
  </si>
  <si>
    <r>
      <t>The Breath of </t>
    </r>
    <r>
      <rPr>
        <b/>
        <sz val="8"/>
        <rFont val="Inter"/>
        <family val="2"/>
        <charset val="186"/>
      </rPr>
      <t>Resilience</t>
    </r>
  </si>
  <si>
    <r>
      <t>The Breath of </t>
    </r>
    <r>
      <rPr>
        <b/>
        <sz val="8"/>
        <rFont val="Inter"/>
        <family val="2"/>
        <charset val="186"/>
      </rPr>
      <t>Participation</t>
    </r>
  </si>
  <si>
    <r>
      <t>The Breath of </t>
    </r>
    <r>
      <rPr>
        <b/>
        <sz val="8"/>
        <rFont val="Inter"/>
        <family val="2"/>
        <charset val="186"/>
      </rPr>
      <t>Wisdom</t>
    </r>
  </si>
  <si>
    <r>
      <t>The Breath of </t>
    </r>
    <r>
      <rPr>
        <b/>
        <sz val="8"/>
        <rFont val="Inter"/>
        <family val="2"/>
        <charset val="186"/>
      </rPr>
      <t>Accountability</t>
    </r>
  </si>
  <si>
    <r>
      <t>The Breath of </t>
    </r>
    <r>
      <rPr>
        <b/>
        <sz val="8"/>
        <rFont val="Inter"/>
        <family val="2"/>
        <charset val="186"/>
      </rPr>
      <t>Evolution</t>
    </r>
  </si>
  <si>
    <r>
      <t>The Breath of </t>
    </r>
    <r>
      <rPr>
        <b/>
        <sz val="8"/>
        <rFont val="Inter"/>
        <family val="2"/>
        <charset val="186"/>
      </rPr>
      <t>Life Itself</t>
    </r>
  </si>
  <si>
    <r>
      <t>The Breath of </t>
    </r>
    <r>
      <rPr>
        <b/>
        <sz val="8"/>
        <rFont val="Inter"/>
        <family val="2"/>
        <charset val="186"/>
      </rPr>
      <t>Clarity</t>
    </r>
  </si>
  <si>
    <r>
      <t>The Breath of </t>
    </r>
    <r>
      <rPr>
        <b/>
        <sz val="8"/>
        <rFont val="Inter"/>
        <family val="2"/>
        <charset val="186"/>
      </rPr>
      <t>Reliability</t>
    </r>
  </si>
  <si>
    <r>
      <t>The Breath of </t>
    </r>
    <r>
      <rPr>
        <b/>
        <sz val="8"/>
        <rFont val="Inter"/>
        <family val="2"/>
        <charset val="186"/>
      </rPr>
      <t>Loyalty</t>
    </r>
  </si>
  <si>
    <r>
      <t>The Breath of </t>
    </r>
    <r>
      <rPr>
        <b/>
        <sz val="8"/>
        <rFont val="Inter"/>
        <family val="2"/>
        <charset val="186"/>
      </rPr>
      <t>Imagination</t>
    </r>
  </si>
  <si>
    <r>
      <t>The Breath of </t>
    </r>
    <r>
      <rPr>
        <b/>
        <sz val="8"/>
        <rFont val="Inter"/>
        <family val="2"/>
        <charset val="186"/>
      </rPr>
      <t>Resonance</t>
    </r>
  </si>
  <si>
    <r>
      <t>The Breath of </t>
    </r>
    <r>
      <rPr>
        <b/>
        <sz val="8"/>
        <rFont val="Inter"/>
        <family val="2"/>
        <charset val="186"/>
      </rPr>
      <t>Destiny</t>
    </r>
  </si>
  <si>
    <r>
      <t>The Breath of </t>
    </r>
    <r>
      <rPr>
        <b/>
        <sz val="8"/>
        <rFont val="Inter"/>
        <family val="2"/>
        <charset val="186"/>
      </rPr>
      <t>Unity</t>
    </r>
  </si>
  <si>
    <r>
      <t>The Breath of </t>
    </r>
    <r>
      <rPr>
        <b/>
        <sz val="8"/>
        <rFont val="Inter"/>
        <family val="2"/>
        <charset val="186"/>
      </rPr>
      <t>Support</t>
    </r>
  </si>
  <si>
    <r>
      <t>The Breath of </t>
    </r>
    <r>
      <rPr>
        <b/>
        <sz val="8"/>
        <rFont val="Inter"/>
        <family val="2"/>
        <charset val="186"/>
      </rPr>
      <t>Stability</t>
    </r>
  </si>
  <si>
    <r>
      <t>The Breath of </t>
    </r>
    <r>
      <rPr>
        <b/>
        <sz val="8"/>
        <rFont val="Inter"/>
        <family val="2"/>
        <charset val="186"/>
      </rPr>
      <t>Synergy</t>
    </r>
  </si>
  <si>
    <r>
      <t>The Breath of </t>
    </r>
    <r>
      <rPr>
        <b/>
        <sz val="8"/>
        <rFont val="Inter"/>
        <family val="2"/>
        <charset val="186"/>
      </rPr>
      <t>Emergence</t>
    </r>
  </si>
  <si>
    <r>
      <t>The Breath of </t>
    </r>
    <r>
      <rPr>
        <b/>
        <sz val="8"/>
        <rFont val="Inter"/>
        <family val="2"/>
        <charset val="186"/>
      </rPr>
      <t>Trust</t>
    </r>
  </si>
  <si>
    <r>
      <t>The Breath of </t>
    </r>
    <r>
      <rPr>
        <b/>
        <sz val="8"/>
        <rFont val="Inter"/>
        <family val="2"/>
        <charset val="186"/>
      </rPr>
      <t>Stewardship</t>
    </r>
  </si>
  <si>
    <r>
      <t>The Breath of </t>
    </r>
    <r>
      <rPr>
        <b/>
        <sz val="8"/>
        <rFont val="Inter"/>
        <family val="2"/>
        <charset val="186"/>
      </rPr>
      <t>Interbeing</t>
    </r>
  </si>
  <si>
    <t>E1-7</t>
  </si>
  <si>
    <t>E1-10</t>
  </si>
  <si>
    <t>E2-11</t>
  </si>
  <si>
    <t>E3-9</t>
  </si>
  <si>
    <t>E4-9</t>
  </si>
  <si>
    <t>E5-9</t>
  </si>
  <si>
    <t>E6-7</t>
  </si>
  <si>
    <t>E5-12</t>
  </si>
  <si>
    <t>E8-10</t>
  </si>
  <si>
    <t>E9-11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</si>
</sst>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quot; &quot;&quot;$&quot;* #,##0.00&quot; &quot;;&quot; &quot;&quot;$&quot;* &quot;(&quot;#,##0.00&quot;)&quot;;&quot; &quot;&quot;$&quot;* &quot;-&quot;#&quot; &quot;;&quot; &quot;@&quot; &quot;"/>
    <numFmt numFmtId="165" formatCode="0.0"/>
    <numFmt numFmtId="166" formatCode="0.000"/>
    <numFmt numFmtId="167" formatCode="0.0000"/>
    <numFmt numFmtId="168" formatCode="0.000000"/>
    <numFmt numFmtId="169" formatCode="0.0000000"/>
    <numFmt numFmtId="170" formatCode="0.00000000"/>
    <numFmt numFmtId="171" formatCode="0.000000000"/>
    <numFmt numFmtId="172" formatCode="0.000000000000"/>
    <numFmt numFmtId="173" formatCode="0.0000000000000"/>
    <numFmt numFmtId="174" formatCode="0.00000"/>
    <numFmt numFmtId="175" formatCode="0.0%"/>
    <numFmt numFmtId="176" formatCode="0.000000000000000%"/>
    <numFmt numFmtId="177" formatCode="_([$€-2]\ * #,##0.00_);_([$€-2]\ * \(#,##0.00\);_([$€-2]\ * &quot;-&quot;??_);_(@_)"/>
    <numFmt numFmtId="178" formatCode="[$€-2]\ #,##0;[Red]\-[$€-2]\ #,##0"/>
    <numFmt numFmtId="179" formatCode="[$-F400]h:mm:ss\ AM/PM"/>
    <numFmt numFmtId="180" formatCode="0.0000000000000000000"/>
    <numFmt numFmtId="181" formatCode="0.00000000000"/>
    <numFmt numFmtId="182" formatCode="0.0000000000000000"/>
  </numFmts>
  <fonts count="120">
    <font>
      <sz val="11"/>
      <color rgb="FF000000"/>
      <name val="Aptos Narrow"/>
      <family val="2"/>
    </font>
    <font>
      <sz val="11"/>
      <color theme="1"/>
      <name val="Aptos Narrow"/>
      <family val="2"/>
      <scheme val="minor"/>
    </font>
    <font>
      <sz val="11"/>
      <color theme="1"/>
      <name val="Aptos Narrow"/>
      <family val="2"/>
      <scheme val="minor"/>
    </font>
    <font>
      <sz val="11"/>
      <color rgb="FF000000"/>
      <name val="Aptos Narrow"/>
      <family val="2"/>
    </font>
    <font>
      <b/>
      <sz val="8"/>
      <color rgb="FF000000"/>
      <name val="Inter"/>
      <family val="2"/>
      <charset val="186"/>
    </font>
    <font>
      <sz val="8"/>
      <color rgb="FF000000"/>
      <name val="Inter"/>
      <family val="2"/>
      <charset val="186"/>
    </font>
    <font>
      <sz val="8"/>
      <color rgb="FF000000"/>
      <name val="Courier New"/>
      <family val="3"/>
      <charset val="186"/>
    </font>
    <font>
      <b/>
      <sz val="8"/>
      <color rgb="FF000000"/>
      <name val="Courier New"/>
      <family val="3"/>
      <charset val="186"/>
    </font>
    <font>
      <b/>
      <sz val="11"/>
      <color rgb="FF000000"/>
      <name val="Aptos Narrow"/>
      <family val="2"/>
    </font>
    <font>
      <i/>
      <sz val="11"/>
      <color rgb="FF000000"/>
      <name val="Aptos Narrow"/>
      <family val="2"/>
    </font>
    <font>
      <b/>
      <sz val="8"/>
      <color rgb="FFE2E2E5"/>
      <name val="Inter"/>
      <family val="2"/>
      <charset val="186"/>
    </font>
    <font>
      <i/>
      <sz val="8"/>
      <color rgb="FFE2E2E5"/>
      <name val="Inter"/>
      <family val="2"/>
      <charset val="186"/>
    </font>
    <font>
      <b/>
      <sz val="13.5"/>
      <color rgb="FF000000"/>
      <name val="Aptos Narrow"/>
      <family val="2"/>
    </font>
    <font>
      <b/>
      <i/>
      <sz val="11"/>
      <color rgb="FF000000"/>
      <name val="Aptos Narrow"/>
      <family val="2"/>
    </font>
    <font>
      <sz val="8"/>
      <name val="Aptos Narrow"/>
      <family val="2"/>
    </font>
    <font>
      <b/>
      <sz val="11"/>
      <color theme="0"/>
      <name val="Aptos Narrow"/>
      <family val="2"/>
    </font>
    <font>
      <sz val="11"/>
      <name val="Aptos Narrow"/>
      <family val="2"/>
    </font>
    <font>
      <b/>
      <sz val="11"/>
      <name val="Courier New"/>
      <family val="3"/>
      <charset val="186"/>
    </font>
    <font>
      <b/>
      <sz val="9"/>
      <color rgb="FFE2E2E5"/>
      <name val="Inter"/>
      <family val="2"/>
      <charset val="186"/>
    </font>
    <font>
      <b/>
      <sz val="9"/>
      <color rgb="FF000000"/>
      <name val="Aptos Narrow"/>
      <family val="2"/>
    </font>
    <font>
      <sz val="11"/>
      <color theme="1"/>
      <name val="Aptos Narrow"/>
      <family val="2"/>
    </font>
    <font>
      <sz val="8"/>
      <color rgb="FFE2E2E5"/>
      <name val="Inter"/>
      <family val="2"/>
      <charset val="186"/>
    </font>
    <font>
      <sz val="8"/>
      <color rgb="FFE2E2E5"/>
      <name val="Courier New"/>
      <family val="3"/>
      <charset val="186"/>
    </font>
    <font>
      <b/>
      <sz val="8"/>
      <name val="Inter"/>
      <family val="2"/>
      <charset val="186"/>
    </font>
    <font>
      <b/>
      <sz val="9"/>
      <name val="Inter"/>
      <family val="2"/>
      <charset val="186"/>
    </font>
    <font>
      <sz val="9"/>
      <name val="Inter"/>
      <family val="2"/>
      <charset val="186"/>
    </font>
    <font>
      <sz val="9"/>
      <name val="Courier New"/>
      <family val="3"/>
      <charset val="186"/>
    </font>
    <font>
      <b/>
      <sz val="9"/>
      <color theme="0"/>
      <name val="Inter"/>
      <family val="2"/>
      <charset val="186"/>
    </font>
    <font>
      <b/>
      <sz val="8"/>
      <color rgb="FFE2E2E5"/>
      <name val="Courier New"/>
      <family val="3"/>
      <charset val="186"/>
    </font>
    <font>
      <sz val="11"/>
      <color theme="0"/>
      <name val="Aptos Narrow"/>
      <family val="2"/>
    </font>
    <font>
      <b/>
      <sz val="9"/>
      <color theme="0"/>
      <name val="Courier New"/>
      <family val="3"/>
      <charset val="186"/>
    </font>
    <font>
      <b/>
      <sz val="9"/>
      <color theme="0"/>
      <name val="Aptos Narrow"/>
      <family val="2"/>
    </font>
    <font>
      <sz val="12"/>
      <color theme="0"/>
      <name val="Aptos"/>
      <family val="2"/>
    </font>
    <font>
      <sz val="8"/>
      <color theme="1"/>
      <name val="Inter"/>
      <family val="2"/>
      <charset val="186"/>
    </font>
    <font>
      <b/>
      <sz val="8"/>
      <color theme="1"/>
      <name val="Inter"/>
      <family val="2"/>
      <charset val="186"/>
    </font>
    <font>
      <i/>
      <sz val="8"/>
      <color theme="1"/>
      <name val="Inter"/>
      <family val="2"/>
      <charset val="186"/>
    </font>
    <font>
      <sz val="8"/>
      <color theme="1"/>
      <name val="Courier New"/>
      <family val="3"/>
      <charset val="186"/>
    </font>
    <font>
      <b/>
      <sz val="8"/>
      <color theme="1"/>
      <name val="Courier New"/>
      <family val="3"/>
      <charset val="186"/>
    </font>
    <font>
      <i/>
      <sz val="8"/>
      <color theme="0"/>
      <name val="Inter"/>
      <family val="2"/>
      <charset val="186"/>
    </font>
    <font>
      <sz val="9"/>
      <color theme="0"/>
      <name val="Inter"/>
      <family val="2"/>
      <charset val="186"/>
    </font>
    <font>
      <sz val="8"/>
      <name val="Inter"/>
      <family val="2"/>
      <charset val="186"/>
    </font>
    <font>
      <b/>
      <sz val="8"/>
      <name val="Courier New"/>
      <family val="3"/>
      <charset val="186"/>
    </font>
    <font>
      <i/>
      <sz val="8"/>
      <name val="Inter"/>
      <family val="2"/>
      <charset val="186"/>
    </font>
    <font>
      <b/>
      <sz val="11"/>
      <name val="Aptos Narrow"/>
      <family val="2"/>
    </font>
    <font>
      <sz val="11"/>
      <color theme="0"/>
      <name val="Aptos Narrow"/>
      <family val="2"/>
      <scheme val="minor"/>
    </font>
    <font>
      <sz val="8"/>
      <color theme="0"/>
      <name val="Courier New"/>
      <family val="3"/>
      <charset val="186"/>
    </font>
    <font>
      <sz val="8"/>
      <color theme="0"/>
      <name val="Aptos Narrow"/>
      <family val="2"/>
    </font>
    <font>
      <sz val="8"/>
      <name val="Courier New"/>
      <family val="3"/>
      <charset val="186"/>
    </font>
    <font>
      <b/>
      <sz val="18"/>
      <color rgb="FFE2E2E5"/>
      <name val="Inter"/>
      <family val="2"/>
      <charset val="186"/>
    </font>
    <font>
      <sz val="9"/>
      <color theme="1"/>
      <name val="Courier New"/>
      <family val="3"/>
      <charset val="186"/>
    </font>
    <font>
      <sz val="9"/>
      <color rgb="FFE2E2E5"/>
      <name val="Courier New"/>
      <family val="3"/>
      <charset val="186"/>
    </font>
    <font>
      <b/>
      <sz val="20"/>
      <color rgb="FFE2E2E5"/>
      <name val="Courier New"/>
      <family val="3"/>
      <charset val="186"/>
    </font>
    <font>
      <b/>
      <sz val="14"/>
      <color rgb="FFE2E2E5"/>
      <name val="Inter"/>
      <family val="2"/>
      <charset val="186"/>
    </font>
    <font>
      <b/>
      <sz val="16"/>
      <color rgb="FFE2E2E5"/>
      <name val="Inter"/>
      <family val="2"/>
      <charset val="186"/>
    </font>
    <font>
      <sz val="11"/>
      <color rgb="FFE2E2E5"/>
      <name val="Inter"/>
      <family val="2"/>
      <charset val="186"/>
    </font>
    <font>
      <sz val="10"/>
      <color rgb="FFE2E2E5"/>
      <name val="Inter"/>
      <family val="2"/>
      <charset val="186"/>
    </font>
    <font>
      <b/>
      <u/>
      <sz val="14"/>
      <name val="Courier New"/>
      <family val="3"/>
      <charset val="186"/>
    </font>
    <font>
      <sz val="10"/>
      <color rgb="FF000000"/>
      <name val="Aptos Narrow"/>
      <family val="2"/>
    </font>
    <font>
      <b/>
      <sz val="28"/>
      <color rgb="FFE2E2E5"/>
      <name val="Inter"/>
      <family val="2"/>
      <charset val="186"/>
    </font>
    <font>
      <b/>
      <sz val="9"/>
      <color rgb="FFE2E2E5"/>
      <name val="Courier New"/>
      <family val="3"/>
      <charset val="186"/>
    </font>
    <font>
      <b/>
      <sz val="10"/>
      <color rgb="FFE2E2E5"/>
      <name val="Inter"/>
      <family val="2"/>
      <charset val="186"/>
    </font>
    <font>
      <b/>
      <sz val="11"/>
      <color rgb="FFE2E2E5"/>
      <name val="Courier New"/>
      <family val="3"/>
      <charset val="186"/>
    </font>
    <font>
      <b/>
      <sz val="14"/>
      <color theme="0"/>
      <name val="Aptos Narrow"/>
      <family val="2"/>
    </font>
    <font>
      <sz val="26"/>
      <color theme="0"/>
      <name val="Aptos Narrow"/>
      <family val="2"/>
    </font>
    <font>
      <b/>
      <sz val="11"/>
      <color theme="0"/>
      <name val="Aptos Narrow"/>
      <family val="2"/>
      <scheme val="minor"/>
    </font>
    <font>
      <b/>
      <sz val="11"/>
      <name val="Aptos Narrow"/>
      <family val="2"/>
      <scheme val="minor"/>
    </font>
    <font>
      <sz val="10"/>
      <color theme="0"/>
      <name val="Aptos Narrow"/>
      <family val="2"/>
      <scheme val="minor"/>
    </font>
    <font>
      <b/>
      <sz val="10"/>
      <color theme="0"/>
      <name val="Aptos Narrow"/>
      <family val="2"/>
      <scheme val="minor"/>
    </font>
    <font>
      <sz val="9"/>
      <color theme="0"/>
      <name val="Aptos Narrow"/>
      <family val="2"/>
      <scheme val="minor"/>
    </font>
    <font>
      <sz val="11"/>
      <color rgb="FF000000"/>
      <name val="Aptos Narrow"/>
      <family val="2"/>
      <scheme val="minor"/>
    </font>
    <font>
      <b/>
      <u/>
      <sz val="12"/>
      <color theme="0"/>
      <name val="Aptos Narrow"/>
      <family val="2"/>
      <scheme val="minor"/>
    </font>
    <font>
      <b/>
      <sz val="8"/>
      <color theme="0"/>
      <name val="Inter"/>
      <family val="2"/>
      <charset val="186"/>
    </font>
    <font>
      <sz val="11"/>
      <name val="Google Symbols"/>
    </font>
    <font>
      <sz val="8"/>
      <name val="Arial Unicode MS"/>
    </font>
    <font>
      <sz val="8"/>
      <color theme="0"/>
      <name val="Inter"/>
      <family val="2"/>
      <charset val="186"/>
    </font>
    <font>
      <b/>
      <sz val="16"/>
      <name val="Inter"/>
      <family val="2"/>
      <charset val="186"/>
    </font>
    <font>
      <u/>
      <sz val="11"/>
      <color rgb="FF000000"/>
      <name val="Aptos Narrow"/>
      <family val="2"/>
    </font>
    <font>
      <sz val="8"/>
      <color rgb="FFE2E2E5"/>
      <name val="Currier new"/>
    </font>
    <font>
      <i/>
      <sz val="8"/>
      <color rgb="FFE2E2E5"/>
      <name val="Currier new"/>
    </font>
    <font>
      <sz val="11"/>
      <color rgb="FF000000"/>
      <name val="Currier new"/>
    </font>
    <font>
      <b/>
      <sz val="8"/>
      <color rgb="FFE2E2E5"/>
      <name val="Currier new"/>
    </font>
    <font>
      <b/>
      <sz val="26"/>
      <color rgb="FF000000"/>
      <name val="Currier new"/>
    </font>
    <font>
      <b/>
      <sz val="12"/>
      <color rgb="FFE2E2E5"/>
      <name val="Currier new"/>
    </font>
    <font>
      <b/>
      <sz val="14"/>
      <color rgb="FFE2E2E5"/>
      <name val="Currier new"/>
    </font>
    <font>
      <b/>
      <sz val="14"/>
      <color theme="0"/>
      <name val="Currier new"/>
    </font>
    <font>
      <b/>
      <sz val="11"/>
      <color rgb="FFE2E2E5"/>
      <name val="Currier new"/>
    </font>
    <font>
      <sz val="11"/>
      <color rgb="FFE2E2E5"/>
      <name val="Currier new"/>
    </font>
    <font>
      <b/>
      <sz val="18"/>
      <color rgb="FFE2E2E5"/>
      <name val="Currier new"/>
    </font>
    <font>
      <sz val="9"/>
      <color rgb="FFE2E2E5"/>
      <name val="Currier new"/>
    </font>
    <font>
      <b/>
      <sz val="9"/>
      <color rgb="FFE2E2E5"/>
      <name val="Currier new"/>
    </font>
    <font>
      <sz val="9"/>
      <color theme="0"/>
      <name val="Currier new"/>
    </font>
    <font>
      <b/>
      <sz val="9"/>
      <color theme="0"/>
      <name val="Currier new"/>
    </font>
    <font>
      <sz val="8"/>
      <color theme="0"/>
      <name val="Currier new"/>
    </font>
    <font>
      <b/>
      <sz val="8"/>
      <color theme="0"/>
      <name val="Currier new"/>
    </font>
    <font>
      <b/>
      <sz val="24"/>
      <name val="Currier new"/>
    </font>
    <font>
      <sz val="8"/>
      <name val="Currier new"/>
    </font>
    <font>
      <i/>
      <sz val="8"/>
      <color theme="0"/>
      <name val="Currier new"/>
    </font>
    <font>
      <b/>
      <sz val="8"/>
      <color theme="1"/>
      <name val="Currier new"/>
    </font>
    <font>
      <sz val="8"/>
      <color theme="1"/>
      <name val="Currier new"/>
    </font>
    <font>
      <i/>
      <sz val="8"/>
      <color theme="1"/>
      <name val="Currier new"/>
    </font>
    <font>
      <b/>
      <sz val="10"/>
      <color rgb="FFC00000"/>
      <name val="Inter"/>
      <family val="2"/>
      <charset val="186"/>
    </font>
    <font>
      <b/>
      <sz val="9"/>
      <color rgb="FFC00000"/>
      <name val="Inter"/>
      <family val="2"/>
      <charset val="186"/>
    </font>
    <font>
      <b/>
      <sz val="10"/>
      <color rgb="FFC00000"/>
      <name val="Currier new"/>
    </font>
    <font>
      <sz val="11"/>
      <name val="Currier new"/>
    </font>
    <font>
      <b/>
      <sz val="8"/>
      <color theme="0"/>
      <name val="Aptos Narrow"/>
      <family val="2"/>
    </font>
    <font>
      <i/>
      <sz val="11"/>
      <color theme="0"/>
      <name val="Aptos Narrow"/>
      <family val="2"/>
    </font>
    <font>
      <sz val="9"/>
      <color indexed="81"/>
      <name val="Tahoma"/>
      <family val="2"/>
      <charset val="186"/>
    </font>
    <font>
      <b/>
      <sz val="9"/>
      <color indexed="81"/>
      <name val="Tahoma"/>
      <family val="2"/>
      <charset val="186"/>
    </font>
    <font>
      <sz val="8"/>
      <color indexed="81"/>
      <name val="Tahoma"/>
      <family val="2"/>
      <charset val="186"/>
    </font>
    <font>
      <b/>
      <sz val="8"/>
      <color indexed="81"/>
      <name val="Tahoma"/>
      <family val="2"/>
      <charset val="186"/>
    </font>
    <font>
      <i/>
      <sz val="8"/>
      <color indexed="81"/>
      <name val="Tahoma"/>
      <family val="2"/>
      <charset val="186"/>
    </font>
    <font>
      <b/>
      <u/>
      <sz val="8"/>
      <color indexed="81"/>
      <name val="Tahoma"/>
      <family val="2"/>
      <charset val="186"/>
    </font>
    <font>
      <b/>
      <u/>
      <sz val="11"/>
      <color theme="0"/>
      <name val="Inter"/>
      <family val="2"/>
      <charset val="186"/>
    </font>
    <font>
      <sz val="12"/>
      <color rgb="FF000000"/>
      <name val="Aptos Narrow"/>
      <family val="2"/>
    </font>
    <font>
      <b/>
      <sz val="12"/>
      <color rgb="FF000000"/>
      <name val="Aptos Narrow"/>
      <family val="2"/>
    </font>
    <font>
      <i/>
      <sz val="12"/>
      <color rgb="FF000000"/>
      <name val="Aptos Narrow"/>
      <family val="2"/>
    </font>
    <font>
      <i/>
      <sz val="9"/>
      <color indexed="81"/>
      <name val="Tahoma"/>
      <family val="2"/>
      <charset val="186"/>
    </font>
    <font>
      <b/>
      <sz val="13.5"/>
      <color theme="1"/>
      <name val="Inter"/>
      <family val="2"/>
      <charset val="186"/>
    </font>
    <font>
      <b/>
      <sz val="11"/>
      <color theme="1"/>
      <name val="Inter"/>
      <family val="2"/>
      <charset val="186"/>
    </font>
    <font>
      <b/>
      <sz val="11"/>
      <name val="Inter"/>
      <family val="2"/>
      <charset val="186"/>
    </font>
  </fonts>
  <fills count="27">
    <fill>
      <patternFill patternType="none"/>
    </fill>
    <fill>
      <patternFill patternType="gray125"/>
    </fill>
    <fill>
      <patternFill patternType="solid">
        <fgColor rgb="FFFFFFFF"/>
        <bgColor rgb="FFFFFFFF"/>
      </patternFill>
    </fill>
    <fill>
      <patternFill patternType="solid">
        <fgColor rgb="FF191919"/>
        <bgColor rgb="FF191919"/>
      </patternFill>
    </fill>
    <fill>
      <patternFill patternType="solid">
        <fgColor theme="1"/>
        <bgColor indexed="64"/>
      </patternFill>
    </fill>
    <fill>
      <patternFill patternType="solid">
        <fgColor theme="9" tint="0.39997558519241921"/>
        <bgColor indexed="64"/>
      </patternFill>
    </fill>
    <fill>
      <patternFill patternType="solid">
        <fgColor rgb="FFC00000"/>
        <bgColor indexed="64"/>
      </patternFill>
    </fill>
    <fill>
      <patternFill patternType="solid">
        <fgColor rgb="FF191919"/>
        <bgColor indexed="64"/>
      </patternFill>
    </fill>
    <fill>
      <patternFill patternType="solid">
        <fgColor theme="0"/>
        <bgColor indexed="64"/>
      </patternFill>
    </fill>
    <fill>
      <patternFill patternType="solid">
        <fgColor theme="1" tint="0.249977111117893"/>
        <bgColor indexed="64"/>
      </patternFill>
    </fill>
    <fill>
      <patternFill patternType="solid">
        <fgColor rgb="FFFF0000"/>
        <bgColor indexed="64"/>
      </patternFill>
    </fill>
    <fill>
      <patternFill patternType="solid">
        <fgColor theme="9"/>
        <bgColor indexed="64"/>
      </patternFill>
    </fill>
    <fill>
      <patternFill patternType="solid">
        <fgColor theme="1" tint="0.14999847407452621"/>
        <bgColor indexed="64"/>
      </patternFill>
    </fill>
    <fill>
      <patternFill patternType="solid">
        <fgColor theme="2" tint="-0.89999084444715716"/>
        <bgColor indexed="64"/>
      </patternFill>
    </fill>
    <fill>
      <patternFill patternType="solid">
        <fgColor theme="2" tint="-0.749992370372631"/>
        <bgColor indexed="64"/>
      </patternFill>
    </fill>
    <fill>
      <patternFill patternType="solid">
        <fgColor theme="7"/>
        <bgColor indexed="64"/>
      </patternFill>
    </fill>
    <fill>
      <patternFill patternType="solid">
        <fgColor theme="4" tint="0.79998168889431442"/>
        <bgColor theme="4" tint="0.79998168889431442"/>
      </patternFill>
    </fill>
    <fill>
      <patternFill patternType="solid">
        <fgColor theme="0"/>
        <bgColor theme="4" tint="0.79998168889431442"/>
      </patternFill>
    </fill>
    <fill>
      <patternFill patternType="solid">
        <fgColor theme="1"/>
        <bgColor rgb="FF191919"/>
      </patternFill>
    </fill>
    <fill>
      <patternFill patternType="solid">
        <fgColor theme="1"/>
        <bgColor rgb="FFFFFFFF"/>
      </patternFill>
    </fill>
    <fill>
      <patternFill patternType="solid">
        <fgColor rgb="FFFF3300"/>
        <bgColor indexed="64"/>
      </patternFill>
    </fill>
    <fill>
      <patternFill patternType="solid">
        <fgColor rgb="FFFFFF00"/>
        <bgColor indexed="64"/>
      </patternFill>
    </fill>
    <fill>
      <patternFill patternType="solid">
        <fgColor theme="8" tint="0.39997558519241921"/>
        <bgColor indexed="64"/>
      </patternFill>
    </fill>
    <fill>
      <patternFill patternType="solid">
        <fgColor rgb="FF7030A0"/>
        <bgColor indexed="64"/>
      </patternFill>
    </fill>
    <fill>
      <patternFill patternType="solid">
        <fgColor theme="9" tint="-0.249977111117893"/>
        <bgColor indexed="64"/>
      </patternFill>
    </fill>
    <fill>
      <patternFill patternType="solid">
        <fgColor rgb="FF0070C0"/>
        <bgColor indexed="64"/>
      </patternFill>
    </fill>
    <fill>
      <patternFill patternType="solid">
        <fgColor theme="1" tint="4.9989318521683403E-2"/>
        <bgColor indexed="64"/>
      </patternFill>
    </fill>
  </fills>
  <borders count="9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auto="1"/>
      </top>
      <bottom style="thin">
        <color auto="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diagonal/>
    </border>
    <border>
      <left/>
      <right style="thin">
        <color theme="1"/>
      </right>
      <top style="thin">
        <color indexed="64"/>
      </top>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0"/>
      </left>
      <right style="thin">
        <color theme="0"/>
      </right>
      <top style="thin">
        <color theme="0"/>
      </top>
      <bottom style="thin">
        <color theme="0"/>
      </bottom>
      <diagonal/>
    </border>
    <border>
      <left/>
      <right style="thin">
        <color indexed="64"/>
      </right>
      <top/>
      <bottom/>
      <diagonal/>
    </border>
    <border>
      <left style="thin">
        <color theme="1"/>
      </left>
      <right/>
      <top/>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0"/>
      </left>
      <right/>
      <top style="thin">
        <color theme="0"/>
      </top>
      <bottom style="thin">
        <color theme="0"/>
      </bottom>
      <diagonal/>
    </border>
    <border>
      <left/>
      <right/>
      <top style="thin">
        <color theme="0"/>
      </top>
      <bottom style="thin">
        <color theme="0"/>
      </bottom>
      <diagonal/>
    </border>
    <border>
      <left/>
      <right/>
      <top style="thin">
        <color theme="0"/>
      </top>
      <bottom/>
      <diagonal/>
    </border>
    <border>
      <left/>
      <right style="thin">
        <color theme="0"/>
      </right>
      <top style="thin">
        <color theme="0"/>
      </top>
      <bottom style="thin">
        <color theme="0"/>
      </bottom>
      <diagonal/>
    </border>
    <border>
      <left/>
      <right style="thin">
        <color theme="0"/>
      </right>
      <top/>
      <bottom style="thin">
        <color theme="0"/>
      </bottom>
      <diagonal/>
    </border>
    <border>
      <left/>
      <right/>
      <top/>
      <bottom style="thin">
        <color theme="0"/>
      </bottom>
      <diagonal/>
    </border>
    <border>
      <left style="medium">
        <color theme="1"/>
      </left>
      <right style="medium">
        <color theme="1"/>
      </right>
      <top style="medium">
        <color theme="1"/>
      </top>
      <bottom style="medium">
        <color theme="1"/>
      </bottom>
      <diagonal/>
    </border>
    <border>
      <left style="thin">
        <color theme="0"/>
      </left>
      <right/>
      <top/>
      <bottom style="thin">
        <color theme="0"/>
      </bottom>
      <diagonal/>
    </border>
    <border>
      <left style="thin">
        <color theme="0"/>
      </left>
      <right/>
      <top/>
      <bottom/>
      <diagonal/>
    </border>
    <border>
      <left/>
      <right style="thin">
        <color theme="0"/>
      </right>
      <top/>
      <bottom/>
      <diagonal/>
    </border>
    <border>
      <left style="medium">
        <color theme="7"/>
      </left>
      <right style="thin">
        <color theme="0"/>
      </right>
      <top style="medium">
        <color theme="7"/>
      </top>
      <bottom style="thin">
        <color theme="0"/>
      </bottom>
      <diagonal/>
    </border>
    <border>
      <left style="thin">
        <color theme="0"/>
      </left>
      <right/>
      <top style="medium">
        <color theme="7"/>
      </top>
      <bottom style="thin">
        <color theme="0"/>
      </bottom>
      <diagonal/>
    </border>
    <border>
      <left/>
      <right style="thin">
        <color theme="0"/>
      </right>
      <top style="medium">
        <color theme="7"/>
      </top>
      <bottom style="thin">
        <color theme="0"/>
      </bottom>
      <diagonal/>
    </border>
    <border>
      <left/>
      <right/>
      <top style="medium">
        <color theme="7"/>
      </top>
      <bottom/>
      <diagonal/>
    </border>
    <border>
      <left/>
      <right style="medium">
        <color theme="7"/>
      </right>
      <top style="medium">
        <color theme="7"/>
      </top>
      <bottom/>
      <diagonal/>
    </border>
    <border>
      <left style="medium">
        <color theme="7"/>
      </left>
      <right/>
      <top/>
      <bottom/>
      <diagonal/>
    </border>
    <border>
      <left/>
      <right style="medium">
        <color theme="7"/>
      </right>
      <top/>
      <bottom/>
      <diagonal/>
    </border>
    <border>
      <left style="medium">
        <color theme="7"/>
      </left>
      <right/>
      <top/>
      <bottom style="medium">
        <color theme="7"/>
      </bottom>
      <diagonal/>
    </border>
    <border>
      <left/>
      <right/>
      <top/>
      <bottom style="medium">
        <color theme="7"/>
      </bottom>
      <diagonal/>
    </border>
    <border>
      <left/>
      <right style="medium">
        <color theme="7"/>
      </right>
      <top/>
      <bottom style="medium">
        <color theme="7"/>
      </bottom>
      <diagonal/>
    </border>
    <border>
      <left style="medium">
        <color rgb="FFFF0000"/>
      </left>
      <right style="thin">
        <color theme="0"/>
      </right>
      <top style="medium">
        <color rgb="FFFF0000"/>
      </top>
      <bottom style="thin">
        <color theme="0"/>
      </bottom>
      <diagonal/>
    </border>
    <border>
      <left style="thin">
        <color theme="0"/>
      </left>
      <right/>
      <top style="medium">
        <color rgb="FFFF0000"/>
      </top>
      <bottom style="thin">
        <color theme="0"/>
      </bottom>
      <diagonal/>
    </border>
    <border>
      <left/>
      <right style="thin">
        <color theme="0"/>
      </right>
      <top style="medium">
        <color rgb="FFFF0000"/>
      </top>
      <bottom style="thin">
        <color theme="0"/>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right style="thin">
        <color theme="1"/>
      </right>
      <top/>
      <bottom style="thin">
        <color theme="1"/>
      </bottom>
      <diagonal/>
    </border>
    <border>
      <left style="thin">
        <color theme="1"/>
      </left>
      <right/>
      <top/>
      <bottom style="thin">
        <color theme="1"/>
      </bottom>
      <diagonal/>
    </border>
    <border>
      <left style="medium">
        <color rgb="FF2A2A2A"/>
      </left>
      <right style="medium">
        <color rgb="FF2A2A2A"/>
      </right>
      <top style="medium">
        <color rgb="FF2A2A2A"/>
      </top>
      <bottom style="medium">
        <color rgb="FF2A2A2A"/>
      </bottom>
      <diagonal/>
    </border>
    <border>
      <left style="thin">
        <color indexed="64"/>
      </left>
      <right/>
      <top style="thin">
        <color indexed="64"/>
      </top>
      <bottom style="thin">
        <color indexed="64"/>
      </bottom>
      <diagonal/>
    </border>
    <border>
      <left style="medium">
        <color theme="0"/>
      </left>
      <right style="medium">
        <color theme="0"/>
      </right>
      <top/>
      <bottom style="medium">
        <color theme="0"/>
      </bottom>
      <diagonal/>
    </border>
    <border>
      <left/>
      <right/>
      <top style="thin">
        <color theme="4" tint="0.39997558519241921"/>
      </top>
      <bottom/>
      <diagonal/>
    </border>
    <border>
      <left style="thin">
        <color theme="0"/>
      </left>
      <right/>
      <top style="thin">
        <color theme="0"/>
      </top>
      <bottom/>
      <diagonal/>
    </border>
    <border>
      <left style="thin">
        <color indexed="64"/>
      </left>
      <right/>
      <top style="thin">
        <color theme="0"/>
      </top>
      <bottom/>
      <diagonal/>
    </border>
    <border>
      <left style="thin">
        <color indexed="64"/>
      </left>
      <right/>
      <top style="thin">
        <color theme="4" tint="0.39997558519241921"/>
      </top>
      <bottom/>
      <diagonal/>
    </border>
    <border>
      <left style="thin">
        <color theme="0"/>
      </left>
      <right/>
      <top style="thin">
        <color indexed="64"/>
      </top>
      <bottom/>
      <diagonal/>
    </border>
    <border>
      <left style="thin">
        <color theme="0"/>
      </left>
      <right/>
      <top style="thin">
        <color indexed="64"/>
      </top>
      <bottom style="thin">
        <color theme="4" tint="0.39997558519241921"/>
      </bottom>
      <diagonal/>
    </border>
    <border>
      <left style="thin">
        <color indexed="64"/>
      </left>
      <right/>
      <top style="thin">
        <color indexed="64"/>
      </top>
      <bottom style="thin">
        <color theme="4" tint="0.39997558519241921"/>
      </bottom>
      <diagonal/>
    </border>
    <border>
      <left style="thin">
        <color indexed="64"/>
      </left>
      <right/>
      <top style="thin">
        <color theme="4" tint="0.39997558519241921"/>
      </top>
      <bottom style="thin">
        <color theme="4" tint="0.39997558519241921"/>
      </bottom>
      <diagonal/>
    </border>
    <border>
      <left/>
      <right/>
      <top/>
      <bottom style="thin">
        <color theme="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indexed="64"/>
      </right>
      <top style="thin">
        <color indexed="64"/>
      </top>
      <bottom style="thin">
        <color indexed="64"/>
      </bottom>
      <diagonal/>
    </border>
    <border>
      <left style="thin">
        <color theme="0"/>
      </left>
      <right/>
      <top style="thin">
        <color theme="4" tint="0.39997558519241921"/>
      </top>
      <bottom/>
      <diagonal/>
    </border>
    <border>
      <left style="thin">
        <color theme="0"/>
      </left>
      <right style="thin">
        <color theme="0"/>
      </right>
      <top style="thin">
        <color theme="4" tint="0.39997558519241921"/>
      </top>
      <bottom/>
      <diagonal/>
    </border>
    <border>
      <left style="thin">
        <color theme="1"/>
      </left>
      <right/>
      <top style="thin">
        <color theme="0"/>
      </top>
      <bottom/>
      <diagonal/>
    </border>
    <border>
      <left style="thin">
        <color theme="1"/>
      </left>
      <right style="thin">
        <color theme="0"/>
      </right>
      <top style="thin">
        <color theme="4" tint="0.39997558519241921"/>
      </top>
      <bottom/>
      <diagonal/>
    </border>
    <border>
      <left style="thin">
        <color indexed="64"/>
      </left>
      <right/>
      <top style="thin">
        <color theme="0"/>
      </top>
      <bottom style="thin">
        <color theme="0"/>
      </bottom>
      <diagonal/>
    </border>
    <border>
      <left style="thin">
        <color theme="1"/>
      </left>
      <right/>
      <top style="thin">
        <color theme="0"/>
      </top>
      <bottom style="thin">
        <color theme="0"/>
      </bottom>
      <diagonal/>
    </border>
    <border>
      <left style="thin">
        <color theme="1"/>
      </left>
      <right style="thin">
        <color theme="0"/>
      </right>
      <top style="thin">
        <color theme="4" tint="0.39997558519241921"/>
      </top>
      <bottom style="thin">
        <color theme="4" tint="0.39997558519241921"/>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indexed="64"/>
      </left>
      <right style="thin">
        <color theme="1"/>
      </right>
      <top/>
      <bottom/>
      <diagonal/>
    </border>
    <border>
      <left style="medium">
        <color indexed="64"/>
      </left>
      <right/>
      <top/>
      <bottom style="thin">
        <color theme="0"/>
      </bottom>
      <diagonal/>
    </border>
  </borders>
  <cellStyleXfs count="3">
    <xf numFmtId="0" fontId="0" fillId="0" borderId="0"/>
    <xf numFmtId="164" fontId="3" fillId="0" borderId="0" applyFont="0" applyFill="0" applyBorder="0" applyAlignment="0" applyProtection="0"/>
    <xf numFmtId="9" fontId="3" fillId="0" borderId="0" applyFont="0" applyFill="0" applyBorder="0" applyAlignment="0" applyProtection="0"/>
  </cellStyleXfs>
  <cellXfs count="606">
    <xf numFmtId="0" fontId="0" fillId="0" borderId="0" xfId="0"/>
    <xf numFmtId="0" fontId="4" fillId="2" borderId="0" xfId="0" applyFont="1" applyFill="1" applyAlignment="1">
      <alignment horizontal="left" vertical="center" wrapText="1" indent="1"/>
    </xf>
    <xf numFmtId="0" fontId="5" fillId="2" borderId="0" xfId="0" applyFont="1" applyFill="1" applyAlignment="1">
      <alignment horizontal="left" vertical="center" wrapText="1" indent="1"/>
    </xf>
    <xf numFmtId="0" fontId="6" fillId="2" borderId="0" xfId="0" applyFont="1" applyFill="1" applyAlignment="1">
      <alignment horizontal="left" vertical="center" wrapText="1" indent="1"/>
    </xf>
    <xf numFmtId="0" fontId="7" fillId="2" borderId="0" xfId="0" applyFont="1" applyFill="1" applyAlignment="1">
      <alignment horizontal="left" vertical="center" wrapText="1" indent="1"/>
    </xf>
    <xf numFmtId="0" fontId="8" fillId="0" borderId="0" xfId="0" applyFont="1"/>
    <xf numFmtId="0" fontId="9" fillId="0" borderId="0" xfId="0" applyFont="1"/>
    <xf numFmtId="0" fontId="4" fillId="0" borderId="0" xfId="0" applyFont="1" applyAlignment="1">
      <alignment horizontal="left" vertical="center" wrapText="1" indent="1"/>
    </xf>
    <xf numFmtId="0" fontId="5" fillId="0" borderId="0" xfId="0" applyFont="1" applyAlignment="1">
      <alignment horizontal="left" vertical="center" wrapText="1" indent="1"/>
    </xf>
    <xf numFmtId="0" fontId="12" fillId="0" borderId="0" xfId="0" applyFont="1" applyAlignment="1">
      <alignment vertical="center"/>
    </xf>
    <xf numFmtId="0" fontId="0" fillId="0" borderId="0" xfId="0" applyAlignment="1">
      <alignment horizontal="left" vertical="center" indent="1"/>
    </xf>
    <xf numFmtId="0" fontId="8" fillId="0" borderId="0" xfId="0" applyFont="1" applyAlignment="1">
      <alignment horizontal="left" vertical="center" indent="1"/>
    </xf>
    <xf numFmtId="0" fontId="0" fillId="0" borderId="0" xfId="0" applyAlignment="1">
      <alignment horizontal="left" vertical="center" indent="2"/>
    </xf>
    <xf numFmtId="0" fontId="15" fillId="4" borderId="1" xfId="0" applyFont="1" applyFill="1" applyBorder="1"/>
    <xf numFmtId="0" fontId="15" fillId="4" borderId="2" xfId="0" applyFont="1" applyFill="1" applyBorder="1"/>
    <xf numFmtId="0" fontId="4" fillId="0" borderId="2" xfId="0" applyFont="1" applyBorder="1" applyAlignment="1">
      <alignment horizontal="left" vertical="center" wrapText="1" indent="1"/>
    </xf>
    <xf numFmtId="0" fontId="16" fillId="0" borderId="0" xfId="0" applyFont="1"/>
    <xf numFmtId="0" fontId="15" fillId="4" borderId="3" xfId="0" applyFont="1" applyFill="1" applyBorder="1"/>
    <xf numFmtId="0" fontId="0" fillId="0" borderId="5" xfId="0" applyBorder="1"/>
    <xf numFmtId="0" fontId="0" fillId="0" borderId="0" xfId="0" applyAlignment="1">
      <alignment horizontal="center"/>
    </xf>
    <xf numFmtId="0" fontId="19" fillId="0" borderId="0" xfId="0" applyFont="1"/>
    <xf numFmtId="0" fontId="5" fillId="0" borderId="0" xfId="0" applyFont="1"/>
    <xf numFmtId="165" fontId="0" fillId="0" borderId="0" xfId="0" applyNumberFormat="1" applyAlignment="1">
      <alignment horizontal="left"/>
    </xf>
    <xf numFmtId="0" fontId="13" fillId="0" borderId="0" xfId="0" applyFont="1"/>
    <xf numFmtId="0" fontId="8" fillId="6" borderId="0" xfId="0" applyFont="1" applyFill="1"/>
    <xf numFmtId="0" fontId="9" fillId="0" borderId="9" xfId="0" applyFont="1" applyBorder="1"/>
    <xf numFmtId="0" fontId="0" fillId="0" borderId="9" xfId="0" applyBorder="1" applyAlignment="1">
      <alignment horizontal="center"/>
    </xf>
    <xf numFmtId="0" fontId="0" fillId="0" borderId="9" xfId="0" applyBorder="1"/>
    <xf numFmtId="0" fontId="5" fillId="0" borderId="9" xfId="0" applyFont="1" applyBorder="1"/>
    <xf numFmtId="165" fontId="0" fillId="0" borderId="9" xfId="0" applyNumberFormat="1" applyBorder="1" applyAlignment="1">
      <alignment horizontal="left"/>
    </xf>
    <xf numFmtId="0" fontId="13" fillId="0" borderId="9" xfId="0" applyFont="1" applyBorder="1"/>
    <xf numFmtId="0" fontId="8" fillId="6" borderId="9" xfId="0" applyFont="1" applyFill="1" applyBorder="1"/>
    <xf numFmtId="0" fontId="8" fillId="5" borderId="10" xfId="0" applyFont="1" applyFill="1" applyBorder="1"/>
    <xf numFmtId="0" fontId="8" fillId="5" borderId="11" xfId="0" applyFont="1" applyFill="1" applyBorder="1"/>
    <xf numFmtId="0" fontId="8" fillId="5" borderId="12" xfId="0" applyFont="1" applyFill="1" applyBorder="1"/>
    <xf numFmtId="0" fontId="0" fillId="8" borderId="0" xfId="0" applyFill="1"/>
    <xf numFmtId="0" fontId="27" fillId="4" borderId="0" xfId="0" applyFont="1" applyFill="1" applyAlignment="1">
      <alignment horizontal="left" vertical="center" wrapText="1" indent="1"/>
    </xf>
    <xf numFmtId="0" fontId="27" fillId="4" borderId="5" xfId="0" applyFont="1" applyFill="1" applyBorder="1" applyAlignment="1">
      <alignment horizontal="left" vertical="center" wrapText="1" indent="1"/>
    </xf>
    <xf numFmtId="0" fontId="31" fillId="4" borderId="5" xfId="0" applyFont="1" applyFill="1" applyBorder="1"/>
    <xf numFmtId="0" fontId="21" fillId="7" borderId="5" xfId="0" applyFont="1" applyFill="1" applyBorder="1" applyAlignment="1">
      <alignment horizontal="left" vertical="center" wrapText="1" indent="1"/>
    </xf>
    <xf numFmtId="0" fontId="22" fillId="7" borderId="5" xfId="0" applyFont="1" applyFill="1" applyBorder="1" applyAlignment="1">
      <alignment horizontal="left" vertical="center" wrapText="1" indent="1"/>
    </xf>
    <xf numFmtId="0" fontId="32" fillId="9" borderId="5" xfId="0" applyFont="1" applyFill="1" applyBorder="1" applyAlignment="1">
      <alignment vertical="center"/>
    </xf>
    <xf numFmtId="0" fontId="29" fillId="9" borderId="5" xfId="0" applyFont="1" applyFill="1" applyBorder="1"/>
    <xf numFmtId="0" fontId="10" fillId="7" borderId="5" xfId="0" applyFont="1" applyFill="1" applyBorder="1" applyAlignment="1">
      <alignment horizontal="left" vertical="center" wrapText="1" indent="1"/>
    </xf>
    <xf numFmtId="0" fontId="33" fillId="0" borderId="0" xfId="0" applyFont="1"/>
    <xf numFmtId="0" fontId="37" fillId="0" borderId="0" xfId="0" applyFont="1"/>
    <xf numFmtId="0" fontId="15" fillId="12" borderId="0" xfId="0" applyFont="1" applyFill="1" applyAlignment="1">
      <alignment horizontal="center"/>
    </xf>
    <xf numFmtId="0" fontId="15" fillId="12" borderId="9" xfId="0" applyFont="1" applyFill="1" applyBorder="1" applyAlignment="1">
      <alignment horizontal="center"/>
    </xf>
    <xf numFmtId="0" fontId="10" fillId="7" borderId="13" xfId="0" applyFont="1" applyFill="1" applyBorder="1" applyAlignment="1">
      <alignment horizontal="left" vertical="center" wrapText="1" indent="1"/>
    </xf>
    <xf numFmtId="0" fontId="21" fillId="7" borderId="13" xfId="0" applyFont="1" applyFill="1" applyBorder="1" applyAlignment="1">
      <alignment horizontal="left" vertical="center" wrapText="1" indent="1"/>
    </xf>
    <xf numFmtId="0" fontId="22" fillId="7" borderId="13" xfId="0" applyFont="1" applyFill="1" applyBorder="1" applyAlignment="1">
      <alignment horizontal="left" vertical="center" wrapText="1" indent="1"/>
    </xf>
    <xf numFmtId="0" fontId="10" fillId="4" borderId="13" xfId="0" applyFont="1" applyFill="1" applyBorder="1" applyAlignment="1">
      <alignment horizontal="left" vertical="center" wrapText="1" indent="1"/>
    </xf>
    <xf numFmtId="0" fontId="21" fillId="4" borderId="13" xfId="0" quotePrefix="1" applyFont="1" applyFill="1" applyBorder="1" applyAlignment="1">
      <alignment horizontal="left" vertical="center" wrapText="1" indent="1"/>
    </xf>
    <xf numFmtId="0" fontId="28" fillId="4" borderId="13" xfId="0" applyFont="1" applyFill="1" applyBorder="1" applyAlignment="1">
      <alignment horizontal="left" vertical="center" wrapText="1" indent="1"/>
    </xf>
    <xf numFmtId="0" fontId="11" fillId="7" borderId="13" xfId="0" applyFont="1" applyFill="1" applyBorder="1" applyAlignment="1">
      <alignment horizontal="left" vertical="center" wrapText="1" indent="1"/>
    </xf>
    <xf numFmtId="0" fontId="28" fillId="7" borderId="13" xfId="0" applyFont="1" applyFill="1" applyBorder="1" applyAlignment="1">
      <alignment horizontal="left" vertical="center" wrapText="1" indent="1"/>
    </xf>
    <xf numFmtId="0" fontId="38" fillId="4" borderId="13" xfId="0" applyFont="1" applyFill="1" applyBorder="1" applyAlignment="1">
      <alignment horizontal="left" vertical="center" wrapText="1" indent="1"/>
    </xf>
    <xf numFmtId="0" fontId="34" fillId="8" borderId="13" xfId="0" applyFont="1" applyFill="1" applyBorder="1" applyAlignment="1">
      <alignment horizontal="left" vertical="center" wrapText="1" indent="1"/>
    </xf>
    <xf numFmtId="0" fontId="20" fillId="0" borderId="0" xfId="0" applyFont="1"/>
    <xf numFmtId="0" fontId="39" fillId="4" borderId="0" xfId="0" applyFont="1" applyFill="1" applyAlignment="1">
      <alignment horizontal="center" vertical="center" wrapText="1"/>
    </xf>
    <xf numFmtId="0" fontId="25" fillId="8" borderId="15" xfId="0" applyFont="1" applyFill="1" applyBorder="1" applyAlignment="1">
      <alignment horizontal="left" vertical="center" wrapText="1" indent="1"/>
    </xf>
    <xf numFmtId="0" fontId="24" fillId="8" borderId="15" xfId="0" applyFont="1" applyFill="1" applyBorder="1" applyAlignment="1">
      <alignment horizontal="left" vertical="center" wrapText="1" indent="1"/>
    </xf>
    <xf numFmtId="0" fontId="25" fillId="8" borderId="16" xfId="0" applyFont="1" applyFill="1" applyBorder="1" applyAlignment="1">
      <alignment horizontal="left" vertical="center" wrapText="1" indent="1"/>
    </xf>
    <xf numFmtId="0" fontId="24" fillId="8" borderId="17" xfId="0" applyFont="1" applyFill="1" applyBorder="1" applyAlignment="1">
      <alignment horizontal="left" vertical="center" wrapText="1" indent="1"/>
    </xf>
    <xf numFmtId="166" fontId="0" fillId="0" borderId="18" xfId="0" applyNumberFormat="1" applyBorder="1"/>
    <xf numFmtId="0" fontId="25" fillId="8" borderId="19" xfId="0" applyFont="1" applyFill="1" applyBorder="1" applyAlignment="1">
      <alignment horizontal="left" vertical="center" wrapText="1" indent="1"/>
    </xf>
    <xf numFmtId="166" fontId="0" fillId="0" borderId="20" xfId="0" applyNumberFormat="1" applyBorder="1"/>
    <xf numFmtId="0" fontId="25" fillId="8" borderId="21" xfId="0" applyFont="1" applyFill="1" applyBorder="1" applyAlignment="1">
      <alignment horizontal="left" vertical="center" wrapText="1" indent="1"/>
    </xf>
    <xf numFmtId="0" fontId="24" fillId="8" borderId="4" xfId="0" applyFont="1" applyFill="1" applyBorder="1" applyAlignment="1">
      <alignment horizontal="left" vertical="center" wrapText="1" indent="1"/>
    </xf>
    <xf numFmtId="0" fontId="25" fillId="8" borderId="4" xfId="0" applyFont="1" applyFill="1" applyBorder="1" applyAlignment="1">
      <alignment horizontal="left" vertical="center" wrapText="1" indent="1"/>
    </xf>
    <xf numFmtId="166" fontId="0" fillId="0" borderId="22" xfId="0" applyNumberFormat="1" applyBorder="1"/>
    <xf numFmtId="0" fontId="23" fillId="0" borderId="0" xfId="0" applyFont="1" applyAlignment="1">
      <alignment horizontal="left" vertical="center" indent="1"/>
    </xf>
    <xf numFmtId="0" fontId="40" fillId="0" borderId="0" xfId="0" applyFont="1"/>
    <xf numFmtId="0" fontId="15" fillId="4" borderId="0" xfId="0" applyFont="1" applyFill="1"/>
    <xf numFmtId="0" fontId="0" fillId="0" borderId="0" xfId="0" applyAlignment="1">
      <alignment horizontal="center" vertical="center"/>
    </xf>
    <xf numFmtId="0" fontId="43" fillId="8" borderId="0" xfId="0" applyFont="1" applyFill="1"/>
    <xf numFmtId="0" fontId="23" fillId="8" borderId="0" xfId="0" applyFont="1" applyFill="1"/>
    <xf numFmtId="0" fontId="10" fillId="4" borderId="28" xfId="0" applyFont="1" applyFill="1" applyBorder="1" applyAlignment="1">
      <alignment horizontal="left" vertical="center" wrapText="1" indent="1"/>
    </xf>
    <xf numFmtId="10" fontId="28" fillId="4" borderId="13" xfId="2" applyNumberFormat="1" applyFont="1" applyFill="1" applyBorder="1" applyAlignment="1">
      <alignment horizontal="left" vertical="center" wrapText="1" indent="1"/>
    </xf>
    <xf numFmtId="0" fontId="34" fillId="11" borderId="0" xfId="0" applyFont="1" applyFill="1" applyAlignment="1">
      <alignment horizontal="left" vertical="center" indent="1"/>
    </xf>
    <xf numFmtId="0" fontId="34" fillId="10" borderId="0" xfId="0" applyFont="1" applyFill="1" applyAlignment="1">
      <alignment horizontal="left" vertical="center" indent="1"/>
    </xf>
    <xf numFmtId="0" fontId="18" fillId="3" borderId="0" xfId="0" applyFont="1" applyFill="1" applyAlignment="1">
      <alignment horizontal="left" vertical="center" wrapText="1" indent="1"/>
    </xf>
    <xf numFmtId="0" fontId="18" fillId="3" borderId="0" xfId="0" applyFont="1" applyFill="1" applyAlignment="1">
      <alignment horizontal="center" vertical="center" wrapText="1"/>
    </xf>
    <xf numFmtId="0" fontId="18" fillId="3" borderId="29" xfId="0" applyFont="1" applyFill="1" applyBorder="1" applyAlignment="1">
      <alignment horizontal="left" vertical="center" wrapText="1" indent="1"/>
    </xf>
    <xf numFmtId="0" fontId="22" fillId="7" borderId="25" xfId="0" applyFont="1" applyFill="1" applyBorder="1" applyAlignment="1">
      <alignment horizontal="left" vertical="center" wrapText="1" indent="1"/>
    </xf>
    <xf numFmtId="0" fontId="22" fillId="7" borderId="26" xfId="0" applyFont="1" applyFill="1" applyBorder="1" applyAlignment="1">
      <alignment horizontal="left" vertical="center" wrapText="1" indent="1"/>
    </xf>
    <xf numFmtId="0" fontId="22" fillId="7" borderId="23" xfId="0" applyFont="1" applyFill="1" applyBorder="1" applyAlignment="1">
      <alignment horizontal="left" vertical="center" wrapText="1" indent="1"/>
    </xf>
    <xf numFmtId="0" fontId="22" fillId="7" borderId="30" xfId="0" applyFont="1" applyFill="1" applyBorder="1" applyAlignment="1">
      <alignment horizontal="left" vertical="center" wrapText="1" indent="1"/>
    </xf>
    <xf numFmtId="0" fontId="22" fillId="7" borderId="0" xfId="0" applyFont="1" applyFill="1" applyAlignment="1">
      <alignment horizontal="left" vertical="center" wrapText="1" indent="1"/>
    </xf>
    <xf numFmtId="0" fontId="21" fillId="13" borderId="13" xfId="0" applyFont="1" applyFill="1" applyBorder="1" applyAlignment="1">
      <alignment horizontal="left" vertical="center" wrapText="1" indent="1"/>
    </xf>
    <xf numFmtId="0" fontId="22" fillId="13" borderId="13" xfId="0" applyFont="1" applyFill="1" applyBorder="1" applyAlignment="1">
      <alignment horizontal="left" vertical="center" wrapText="1" indent="1"/>
    </xf>
    <xf numFmtId="0" fontId="27" fillId="13" borderId="0" xfId="0" applyFont="1" applyFill="1" applyAlignment="1">
      <alignment horizontal="left" vertical="center" wrapText="1" indent="1"/>
    </xf>
    <xf numFmtId="0" fontId="10" fillId="4" borderId="33" xfId="0" applyFont="1" applyFill="1" applyBorder="1" applyAlignment="1">
      <alignment horizontal="left" vertical="center" wrapText="1" indent="1"/>
    </xf>
    <xf numFmtId="0" fontId="41" fillId="7" borderId="13" xfId="0" applyFont="1" applyFill="1" applyBorder="1" applyAlignment="1">
      <alignment horizontal="left" vertical="center" wrapText="1" indent="1"/>
    </xf>
    <xf numFmtId="166" fontId="2" fillId="0" borderId="0" xfId="0" applyNumberFormat="1" applyFont="1"/>
    <xf numFmtId="166" fontId="2" fillId="0" borderId="0" xfId="0" applyNumberFormat="1" applyFont="1" applyAlignment="1">
      <alignment horizontal="right" vertical="center"/>
    </xf>
    <xf numFmtId="166" fontId="0" fillId="0" borderId="0" xfId="0" applyNumberFormat="1"/>
    <xf numFmtId="0" fontId="10" fillId="4" borderId="0" xfId="0" applyFont="1" applyFill="1" applyAlignment="1">
      <alignment horizontal="left" vertical="center" wrapText="1"/>
    </xf>
    <xf numFmtId="0" fontId="10" fillId="4" borderId="34" xfId="0" applyFont="1" applyFill="1" applyBorder="1" applyAlignment="1">
      <alignment horizontal="left" vertical="center" wrapText="1"/>
    </xf>
    <xf numFmtId="0" fontId="15" fillId="4" borderId="0" xfId="0" applyFont="1" applyFill="1" applyAlignment="1">
      <alignment horizontal="center"/>
    </xf>
    <xf numFmtId="0" fontId="44" fillId="14" borderId="0" xfId="0" applyFont="1" applyFill="1" applyAlignment="1">
      <alignment horizontal="left"/>
    </xf>
    <xf numFmtId="166" fontId="2" fillId="0" borderId="13" xfId="0" applyNumberFormat="1" applyFont="1" applyBorder="1"/>
    <xf numFmtId="166" fontId="49" fillId="7" borderId="34" xfId="0" applyNumberFormat="1" applyFont="1" applyFill="1" applyBorder="1" applyAlignment="1">
      <alignment horizontal="center" vertical="center" wrapText="1"/>
    </xf>
    <xf numFmtId="166" fontId="50" fillId="7" borderId="34" xfId="0" applyNumberFormat="1" applyFont="1" applyFill="1" applyBorder="1" applyAlignment="1">
      <alignment horizontal="center" vertical="center" wrapText="1"/>
    </xf>
    <xf numFmtId="166" fontId="49" fillId="7" borderId="0" xfId="0" applyNumberFormat="1" applyFont="1" applyFill="1" applyAlignment="1">
      <alignment horizontal="center" vertical="center" wrapText="1"/>
    </xf>
    <xf numFmtId="0" fontId="10" fillId="7" borderId="0" xfId="0" applyFont="1" applyFill="1" applyAlignment="1">
      <alignment horizontal="left" vertical="center" wrapText="1" indent="1"/>
    </xf>
    <xf numFmtId="0" fontId="57" fillId="0" borderId="0" xfId="0" applyFont="1"/>
    <xf numFmtId="10" fontId="58" fillId="7" borderId="28" xfId="0" applyNumberFormat="1" applyFont="1" applyFill="1" applyBorder="1" applyAlignment="1">
      <alignment horizontal="center" vertical="center" wrapText="1"/>
    </xf>
    <xf numFmtId="0" fontId="10" fillId="4" borderId="0" xfId="0" applyFont="1" applyFill="1" applyAlignment="1">
      <alignment horizontal="left" vertical="center" wrapText="1" indent="1"/>
    </xf>
    <xf numFmtId="0" fontId="10" fillId="7" borderId="28" xfId="0" applyFont="1" applyFill="1" applyBorder="1" applyAlignment="1">
      <alignment horizontal="left" vertical="center" wrapText="1" indent="1"/>
    </xf>
    <xf numFmtId="0" fontId="59" fillId="7" borderId="28" xfId="0" applyFont="1" applyFill="1" applyBorder="1" applyAlignment="1">
      <alignment horizontal="left" vertical="center" wrapText="1" indent="1"/>
    </xf>
    <xf numFmtId="0" fontId="28" fillId="7" borderId="28" xfId="0" applyFont="1" applyFill="1" applyBorder="1" applyAlignment="1">
      <alignment horizontal="left" vertical="center" wrapText="1" indent="1"/>
    </xf>
    <xf numFmtId="10" fontId="22" fillId="7" borderId="0" xfId="2" applyNumberFormat="1" applyFont="1" applyFill="1" applyAlignment="1">
      <alignment horizontal="left" vertical="center" wrapText="1" indent="1"/>
    </xf>
    <xf numFmtId="166" fontId="22" fillId="7" borderId="0" xfId="0" applyNumberFormat="1" applyFont="1" applyFill="1" applyAlignment="1">
      <alignment horizontal="right" vertical="center" wrapText="1" indent="1"/>
    </xf>
    <xf numFmtId="0" fontId="52" fillId="4" borderId="28" xfId="0" applyFont="1" applyFill="1" applyBorder="1" applyAlignment="1">
      <alignment horizontal="left" vertical="center" wrapText="1" indent="1"/>
    </xf>
    <xf numFmtId="0" fontId="55" fillId="4" borderId="33" xfId="0" applyFont="1" applyFill="1" applyBorder="1" applyAlignment="1">
      <alignment horizontal="left" vertical="center" wrapText="1" indent="1"/>
    </xf>
    <xf numFmtId="0" fontId="10" fillId="7" borderId="38" xfId="0" applyFont="1" applyFill="1" applyBorder="1" applyAlignment="1">
      <alignment horizontal="left" vertical="center" wrapText="1" indent="1"/>
    </xf>
    <xf numFmtId="10" fontId="22" fillId="7" borderId="38" xfId="2" applyNumberFormat="1" applyFont="1" applyFill="1" applyBorder="1" applyAlignment="1">
      <alignment horizontal="left" vertical="center" wrapText="1" indent="1"/>
    </xf>
    <xf numFmtId="0" fontId="22" fillId="7" borderId="37" xfId="0" applyFont="1" applyFill="1" applyBorder="1" applyAlignment="1">
      <alignment horizontal="left" vertical="center" wrapText="1" indent="1"/>
    </xf>
    <xf numFmtId="0" fontId="56" fillId="8" borderId="39" xfId="0" applyFont="1" applyFill="1" applyBorder="1" applyAlignment="1">
      <alignment horizontal="center" vertical="center" wrapText="1"/>
    </xf>
    <xf numFmtId="0" fontId="25" fillId="8" borderId="17" xfId="0" applyFont="1" applyFill="1" applyBorder="1" applyAlignment="1">
      <alignment horizontal="left" vertical="center" wrapText="1" indent="1"/>
    </xf>
    <xf numFmtId="0" fontId="65" fillId="8" borderId="0" xfId="0" applyFont="1" applyFill="1"/>
    <xf numFmtId="0" fontId="65" fillId="8" borderId="0" xfId="0" applyFont="1" applyFill="1" applyAlignment="1">
      <alignment horizontal="center"/>
    </xf>
    <xf numFmtId="0" fontId="65" fillId="8" borderId="0" xfId="0" applyFont="1" applyFill="1" applyAlignment="1">
      <alignment horizontal="center" vertical="center"/>
    </xf>
    <xf numFmtId="0" fontId="66" fillId="13" borderId="0" xfId="0" applyFont="1" applyFill="1" applyAlignment="1">
      <alignment horizontal="left" vertical="top"/>
    </xf>
    <xf numFmtId="166" fontId="66" fillId="13" borderId="28" xfId="0" applyNumberFormat="1" applyFont="1" applyFill="1" applyBorder="1" applyAlignment="1">
      <alignment horizontal="center" vertical="center"/>
    </xf>
    <xf numFmtId="165" fontId="67" fillId="13" borderId="0" xfId="0" applyNumberFormat="1" applyFont="1" applyFill="1" applyAlignment="1">
      <alignment horizontal="center" vertical="center"/>
    </xf>
    <xf numFmtId="0" fontId="64" fillId="13" borderId="28" xfId="0" applyFont="1" applyFill="1" applyBorder="1" applyAlignment="1">
      <alignment horizontal="center" vertical="center"/>
    </xf>
    <xf numFmtId="0" fontId="64" fillId="13" borderId="0" xfId="0" applyFont="1" applyFill="1" applyAlignment="1">
      <alignment horizontal="center" vertical="center"/>
    </xf>
    <xf numFmtId="0" fontId="68" fillId="13" borderId="0" xfId="0" applyFont="1" applyFill="1" applyAlignment="1">
      <alignment horizontal="left" vertical="top"/>
    </xf>
    <xf numFmtId="0" fontId="66" fillId="13" borderId="0" xfId="0" applyFont="1" applyFill="1" applyAlignment="1">
      <alignment horizontal="left" vertical="top" wrapText="1"/>
    </xf>
    <xf numFmtId="165" fontId="67" fillId="13" borderId="0" xfId="0" applyNumberFormat="1" applyFont="1" applyFill="1" applyAlignment="1">
      <alignment horizontal="center" vertical="center" wrapText="1"/>
    </xf>
    <xf numFmtId="0" fontId="64" fillId="13" borderId="28" xfId="0" applyFont="1" applyFill="1" applyBorder="1" applyAlignment="1">
      <alignment horizontal="center" vertical="center" wrapText="1"/>
    </xf>
    <xf numFmtId="0" fontId="64" fillId="13" borderId="0" xfId="0" applyFont="1" applyFill="1" applyAlignment="1">
      <alignment horizontal="center" vertical="center" wrapText="1"/>
    </xf>
    <xf numFmtId="0" fontId="67" fillId="13" borderId="0" xfId="0" applyFont="1" applyFill="1" applyAlignment="1">
      <alignment horizontal="left" vertical="center"/>
    </xf>
    <xf numFmtId="0" fontId="69" fillId="0" borderId="0" xfId="0" applyFont="1"/>
    <xf numFmtId="0" fontId="69" fillId="0" borderId="0" xfId="0" applyFont="1" applyAlignment="1">
      <alignment horizontal="center"/>
    </xf>
    <xf numFmtId="0" fontId="69" fillId="0" borderId="0" xfId="0" applyFont="1" applyAlignment="1">
      <alignment horizontal="center" vertical="center"/>
    </xf>
    <xf numFmtId="0" fontId="70" fillId="13" borderId="0" xfId="0" applyFont="1" applyFill="1" applyAlignment="1">
      <alignment horizontal="left" vertical="center" wrapText="1"/>
    </xf>
    <xf numFmtId="0" fontId="68" fillId="13" borderId="28" xfId="0" applyFont="1" applyFill="1" applyBorder="1" applyAlignment="1">
      <alignment horizontal="left" vertical="top" wrapText="1"/>
    </xf>
    <xf numFmtId="0" fontId="68" fillId="13" borderId="28" xfId="0" applyFont="1" applyFill="1" applyBorder="1" applyAlignment="1">
      <alignment horizontal="left" wrapText="1"/>
    </xf>
    <xf numFmtId="0" fontId="66" fillId="13" borderId="0" xfId="0" applyFont="1" applyFill="1" applyAlignment="1">
      <alignment horizontal="left" vertical="center"/>
    </xf>
    <xf numFmtId="0" fontId="40" fillId="0" borderId="0" xfId="0" applyFont="1" applyAlignment="1">
      <alignment horizontal="left" vertical="center" indent="1"/>
    </xf>
    <xf numFmtId="0" fontId="23" fillId="0" borderId="0" xfId="0" applyFont="1" applyAlignment="1">
      <alignment horizontal="left" vertical="center" indent="2"/>
    </xf>
    <xf numFmtId="0" fontId="0" fillId="10" borderId="0" xfId="0" applyFill="1"/>
    <xf numFmtId="0" fontId="8" fillId="10" borderId="0" xfId="0" applyFont="1" applyFill="1"/>
    <xf numFmtId="0" fontId="0" fillId="15" borderId="0" xfId="0" applyFill="1"/>
    <xf numFmtId="0" fontId="8" fillId="15" borderId="0" xfId="0" applyFont="1" applyFill="1"/>
    <xf numFmtId="0" fontId="23" fillId="15" borderId="5" xfId="0" applyFont="1" applyFill="1" applyBorder="1" applyAlignment="1">
      <alignment horizontal="left" vertical="center" wrapText="1" indent="1"/>
    </xf>
    <xf numFmtId="0" fontId="23" fillId="10" borderId="5" xfId="0" applyFont="1" applyFill="1" applyBorder="1" applyAlignment="1">
      <alignment horizontal="left" vertical="center" wrapText="1" indent="1"/>
    </xf>
    <xf numFmtId="0" fontId="15" fillId="13" borderId="0" xfId="0" applyFont="1" applyFill="1"/>
    <xf numFmtId="0" fontId="29" fillId="13" borderId="41" xfId="0" applyFont="1" applyFill="1" applyBorder="1"/>
    <xf numFmtId="0" fontId="15" fillId="13" borderId="41" xfId="0" applyFont="1" applyFill="1" applyBorder="1"/>
    <xf numFmtId="0" fontId="15" fillId="13" borderId="41" xfId="0" quotePrefix="1" applyFont="1" applyFill="1" applyBorder="1"/>
    <xf numFmtId="166" fontId="20" fillId="0" borderId="0" xfId="0" applyNumberFormat="1" applyFont="1"/>
    <xf numFmtId="0" fontId="29" fillId="4" borderId="0" xfId="0" applyFont="1" applyFill="1"/>
    <xf numFmtId="0" fontId="22" fillId="7" borderId="42" xfId="0" applyFont="1" applyFill="1" applyBorder="1" applyAlignment="1">
      <alignment horizontal="right" vertical="center" wrapText="1" indent="1"/>
    </xf>
    <xf numFmtId="0" fontId="10" fillId="7" borderId="0" xfId="0" applyFont="1" applyFill="1" applyAlignment="1">
      <alignment horizontal="right" vertical="center"/>
    </xf>
    <xf numFmtId="0" fontId="22" fillId="7" borderId="0" xfId="0" applyFont="1" applyFill="1" applyAlignment="1">
      <alignment horizontal="left" vertical="center"/>
    </xf>
    <xf numFmtId="0" fontId="22" fillId="7" borderId="0" xfId="0" quotePrefix="1" applyFont="1" applyFill="1" applyAlignment="1">
      <alignment horizontal="left" vertical="center"/>
    </xf>
    <xf numFmtId="0" fontId="21" fillId="7" borderId="0" xfId="0" applyFont="1" applyFill="1" applyAlignment="1">
      <alignment horizontal="left" vertical="center"/>
    </xf>
    <xf numFmtId="0" fontId="22" fillId="7" borderId="0" xfId="0" applyFont="1" applyFill="1" applyAlignment="1">
      <alignment horizontal="right" vertical="center"/>
    </xf>
    <xf numFmtId="0" fontId="29" fillId="13" borderId="0" xfId="0" applyFont="1" applyFill="1" applyAlignment="1">
      <alignment horizontal="left" vertical="center"/>
    </xf>
    <xf numFmtId="0" fontId="0" fillId="0" borderId="0" xfId="0" applyAlignment="1">
      <alignment horizontal="left"/>
    </xf>
    <xf numFmtId="0" fontId="1" fillId="0" borderId="0" xfId="0" quotePrefix="1" applyFont="1" applyAlignment="1">
      <alignment horizontal="left"/>
    </xf>
    <xf numFmtId="0" fontId="0" fillId="0" borderId="0" xfId="0" quotePrefix="1" applyAlignment="1">
      <alignment horizontal="left"/>
    </xf>
    <xf numFmtId="0" fontId="0" fillId="0" borderId="0" xfId="0" quotePrefix="1" applyAlignment="1">
      <alignment horizontal="center"/>
    </xf>
    <xf numFmtId="0" fontId="36" fillId="0" borderId="0" xfId="0" quotePrefix="1" applyFont="1"/>
    <xf numFmtId="0" fontId="0" fillId="0" borderId="0" xfId="0" quotePrefix="1"/>
    <xf numFmtId="0" fontId="15" fillId="4" borderId="43" xfId="0" applyFont="1" applyFill="1" applyBorder="1"/>
    <xf numFmtId="0" fontId="0" fillId="0" borderId="46" xfId="0" applyBorder="1"/>
    <xf numFmtId="0" fontId="29" fillId="4" borderId="48" xfId="0" applyFont="1" applyFill="1" applyBorder="1"/>
    <xf numFmtId="0" fontId="22" fillId="7" borderId="49" xfId="0" applyFont="1" applyFill="1" applyBorder="1" applyAlignment="1">
      <alignment horizontal="left" vertical="center" wrapText="1" indent="1"/>
    </xf>
    <xf numFmtId="0" fontId="0" fillId="0" borderId="48" xfId="0" applyBorder="1"/>
    <xf numFmtId="0" fontId="0" fillId="0" borderId="49" xfId="0" applyBorder="1"/>
    <xf numFmtId="0" fontId="15" fillId="4" borderId="48" xfId="0" applyFont="1" applyFill="1" applyBorder="1"/>
    <xf numFmtId="0" fontId="29" fillId="4" borderId="48" xfId="0" applyFont="1" applyFill="1" applyBorder="1" applyAlignment="1">
      <alignment horizontal="right"/>
    </xf>
    <xf numFmtId="0" fontId="15" fillId="4" borderId="48" xfId="0" applyFont="1" applyFill="1" applyBorder="1" applyAlignment="1">
      <alignment horizontal="center"/>
    </xf>
    <xf numFmtId="0" fontId="15" fillId="4" borderId="50" xfId="0" applyFont="1" applyFill="1" applyBorder="1"/>
    <xf numFmtId="0" fontId="0" fillId="0" borderId="51" xfId="0" applyBorder="1"/>
    <xf numFmtId="0" fontId="0" fillId="0" borderId="52" xfId="0" applyBorder="1"/>
    <xf numFmtId="0" fontId="15" fillId="4" borderId="53" xfId="0" applyFont="1" applyFill="1" applyBorder="1"/>
    <xf numFmtId="0" fontId="0" fillId="0" borderId="56" xfId="0" applyBorder="1"/>
    <xf numFmtId="0" fontId="29" fillId="4" borderId="58" xfId="0" applyFont="1" applyFill="1" applyBorder="1"/>
    <xf numFmtId="0" fontId="22" fillId="7" borderId="59" xfId="0" applyFont="1" applyFill="1" applyBorder="1" applyAlignment="1">
      <alignment horizontal="left" vertical="center" wrapText="1" indent="1"/>
    </xf>
    <xf numFmtId="0" fontId="0" fillId="0" borderId="58" xfId="0" applyBorder="1"/>
    <xf numFmtId="0" fontId="0" fillId="0" borderId="59" xfId="0" applyBorder="1"/>
    <xf numFmtId="0" fontId="15" fillId="4" borderId="58" xfId="0" applyFont="1" applyFill="1" applyBorder="1"/>
    <xf numFmtId="0" fontId="29" fillId="4" borderId="58" xfId="0" applyFont="1" applyFill="1" applyBorder="1" applyAlignment="1">
      <alignment horizontal="right"/>
    </xf>
    <xf numFmtId="0" fontId="15" fillId="4" borderId="58" xfId="0" applyFont="1" applyFill="1" applyBorder="1" applyAlignment="1">
      <alignment horizontal="center"/>
    </xf>
    <xf numFmtId="0" fontId="15" fillId="4" borderId="60" xfId="0" applyFont="1" applyFill="1" applyBorder="1"/>
    <xf numFmtId="0" fontId="0" fillId="0" borderId="61" xfId="0" applyBorder="1"/>
    <xf numFmtId="0" fontId="0" fillId="0" borderId="62" xfId="0" applyBorder="1"/>
    <xf numFmtId="171" fontId="0" fillId="0" borderId="6" xfId="0" applyNumberFormat="1" applyBorder="1"/>
    <xf numFmtId="171" fontId="0" fillId="0" borderId="7" xfId="0" applyNumberFormat="1" applyBorder="1"/>
    <xf numFmtId="171" fontId="0" fillId="0" borderId="8" xfId="0" applyNumberFormat="1" applyBorder="1"/>
    <xf numFmtId="170" fontId="29" fillId="12" borderId="5" xfId="0" applyNumberFormat="1" applyFont="1" applyFill="1" applyBorder="1"/>
    <xf numFmtId="173" fontId="29" fillId="12" borderId="0" xfId="0" applyNumberFormat="1" applyFont="1" applyFill="1"/>
    <xf numFmtId="169" fontId="17" fillId="0" borderId="5" xfId="0" applyNumberFormat="1" applyFont="1" applyBorder="1"/>
    <xf numFmtId="172" fontId="22" fillId="7" borderId="5" xfId="0" applyNumberFormat="1" applyFont="1" applyFill="1" applyBorder="1" applyAlignment="1">
      <alignment horizontal="left" vertical="center" wrapText="1" indent="1"/>
    </xf>
    <xf numFmtId="167" fontId="10" fillId="7" borderId="13" xfId="0" applyNumberFormat="1" applyFont="1" applyFill="1" applyBorder="1" applyAlignment="1">
      <alignment horizontal="left" vertical="center" wrapText="1" indent="1"/>
    </xf>
    <xf numFmtId="168" fontId="36" fillId="0" borderId="15" xfId="0" applyNumberFormat="1" applyFont="1" applyBorder="1" applyAlignment="1">
      <alignment horizontal="left"/>
    </xf>
    <xf numFmtId="168" fontId="26" fillId="8" borderId="17" xfId="0" applyNumberFormat="1" applyFont="1" applyFill="1" applyBorder="1" applyAlignment="1">
      <alignment horizontal="left" vertical="center" wrapText="1"/>
    </xf>
    <xf numFmtId="168" fontId="0" fillId="0" borderId="17" xfId="0" applyNumberFormat="1" applyBorder="1" applyAlignment="1">
      <alignment horizontal="left"/>
    </xf>
    <xf numFmtId="168" fontId="26" fillId="8" borderId="15" xfId="0" applyNumberFormat="1" applyFont="1" applyFill="1" applyBorder="1" applyAlignment="1">
      <alignment horizontal="left" vertical="center" wrapText="1"/>
    </xf>
    <xf numFmtId="168" fontId="0" fillId="0" borderId="15" xfId="0" applyNumberFormat="1" applyBorder="1" applyAlignment="1">
      <alignment horizontal="left"/>
    </xf>
    <xf numFmtId="168" fontId="36" fillId="0" borderId="4" xfId="0" applyNumberFormat="1" applyFont="1" applyBorder="1" applyAlignment="1">
      <alignment horizontal="left"/>
    </xf>
    <xf numFmtId="168" fontId="26" fillId="8" borderId="4" xfId="0" applyNumberFormat="1" applyFont="1" applyFill="1" applyBorder="1" applyAlignment="1">
      <alignment horizontal="left" vertical="center" wrapText="1"/>
    </xf>
    <xf numFmtId="168" fontId="0" fillId="0" borderId="4" xfId="0" applyNumberFormat="1" applyBorder="1" applyAlignment="1">
      <alignment horizontal="left"/>
    </xf>
    <xf numFmtId="168" fontId="16" fillId="0" borderId="0" xfId="0" applyNumberFormat="1" applyFont="1"/>
    <xf numFmtId="168" fontId="15" fillId="4" borderId="4" xfId="0" applyNumberFormat="1" applyFont="1" applyFill="1" applyBorder="1"/>
    <xf numFmtId="0" fontId="10" fillId="7" borderId="24" xfId="0" applyFont="1" applyFill="1" applyBorder="1" applyAlignment="1">
      <alignment horizontal="left" vertical="center" wrapText="1" indent="1"/>
    </xf>
    <xf numFmtId="0" fontId="10" fillId="7" borderId="27" xfId="0" applyFont="1" applyFill="1" applyBorder="1" applyAlignment="1">
      <alignment horizontal="left" vertical="center" wrapText="1" indent="1"/>
    </xf>
    <xf numFmtId="0" fontId="10" fillId="13" borderId="24" xfId="0" applyFont="1" applyFill="1" applyBorder="1" applyAlignment="1">
      <alignment horizontal="left" vertical="center" wrapText="1" indent="1"/>
    </xf>
    <xf numFmtId="0" fontId="10" fillId="7" borderId="63" xfId="0" applyFont="1" applyFill="1" applyBorder="1" applyAlignment="1">
      <alignment horizontal="left" vertical="center" wrapText="1" indent="1"/>
    </xf>
    <xf numFmtId="0" fontId="21" fillId="7" borderId="32" xfId="0" applyFont="1" applyFill="1" applyBorder="1" applyAlignment="1">
      <alignment horizontal="left" vertical="center" wrapText="1" indent="1"/>
    </xf>
    <xf numFmtId="0" fontId="21" fillId="13" borderId="32" xfId="0" applyFont="1" applyFill="1" applyBorder="1" applyAlignment="1">
      <alignment horizontal="left" vertical="center" wrapText="1" indent="1"/>
    </xf>
    <xf numFmtId="0" fontId="22" fillId="7" borderId="32" xfId="0" applyFont="1" applyFill="1" applyBorder="1" applyAlignment="1">
      <alignment horizontal="left" vertical="center" wrapText="1" indent="1"/>
    </xf>
    <xf numFmtId="0" fontId="22" fillId="7" borderId="64" xfId="0" applyFont="1" applyFill="1" applyBorder="1" applyAlignment="1">
      <alignment horizontal="left" vertical="center" wrapText="1" indent="1"/>
    </xf>
    <xf numFmtId="0" fontId="0" fillId="0" borderId="0" xfId="0" applyAlignment="1">
      <alignment wrapText="1"/>
    </xf>
    <xf numFmtId="0" fontId="23" fillId="0" borderId="0" xfId="0" applyFont="1" applyAlignment="1">
      <alignment vertical="center"/>
    </xf>
    <xf numFmtId="0" fontId="40" fillId="0" borderId="0" xfId="0" applyFont="1" applyAlignment="1">
      <alignment vertical="center"/>
    </xf>
    <xf numFmtId="0" fontId="16" fillId="0" borderId="0" xfId="0" applyFont="1" applyAlignment="1">
      <alignment horizontal="left" vertical="center"/>
    </xf>
    <xf numFmtId="0" fontId="23" fillId="0" borderId="0" xfId="0" applyFont="1" applyAlignment="1">
      <alignment horizontal="left" vertical="center"/>
    </xf>
    <xf numFmtId="0" fontId="40" fillId="0" borderId="0" xfId="0" applyFont="1" applyAlignment="1">
      <alignment horizontal="left" vertical="center"/>
    </xf>
    <xf numFmtId="0" fontId="47" fillId="0" borderId="0" xfId="0" applyFont="1" applyAlignment="1">
      <alignment horizontal="left" vertical="center"/>
    </xf>
    <xf numFmtId="0" fontId="72" fillId="0" borderId="65" xfId="0" applyFont="1" applyBorder="1" applyAlignment="1">
      <alignment horizontal="left" vertical="center"/>
    </xf>
    <xf numFmtId="0" fontId="73" fillId="0" borderId="0" xfId="0" quotePrefix="1" applyFont="1" applyAlignment="1">
      <alignment horizontal="left" vertical="center"/>
    </xf>
    <xf numFmtId="0" fontId="21" fillId="7" borderId="13" xfId="0" applyFont="1" applyFill="1" applyBorder="1" applyAlignment="1">
      <alignment horizontal="left" vertical="center" indent="1"/>
    </xf>
    <xf numFmtId="0" fontId="21" fillId="7" borderId="31" xfId="0" applyFont="1" applyFill="1" applyBorder="1" applyAlignment="1">
      <alignment horizontal="left" vertical="center" indent="1"/>
    </xf>
    <xf numFmtId="0" fontId="21" fillId="13" borderId="13" xfId="0" applyFont="1" applyFill="1" applyBorder="1" applyAlignment="1">
      <alignment horizontal="left" vertical="center" indent="1"/>
    </xf>
    <xf numFmtId="0" fontId="45" fillId="13" borderId="64" xfId="0" applyFont="1" applyFill="1" applyBorder="1" applyAlignment="1">
      <alignment vertical="center" wrapText="1"/>
    </xf>
    <xf numFmtId="0" fontId="46" fillId="13" borderId="14" xfId="0" applyFont="1" applyFill="1" applyBorder="1"/>
    <xf numFmtId="0" fontId="74" fillId="7" borderId="5" xfId="0" applyFont="1" applyFill="1" applyBorder="1" applyAlignment="1">
      <alignment horizontal="left" vertical="center" wrapText="1" indent="1"/>
    </xf>
    <xf numFmtId="166" fontId="22" fillId="7" borderId="5" xfId="0" applyNumberFormat="1" applyFont="1" applyFill="1" applyBorder="1" applyAlignment="1">
      <alignment horizontal="center" vertical="center" wrapText="1"/>
    </xf>
    <xf numFmtId="0" fontId="10" fillId="7" borderId="5" xfId="0" applyFont="1" applyFill="1" applyBorder="1" applyAlignment="1">
      <alignment horizontal="center" vertical="center" wrapText="1"/>
    </xf>
    <xf numFmtId="0" fontId="21" fillId="7" borderId="5" xfId="0" applyFont="1" applyFill="1" applyBorder="1" applyAlignment="1">
      <alignment horizontal="center" vertical="center" wrapText="1"/>
    </xf>
    <xf numFmtId="172" fontId="0" fillId="0" borderId="0" xfId="0" applyNumberFormat="1"/>
    <xf numFmtId="0" fontId="22" fillId="7" borderId="12" xfId="0" applyFont="1" applyFill="1" applyBorder="1" applyAlignment="1">
      <alignment horizontal="left" vertical="center" wrapText="1" indent="1"/>
    </xf>
    <xf numFmtId="0" fontId="15" fillId="4" borderId="3" xfId="0" applyFont="1" applyFill="1" applyBorder="1" applyAlignment="1">
      <alignment horizontal="right"/>
    </xf>
    <xf numFmtId="169" fontId="8" fillId="0" borderId="0" xfId="0" applyNumberFormat="1" applyFont="1"/>
    <xf numFmtId="166" fontId="61" fillId="7" borderId="35" xfId="0" applyNumberFormat="1" applyFont="1" applyFill="1" applyBorder="1" applyAlignment="1">
      <alignment horizontal="center" vertical="center" wrapText="1"/>
    </xf>
    <xf numFmtId="0" fontId="60" fillId="4" borderId="35" xfId="0" applyFont="1" applyFill="1" applyBorder="1" applyAlignment="1">
      <alignment horizontal="left" vertical="center" wrapText="1" indent="1"/>
    </xf>
    <xf numFmtId="0" fontId="23" fillId="0" borderId="0" xfId="0" applyFont="1"/>
    <xf numFmtId="0" fontId="41" fillId="0" borderId="0" xfId="0" applyFont="1" applyAlignment="1">
      <alignment vertical="center"/>
    </xf>
    <xf numFmtId="0" fontId="8" fillId="0" borderId="51" xfId="0" quotePrefix="1" applyFont="1" applyBorder="1"/>
    <xf numFmtId="0" fontId="8" fillId="0" borderId="61" xfId="0" quotePrefix="1" applyFont="1" applyBorder="1"/>
    <xf numFmtId="174" fontId="8" fillId="0" borderId="61" xfId="0" quotePrefix="1" applyNumberFormat="1" applyFont="1" applyBorder="1"/>
    <xf numFmtId="174" fontId="0" fillId="0" borderId="0" xfId="0" quotePrefix="1" applyNumberFormat="1"/>
    <xf numFmtId="9" fontId="0" fillId="0" borderId="0" xfId="2" applyFont="1"/>
    <xf numFmtId="9" fontId="8" fillId="0" borderId="0" xfId="2" applyFont="1"/>
    <xf numFmtId="9" fontId="0" fillId="0" borderId="0" xfId="0" applyNumberFormat="1"/>
    <xf numFmtId="175" fontId="0" fillId="0" borderId="0" xfId="2" applyNumberFormat="1" applyFont="1"/>
    <xf numFmtId="175" fontId="8" fillId="0" borderId="0" xfId="0" applyNumberFormat="1" applyFont="1"/>
    <xf numFmtId="176" fontId="0" fillId="0" borderId="0" xfId="0" applyNumberFormat="1"/>
    <xf numFmtId="177" fontId="0" fillId="0" borderId="0" xfId="0" applyNumberFormat="1" applyAlignment="1">
      <alignment horizontal="left"/>
    </xf>
    <xf numFmtId="177" fontId="0" fillId="0" borderId="0" xfId="0" applyNumberFormat="1"/>
    <xf numFmtId="177" fontId="8" fillId="0" borderId="0" xfId="0" applyNumberFormat="1" applyFont="1"/>
    <xf numFmtId="0" fontId="8" fillId="0" borderId="0" xfId="0" applyFont="1" applyAlignment="1">
      <alignment horizontal="left"/>
    </xf>
    <xf numFmtId="0" fontId="76" fillId="0" borderId="0" xfId="0" applyFont="1" applyAlignment="1">
      <alignment horizontal="left"/>
    </xf>
    <xf numFmtId="0" fontId="21" fillId="4" borderId="42" xfId="0" applyFont="1" applyFill="1" applyBorder="1" applyAlignment="1">
      <alignment horizontal="left" vertical="center" indent="1"/>
    </xf>
    <xf numFmtId="0" fontId="79" fillId="0" borderId="0" xfId="0" applyFont="1"/>
    <xf numFmtId="0" fontId="82" fillId="4" borderId="67" xfId="0" applyFont="1" applyFill="1" applyBorder="1" applyAlignment="1">
      <alignment horizontal="center" vertical="center"/>
    </xf>
    <xf numFmtId="0" fontId="83" fillId="4" borderId="0" xfId="0" applyFont="1" applyFill="1" applyAlignment="1">
      <alignment horizontal="center" vertical="center"/>
    </xf>
    <xf numFmtId="0" fontId="84" fillId="4" borderId="0" xfId="0" applyFont="1" applyFill="1" applyAlignment="1">
      <alignment horizontal="center" vertical="center"/>
    </xf>
    <xf numFmtId="0" fontId="85" fillId="4" borderId="12" xfId="0" applyFont="1" applyFill="1" applyBorder="1" applyAlignment="1">
      <alignment horizontal="left" vertical="center" wrapText="1"/>
    </xf>
    <xf numFmtId="0" fontId="87" fillId="7" borderId="66" xfId="0" applyFont="1" applyFill="1" applyBorder="1" applyAlignment="1">
      <alignment horizontal="center" vertical="center"/>
    </xf>
    <xf numFmtId="0" fontId="88" fillId="13" borderId="13" xfId="0" applyFont="1" applyFill="1" applyBorder="1" applyAlignment="1">
      <alignment horizontal="center" vertical="center" wrapText="1"/>
    </xf>
    <xf numFmtId="0" fontId="78" fillId="13" borderId="0" xfId="0" applyFont="1" applyFill="1" applyAlignment="1">
      <alignment horizontal="center" vertical="center"/>
    </xf>
    <xf numFmtId="0" fontId="77" fillId="13" borderId="13" xfId="0" applyFont="1" applyFill="1" applyBorder="1" applyAlignment="1">
      <alignment horizontal="center" vertical="center" wrapText="1"/>
    </xf>
    <xf numFmtId="0" fontId="80" fillId="13" borderId="13" xfId="0" applyFont="1" applyFill="1" applyBorder="1" applyAlignment="1">
      <alignment horizontal="center" vertical="center" wrapText="1"/>
    </xf>
    <xf numFmtId="0" fontId="85" fillId="4" borderId="5" xfId="0" applyFont="1" applyFill="1" applyBorder="1" applyAlignment="1">
      <alignment horizontal="left" vertical="center" wrapText="1"/>
    </xf>
    <xf numFmtId="0" fontId="90" fillId="13" borderId="13" xfId="0" applyFont="1" applyFill="1" applyBorder="1" applyAlignment="1">
      <alignment horizontal="center" vertical="center" wrapText="1"/>
    </xf>
    <xf numFmtId="0" fontId="92" fillId="13" borderId="13" xfId="0" applyFont="1" applyFill="1" applyBorder="1" applyAlignment="1">
      <alignment horizontal="center" vertical="center" wrapText="1"/>
    </xf>
    <xf numFmtId="0" fontId="85" fillId="4" borderId="10" xfId="0" applyFont="1" applyFill="1" applyBorder="1" applyAlignment="1">
      <alignment horizontal="left" vertical="center" wrapText="1"/>
    </xf>
    <xf numFmtId="0" fontId="87" fillId="7" borderId="6" xfId="0" applyFont="1" applyFill="1" applyBorder="1" applyAlignment="1">
      <alignment horizontal="center" vertical="center"/>
    </xf>
    <xf numFmtId="0" fontId="88" fillId="13" borderId="31" xfId="0" applyFont="1" applyFill="1" applyBorder="1" applyAlignment="1">
      <alignment horizontal="center" vertical="center" wrapText="1"/>
    </xf>
    <xf numFmtId="0" fontId="77" fillId="13" borderId="31" xfId="0" applyFont="1" applyFill="1" applyBorder="1" applyAlignment="1">
      <alignment horizontal="center" vertical="center" wrapText="1"/>
    </xf>
    <xf numFmtId="0" fontId="80" fillId="13" borderId="31" xfId="0" applyFont="1" applyFill="1" applyBorder="1" applyAlignment="1">
      <alignment horizontal="center" vertical="center" wrapText="1"/>
    </xf>
    <xf numFmtId="0" fontId="95" fillId="0" borderId="0" xfId="0" applyFont="1"/>
    <xf numFmtId="0" fontId="97" fillId="8" borderId="69" xfId="0" applyFont="1" applyFill="1" applyBorder="1" applyAlignment="1">
      <alignment horizontal="left" vertical="center" wrapText="1" indent="1"/>
    </xf>
    <xf numFmtId="0" fontId="92" fillId="8" borderId="6" xfId="0" applyFont="1" applyFill="1" applyBorder="1" applyAlignment="1">
      <alignment horizontal="center" vertical="center" wrapText="1"/>
    </xf>
    <xf numFmtId="0" fontId="99" fillId="8" borderId="70" xfId="0" applyFont="1" applyFill="1" applyBorder="1" applyAlignment="1">
      <alignment horizontal="center" vertical="center" wrapText="1"/>
    </xf>
    <xf numFmtId="0" fontId="98" fillId="8" borderId="70" xfId="0" applyFont="1" applyFill="1" applyBorder="1" applyAlignment="1">
      <alignment horizontal="right" vertical="center"/>
    </xf>
    <xf numFmtId="0" fontId="98" fillId="8" borderId="70" xfId="0" applyFont="1" applyFill="1" applyBorder="1" applyAlignment="1">
      <alignment horizontal="center" vertical="center"/>
    </xf>
    <xf numFmtId="178" fontId="98" fillId="8" borderId="70" xfId="0" applyNumberFormat="1" applyFont="1" applyFill="1" applyBorder="1" applyAlignment="1">
      <alignment horizontal="center" vertical="center"/>
    </xf>
    <xf numFmtId="0" fontId="97" fillId="8" borderId="6" xfId="0" applyFont="1" applyFill="1" applyBorder="1" applyAlignment="1">
      <alignment horizontal="left" vertical="center"/>
    </xf>
    <xf numFmtId="0" fontId="98" fillId="8" borderId="6" xfId="0" applyFont="1" applyFill="1" applyBorder="1" applyAlignment="1">
      <alignment horizontal="center" vertical="center"/>
    </xf>
    <xf numFmtId="0" fontId="99" fillId="8" borderId="6" xfId="0" applyFont="1" applyFill="1" applyBorder="1" applyAlignment="1">
      <alignment horizontal="center" vertical="center"/>
    </xf>
    <xf numFmtId="0" fontId="98" fillId="8" borderId="6" xfId="0" applyFont="1" applyFill="1" applyBorder="1" applyAlignment="1">
      <alignment horizontal="right" vertical="center"/>
    </xf>
    <xf numFmtId="0" fontId="98" fillId="8" borderId="6" xfId="0" applyFont="1" applyFill="1" applyBorder="1" applyAlignment="1">
      <alignment horizontal="left" vertical="center"/>
    </xf>
    <xf numFmtId="0" fontId="98" fillId="8" borderId="71" xfId="0" applyFont="1" applyFill="1" applyBorder="1" applyAlignment="1">
      <alignment horizontal="center" vertical="center"/>
    </xf>
    <xf numFmtId="0" fontId="29" fillId="4" borderId="70" xfId="0" applyFont="1" applyFill="1" applyBorder="1"/>
    <xf numFmtId="0" fontId="34" fillId="8" borderId="6" xfId="0" applyFont="1" applyFill="1" applyBorder="1" applyAlignment="1">
      <alignment horizontal="left" vertical="center"/>
    </xf>
    <xf numFmtId="0" fontId="35" fillId="8" borderId="6" xfId="0" applyFont="1" applyFill="1" applyBorder="1" applyAlignment="1">
      <alignment horizontal="center" vertical="center"/>
    </xf>
    <xf numFmtId="0" fontId="33" fillId="8" borderId="6" xfId="0" applyFont="1" applyFill="1" applyBorder="1" applyAlignment="1">
      <alignment horizontal="right" vertical="center"/>
    </xf>
    <xf numFmtId="0" fontId="36" fillId="8" borderId="6" xfId="0" applyFont="1" applyFill="1" applyBorder="1" applyAlignment="1">
      <alignment horizontal="left" vertical="center"/>
    </xf>
    <xf numFmtId="2" fontId="20" fillId="8" borderId="6" xfId="0" applyNumberFormat="1" applyFont="1" applyFill="1" applyBorder="1" applyAlignment="1">
      <alignment horizontal="center" vertical="center"/>
    </xf>
    <xf numFmtId="0" fontId="33" fillId="8" borderId="6" xfId="0" applyFont="1" applyFill="1" applyBorder="1" applyAlignment="1">
      <alignment horizontal="left" vertical="center"/>
    </xf>
    <xf numFmtId="0" fontId="23" fillId="8" borderId="6" xfId="0" applyFont="1" applyFill="1" applyBorder="1" applyAlignment="1">
      <alignment horizontal="left" vertical="center"/>
    </xf>
    <xf numFmtId="0" fontId="40" fillId="8" borderId="6" xfId="0" applyFont="1" applyFill="1" applyBorder="1" applyAlignment="1">
      <alignment horizontal="center" vertical="center"/>
    </xf>
    <xf numFmtId="0" fontId="42" fillId="8" borderId="6" xfId="0" applyFont="1" applyFill="1" applyBorder="1" applyAlignment="1">
      <alignment horizontal="center" vertical="center"/>
    </xf>
    <xf numFmtId="0" fontId="40" fillId="8" borderId="6" xfId="0" applyFont="1" applyFill="1" applyBorder="1" applyAlignment="1">
      <alignment horizontal="right" vertical="center"/>
    </xf>
    <xf numFmtId="0" fontId="47" fillId="8" borderId="6" xfId="0" applyFont="1" applyFill="1" applyBorder="1" applyAlignment="1">
      <alignment horizontal="left" vertical="center"/>
    </xf>
    <xf numFmtId="9" fontId="16" fillId="8" borderId="6" xfId="0" applyNumberFormat="1" applyFont="1" applyFill="1" applyBorder="1" applyAlignment="1">
      <alignment horizontal="center"/>
    </xf>
    <xf numFmtId="9" fontId="40" fillId="8" borderId="6" xfId="0" applyNumberFormat="1" applyFont="1" applyFill="1" applyBorder="1" applyAlignment="1">
      <alignment horizontal="center" vertical="center"/>
    </xf>
    <xf numFmtId="0" fontId="40" fillId="8" borderId="6" xfId="0" applyFont="1" applyFill="1" applyBorder="1" applyAlignment="1">
      <alignment horizontal="left" vertical="center"/>
    </xf>
    <xf numFmtId="0" fontId="16" fillId="8" borderId="6" xfId="0" applyFont="1" applyFill="1" applyBorder="1" applyAlignment="1">
      <alignment horizontal="center"/>
    </xf>
    <xf numFmtId="0" fontId="29" fillId="4" borderId="71" xfId="0" applyFont="1" applyFill="1" applyBorder="1"/>
    <xf numFmtId="0" fontId="23" fillId="8" borderId="6" xfId="0" applyFont="1" applyFill="1" applyBorder="1" applyAlignment="1">
      <alignment horizontal="left" vertical="center" indent="1"/>
    </xf>
    <xf numFmtId="0" fontId="40" fillId="8" borderId="6" xfId="0" applyFont="1" applyFill="1" applyBorder="1" applyAlignment="1">
      <alignment horizontal="right" vertical="center" indent="1"/>
    </xf>
    <xf numFmtId="0" fontId="47" fillId="8" borderId="6" xfId="0" applyFont="1" applyFill="1" applyBorder="1" applyAlignment="1">
      <alignment horizontal="left" vertical="center" indent="1"/>
    </xf>
    <xf numFmtId="165" fontId="40" fillId="8" borderId="6" xfId="0" applyNumberFormat="1" applyFont="1" applyFill="1" applyBorder="1" applyAlignment="1">
      <alignment horizontal="center" vertical="center"/>
    </xf>
    <xf numFmtId="0" fontId="40" fillId="8" borderId="6" xfId="0" applyFont="1" applyFill="1" applyBorder="1" applyAlignment="1">
      <alignment horizontal="left" vertical="center" indent="1"/>
    </xf>
    <xf numFmtId="0" fontId="97" fillId="8" borderId="72" xfId="0" applyFont="1" applyFill="1" applyBorder="1" applyAlignment="1">
      <alignment horizontal="left" vertical="center" wrapText="1" indent="1"/>
    </xf>
    <xf numFmtId="0" fontId="99" fillId="8" borderId="6" xfId="0" applyFont="1" applyFill="1" applyBorder="1" applyAlignment="1">
      <alignment horizontal="center" vertical="center" wrapText="1"/>
    </xf>
    <xf numFmtId="178" fontId="98" fillId="8" borderId="6" xfId="0" applyNumberFormat="1" applyFont="1" applyFill="1" applyBorder="1" applyAlignment="1">
      <alignment horizontal="center" vertical="center"/>
    </xf>
    <xf numFmtId="9" fontId="98" fillId="8" borderId="6" xfId="2" applyFont="1" applyFill="1" applyBorder="1" applyAlignment="1">
      <alignment horizontal="center" vertical="center"/>
    </xf>
    <xf numFmtId="0" fontId="20" fillId="8" borderId="6" xfId="0" applyFont="1" applyFill="1" applyBorder="1" applyAlignment="1">
      <alignment horizontal="center"/>
    </xf>
    <xf numFmtId="9" fontId="20" fillId="8" borderId="6" xfId="0" applyNumberFormat="1" applyFont="1" applyFill="1" applyBorder="1" applyAlignment="1">
      <alignment horizontal="center"/>
    </xf>
    <xf numFmtId="0" fontId="77" fillId="7" borderId="72" xfId="0" applyFont="1" applyFill="1" applyBorder="1" applyAlignment="1">
      <alignment horizontal="left" vertical="center" wrapText="1" indent="1"/>
    </xf>
    <xf numFmtId="0" fontId="78" fillId="7" borderId="6" xfId="0" applyFont="1" applyFill="1" applyBorder="1" applyAlignment="1">
      <alignment horizontal="center" vertical="center" wrapText="1"/>
    </xf>
    <xf numFmtId="0" fontId="77" fillId="7" borderId="6" xfId="0" applyFont="1" applyFill="1" applyBorder="1" applyAlignment="1">
      <alignment horizontal="right" vertical="center"/>
    </xf>
    <xf numFmtId="0" fontId="77" fillId="7" borderId="6" xfId="0" applyFont="1" applyFill="1" applyBorder="1" applyAlignment="1">
      <alignment horizontal="center" vertical="center"/>
    </xf>
    <xf numFmtId="0" fontId="78" fillId="7" borderId="6" xfId="0" applyFont="1" applyFill="1" applyBorder="1" applyAlignment="1">
      <alignment horizontal="center" vertical="center"/>
    </xf>
    <xf numFmtId="0" fontId="93" fillId="7" borderId="6" xfId="0" applyFont="1" applyFill="1" applyBorder="1" applyAlignment="1">
      <alignment horizontal="left" vertical="center"/>
    </xf>
    <xf numFmtId="0" fontId="92" fillId="7" borderId="6" xfId="0" applyFont="1" applyFill="1" applyBorder="1" applyAlignment="1">
      <alignment horizontal="center" vertical="center"/>
    </xf>
    <xf numFmtId="0" fontId="96" fillId="7" borderId="6" xfId="0" applyFont="1" applyFill="1" applyBorder="1" applyAlignment="1">
      <alignment horizontal="center" vertical="center"/>
    </xf>
    <xf numFmtId="0" fontId="92" fillId="7" borderId="6" xfId="0" applyFont="1" applyFill="1" applyBorder="1" applyAlignment="1">
      <alignment horizontal="right" vertical="center"/>
    </xf>
    <xf numFmtId="0" fontId="92" fillId="7" borderId="6" xfId="0" applyFont="1" applyFill="1" applyBorder="1" applyAlignment="1">
      <alignment horizontal="left" vertical="center"/>
    </xf>
    <xf numFmtId="0" fontId="92" fillId="13" borderId="6" xfId="0" applyFont="1" applyFill="1" applyBorder="1" applyAlignment="1">
      <alignment horizontal="center" vertical="center"/>
    </xf>
    <xf numFmtId="0" fontId="10" fillId="7" borderId="6" xfId="0" applyFont="1" applyFill="1" applyBorder="1" applyAlignment="1">
      <alignment horizontal="left" vertical="center"/>
    </xf>
    <xf numFmtId="0" fontId="11" fillId="7" borderId="6" xfId="0" applyFont="1" applyFill="1" applyBorder="1" applyAlignment="1">
      <alignment horizontal="center" vertical="center"/>
    </xf>
    <xf numFmtId="0" fontId="21" fillId="7" borderId="6" xfId="0" applyFont="1" applyFill="1" applyBorder="1" applyAlignment="1">
      <alignment horizontal="right" vertical="center"/>
    </xf>
    <xf numFmtId="0" fontId="22" fillId="7" borderId="6" xfId="0" applyFont="1" applyFill="1" applyBorder="1" applyAlignment="1">
      <alignment horizontal="left" vertical="center"/>
    </xf>
    <xf numFmtId="0" fontId="29" fillId="13" borderId="6" xfId="0" applyFont="1" applyFill="1" applyBorder="1" applyAlignment="1">
      <alignment horizontal="center"/>
    </xf>
    <xf numFmtId="0" fontId="74" fillId="7" borderId="6" xfId="0" applyFont="1" applyFill="1" applyBorder="1" applyAlignment="1">
      <alignment horizontal="left" vertical="center"/>
    </xf>
    <xf numFmtId="0" fontId="74" fillId="13" borderId="6" xfId="0" applyFont="1" applyFill="1" applyBorder="1" applyAlignment="1">
      <alignment horizontal="center" vertical="center"/>
    </xf>
    <xf numFmtId="0" fontId="21" fillId="7" borderId="6" xfId="0" applyFont="1" applyFill="1" applyBorder="1" applyAlignment="1">
      <alignment horizontal="left" vertical="center"/>
    </xf>
    <xf numFmtId="0" fontId="74" fillId="13" borderId="6" xfId="0" applyFont="1" applyFill="1" applyBorder="1" applyAlignment="1">
      <alignment horizontal="right" vertical="center"/>
    </xf>
    <xf numFmtId="0" fontId="45" fillId="13" borderId="6" xfId="0" applyFont="1" applyFill="1" applyBorder="1" applyAlignment="1">
      <alignment horizontal="left" vertical="center"/>
    </xf>
    <xf numFmtId="0" fontId="74" fillId="13" borderId="6" xfId="0" applyFont="1" applyFill="1" applyBorder="1" applyAlignment="1">
      <alignment horizontal="left" vertical="center"/>
    </xf>
    <xf numFmtId="0" fontId="10" fillId="13" borderId="6" xfId="0" applyFont="1" applyFill="1" applyBorder="1" applyAlignment="1">
      <alignment horizontal="left" vertical="center" indent="1"/>
    </xf>
    <xf numFmtId="0" fontId="11" fillId="13" borderId="6" xfId="0" applyFont="1" applyFill="1" applyBorder="1" applyAlignment="1">
      <alignment horizontal="center" vertical="center"/>
    </xf>
    <xf numFmtId="0" fontId="21" fillId="13" borderId="6" xfId="0" applyFont="1" applyFill="1" applyBorder="1" applyAlignment="1">
      <alignment horizontal="right" vertical="center" indent="1"/>
    </xf>
    <xf numFmtId="0" fontId="22" fillId="13" borderId="6" xfId="0" applyFont="1" applyFill="1" applyBorder="1" applyAlignment="1">
      <alignment horizontal="left" vertical="center" indent="1"/>
    </xf>
    <xf numFmtId="165" fontId="74" fillId="13" borderId="6" xfId="0" applyNumberFormat="1" applyFont="1" applyFill="1" applyBorder="1" applyAlignment="1">
      <alignment horizontal="center" vertical="center"/>
    </xf>
    <xf numFmtId="0" fontId="21" fillId="13" borderId="6" xfId="0" applyFont="1" applyFill="1" applyBorder="1" applyAlignment="1">
      <alignment horizontal="left" vertical="center" indent="1"/>
    </xf>
    <xf numFmtId="0" fontId="21" fillId="7" borderId="6" xfId="0" applyFont="1" applyFill="1" applyBorder="1" applyAlignment="1">
      <alignment horizontal="right" vertical="center" indent="1"/>
    </xf>
    <xf numFmtId="0" fontId="45" fillId="13" borderId="6" xfId="0" applyFont="1" applyFill="1" applyBorder="1" applyAlignment="1">
      <alignment horizontal="left" vertical="center" indent="1"/>
    </xf>
    <xf numFmtId="0" fontId="21" fillId="7" borderId="6" xfId="0" applyFont="1" applyFill="1" applyBorder="1" applyAlignment="1">
      <alignment horizontal="left" vertical="center" indent="1"/>
    </xf>
    <xf numFmtId="9" fontId="77" fillId="7" borderId="6" xfId="2" applyFont="1" applyFill="1" applyBorder="1" applyAlignment="1">
      <alignment horizontal="center" vertical="center"/>
    </xf>
    <xf numFmtId="179" fontId="92" fillId="13" borderId="6" xfId="0" applyNumberFormat="1" applyFont="1" applyFill="1" applyBorder="1" applyAlignment="1">
      <alignment horizontal="center" vertical="center"/>
    </xf>
    <xf numFmtId="9" fontId="29" fillId="13" borderId="6" xfId="0" applyNumberFormat="1" applyFont="1" applyFill="1" applyBorder="1" applyAlignment="1">
      <alignment horizontal="center"/>
    </xf>
    <xf numFmtId="9" fontId="74" fillId="13" borderId="6" xfId="0" applyNumberFormat="1" applyFont="1" applyFill="1" applyBorder="1" applyAlignment="1">
      <alignment horizontal="center" vertical="center"/>
    </xf>
    <xf numFmtId="0" fontId="98" fillId="8" borderId="72" xfId="0" applyFont="1" applyFill="1" applyBorder="1" applyAlignment="1">
      <alignment horizontal="left" vertical="center" wrapText="1" indent="1"/>
    </xf>
    <xf numFmtId="9" fontId="77" fillId="7" borderId="6" xfId="0" applyNumberFormat="1" applyFont="1" applyFill="1" applyBorder="1" applyAlignment="1">
      <alignment horizontal="center" vertical="center"/>
    </xf>
    <xf numFmtId="9" fontId="92" fillId="13" borderId="6" xfId="2" applyFont="1" applyFill="1" applyBorder="1" applyAlignment="1">
      <alignment horizontal="center" vertical="center"/>
    </xf>
    <xf numFmtId="179" fontId="98" fillId="8" borderId="6" xfId="0" applyNumberFormat="1" applyFont="1" applyFill="1" applyBorder="1" applyAlignment="1">
      <alignment horizontal="center" vertical="center"/>
    </xf>
    <xf numFmtId="0" fontId="71" fillId="13" borderId="6" xfId="0" applyFont="1" applyFill="1" applyBorder="1" applyAlignment="1">
      <alignment horizontal="left" vertical="center"/>
    </xf>
    <xf numFmtId="0" fontId="38" fillId="13" borderId="6" xfId="0" applyFont="1" applyFill="1" applyBorder="1" applyAlignment="1">
      <alignment horizontal="center" vertical="center"/>
    </xf>
    <xf numFmtId="0" fontId="22" fillId="7" borderId="6" xfId="0" applyFont="1" applyFill="1" applyBorder="1" applyAlignment="1">
      <alignment horizontal="left" vertical="center" indent="1"/>
    </xf>
    <xf numFmtId="0" fontId="33" fillId="8" borderId="6" xfId="0" applyFont="1" applyFill="1" applyBorder="1" applyAlignment="1">
      <alignment horizontal="left" vertical="center" indent="1"/>
    </xf>
    <xf numFmtId="0" fontId="33" fillId="8" borderId="6" xfId="0" applyFont="1" applyFill="1" applyBorder="1" applyAlignment="1">
      <alignment horizontal="right" vertical="center" indent="1"/>
    </xf>
    <xf numFmtId="0" fontId="33" fillId="8" borderId="6" xfId="0" applyFont="1" applyFill="1" applyBorder="1" applyAlignment="1">
      <alignment horizontal="center" vertical="center"/>
    </xf>
    <xf numFmtId="0" fontId="20" fillId="16" borderId="6" xfId="0" applyFont="1" applyFill="1" applyBorder="1" applyAlignment="1">
      <alignment horizontal="center"/>
    </xf>
    <xf numFmtId="0" fontId="23" fillId="8" borderId="6" xfId="0" applyFont="1" applyFill="1" applyBorder="1" applyAlignment="1">
      <alignment horizontal="center" vertical="center"/>
    </xf>
    <xf numFmtId="0" fontId="47" fillId="8" borderId="6" xfId="0" applyFont="1" applyFill="1" applyBorder="1" applyAlignment="1">
      <alignment horizontal="center" vertical="center"/>
    </xf>
    <xf numFmtId="9" fontId="98" fillId="8" borderId="6" xfId="0" applyNumberFormat="1" applyFont="1" applyFill="1" applyBorder="1" applyAlignment="1">
      <alignment horizontal="center" vertical="center"/>
    </xf>
    <xf numFmtId="0" fontId="74" fillId="13" borderId="6" xfId="0" applyFont="1" applyFill="1" applyBorder="1" applyAlignment="1">
      <alignment horizontal="left" vertical="center" indent="1"/>
    </xf>
    <xf numFmtId="0" fontId="74" fillId="13" borderId="6" xfId="0" applyFont="1" applyFill="1" applyBorder="1" applyAlignment="1">
      <alignment horizontal="right" vertical="center" indent="1"/>
    </xf>
    <xf numFmtId="10" fontId="74" fillId="13" borderId="6" xfId="0" applyNumberFormat="1" applyFont="1" applyFill="1" applyBorder="1" applyAlignment="1">
      <alignment horizontal="center" vertical="center"/>
    </xf>
    <xf numFmtId="0" fontId="38" fillId="13" borderId="6" xfId="0" applyFont="1" applyFill="1" applyBorder="1" applyAlignment="1">
      <alignment horizontal="left" vertical="center"/>
    </xf>
    <xf numFmtId="0" fontId="71" fillId="13" borderId="6" xfId="0" applyFont="1" applyFill="1" applyBorder="1" applyAlignment="1">
      <alignment horizontal="left" vertical="center" indent="1"/>
    </xf>
    <xf numFmtId="0" fontId="10" fillId="7" borderId="6" xfId="0" applyFont="1" applyFill="1" applyBorder="1" applyAlignment="1">
      <alignment horizontal="left" vertical="center" indent="1"/>
    </xf>
    <xf numFmtId="0" fontId="45" fillId="13" borderId="6" xfId="0" applyFont="1" applyFill="1" applyBorder="1" applyAlignment="1">
      <alignment horizontal="center" vertical="center"/>
    </xf>
    <xf numFmtId="0" fontId="77" fillId="7" borderId="6" xfId="2" applyNumberFormat="1" applyFont="1" applyFill="1" applyBorder="1" applyAlignment="1">
      <alignment horizontal="center" vertical="center"/>
    </xf>
    <xf numFmtId="9" fontId="33" fillId="8" borderId="6" xfId="0" applyNumberFormat="1" applyFont="1" applyFill="1" applyBorder="1" applyAlignment="1">
      <alignment horizontal="center" vertical="center"/>
    </xf>
    <xf numFmtId="0" fontId="35" fillId="8" borderId="6" xfId="0" applyFont="1" applyFill="1" applyBorder="1" applyAlignment="1">
      <alignment horizontal="left" vertical="center"/>
    </xf>
    <xf numFmtId="0" fontId="92" fillId="13" borderId="72" xfId="0" applyFont="1" applyFill="1" applyBorder="1" applyAlignment="1">
      <alignment horizontal="left" vertical="center" wrapText="1" indent="1"/>
    </xf>
    <xf numFmtId="0" fontId="96" fillId="13" borderId="6" xfId="0" applyFont="1" applyFill="1" applyBorder="1" applyAlignment="1">
      <alignment horizontal="center" vertical="center" wrapText="1"/>
    </xf>
    <xf numFmtId="0" fontId="92" fillId="13" borderId="6" xfId="0" applyFont="1" applyFill="1" applyBorder="1" applyAlignment="1">
      <alignment horizontal="right" vertical="center"/>
    </xf>
    <xf numFmtId="9" fontId="92" fillId="13" borderId="6" xfId="0" applyNumberFormat="1" applyFont="1" applyFill="1" applyBorder="1" applyAlignment="1">
      <alignment horizontal="center" vertical="center"/>
    </xf>
    <xf numFmtId="0" fontId="77" fillId="7" borderId="73" xfId="0" applyFont="1" applyFill="1" applyBorder="1" applyAlignment="1">
      <alignment horizontal="left" vertical="center" wrapText="1" indent="1"/>
    </xf>
    <xf numFmtId="0" fontId="78" fillId="7" borderId="66" xfId="0" applyFont="1" applyFill="1" applyBorder="1" applyAlignment="1">
      <alignment horizontal="center" vertical="center" wrapText="1"/>
    </xf>
    <xf numFmtId="0" fontId="77" fillId="7" borderId="66" xfId="0" applyFont="1" applyFill="1" applyBorder="1" applyAlignment="1">
      <alignment horizontal="right" vertical="center"/>
    </xf>
    <xf numFmtId="0" fontId="77" fillId="7" borderId="74" xfId="0" applyFont="1" applyFill="1" applyBorder="1" applyAlignment="1">
      <alignment horizontal="center" vertical="center"/>
    </xf>
    <xf numFmtId="0" fontId="71" fillId="13" borderId="66" xfId="0" applyFont="1" applyFill="1" applyBorder="1" applyAlignment="1">
      <alignment horizontal="left" vertical="center"/>
    </xf>
    <xf numFmtId="0" fontId="74" fillId="13" borderId="66" xfId="0" applyFont="1" applyFill="1" applyBorder="1" applyAlignment="1">
      <alignment horizontal="left" vertical="center" indent="1"/>
    </xf>
    <xf numFmtId="0" fontId="38" fillId="13" borderId="66" xfId="0" applyFont="1" applyFill="1" applyBorder="1" applyAlignment="1">
      <alignment horizontal="center" vertical="center"/>
    </xf>
    <xf numFmtId="0" fontId="74" fillId="13" borderId="66" xfId="0" applyFont="1" applyFill="1" applyBorder="1" applyAlignment="1">
      <alignment horizontal="right" vertical="center" indent="1"/>
    </xf>
    <xf numFmtId="0" fontId="45" fillId="13" borderId="66" xfId="0" applyFont="1" applyFill="1" applyBorder="1" applyAlignment="1">
      <alignment horizontal="left" vertical="center"/>
    </xf>
    <xf numFmtId="0" fontId="74" fillId="13" borderId="66" xfId="0" applyFont="1" applyFill="1" applyBorder="1" applyAlignment="1">
      <alignment horizontal="center" vertical="center"/>
    </xf>
    <xf numFmtId="0" fontId="77" fillId="7" borderId="66" xfId="0" applyFont="1" applyFill="1" applyBorder="1" applyAlignment="1">
      <alignment horizontal="center" vertical="center"/>
    </xf>
    <xf numFmtId="0" fontId="29" fillId="4" borderId="75" xfId="0" applyFont="1" applyFill="1" applyBorder="1"/>
    <xf numFmtId="0" fontId="38" fillId="13" borderId="66" xfId="0" applyFont="1" applyFill="1" applyBorder="1" applyAlignment="1">
      <alignment horizontal="left" vertical="center"/>
    </xf>
    <xf numFmtId="0" fontId="74" fillId="13" borderId="66" xfId="0" applyFont="1" applyFill="1" applyBorder="1" applyAlignment="1">
      <alignment horizontal="right" vertical="center"/>
    </xf>
    <xf numFmtId="0" fontId="29" fillId="13" borderId="66" xfId="0" applyFont="1" applyFill="1" applyBorder="1" applyAlignment="1">
      <alignment horizontal="center"/>
    </xf>
    <xf numFmtId="0" fontId="92" fillId="7" borderId="66" xfId="0" applyFont="1" applyFill="1" applyBorder="1" applyAlignment="1">
      <alignment horizontal="center" vertical="center"/>
    </xf>
    <xf numFmtId="0" fontId="74" fillId="13" borderId="66" xfId="0" applyFont="1" applyFill="1" applyBorder="1" applyAlignment="1">
      <alignment horizontal="left" vertical="center"/>
    </xf>
    <xf numFmtId="0" fontId="10" fillId="7" borderId="66" xfId="0" applyFont="1" applyFill="1" applyBorder="1" applyAlignment="1">
      <alignment horizontal="left" vertical="center"/>
    </xf>
    <xf numFmtId="0" fontId="11" fillId="7" borderId="66" xfId="0" applyFont="1" applyFill="1" applyBorder="1" applyAlignment="1">
      <alignment horizontal="center" vertical="center"/>
    </xf>
    <xf numFmtId="0" fontId="21" fillId="7" borderId="66" xfId="0" applyFont="1" applyFill="1" applyBorder="1" applyAlignment="1">
      <alignment horizontal="right" vertical="center"/>
    </xf>
    <xf numFmtId="0" fontId="22" fillId="7" borderId="66" xfId="0" applyFont="1" applyFill="1" applyBorder="1" applyAlignment="1">
      <alignment horizontal="left" vertical="center"/>
    </xf>
    <xf numFmtId="0" fontId="71" fillId="13" borderId="66" xfId="0" applyFont="1" applyFill="1" applyBorder="1" applyAlignment="1">
      <alignment horizontal="left" vertical="center" indent="1"/>
    </xf>
    <xf numFmtId="0" fontId="45" fillId="13" borderId="66" xfId="0" applyFont="1" applyFill="1" applyBorder="1" applyAlignment="1">
      <alignment horizontal="left" vertical="center" indent="1"/>
    </xf>
    <xf numFmtId="0" fontId="10" fillId="7" borderId="66" xfId="0" applyFont="1" applyFill="1" applyBorder="1" applyAlignment="1">
      <alignment horizontal="left" vertical="center" indent="1"/>
    </xf>
    <xf numFmtId="0" fontId="21" fillId="7" borderId="66" xfId="0" applyFont="1" applyFill="1" applyBorder="1" applyAlignment="1">
      <alignment horizontal="right" vertical="center" indent="1"/>
    </xf>
    <xf numFmtId="0" fontId="22" fillId="7" borderId="66" xfId="0" applyFont="1" applyFill="1" applyBorder="1" applyAlignment="1">
      <alignment horizontal="left" vertical="center" indent="1"/>
    </xf>
    <xf numFmtId="0" fontId="21" fillId="7" borderId="66" xfId="0" applyFont="1" applyFill="1" applyBorder="1" applyAlignment="1">
      <alignment horizontal="left" vertical="center" indent="1"/>
    </xf>
    <xf numFmtId="0" fontId="45" fillId="13" borderId="66" xfId="0" applyFont="1" applyFill="1" applyBorder="1" applyAlignment="1">
      <alignment horizontal="center" vertical="center"/>
    </xf>
    <xf numFmtId="0" fontId="98" fillId="8" borderId="70" xfId="0" applyFont="1" applyFill="1" applyBorder="1" applyAlignment="1">
      <alignment horizontal="left" vertical="center"/>
    </xf>
    <xf numFmtId="0" fontId="77" fillId="7" borderId="6" xfId="0" applyFont="1" applyFill="1" applyBorder="1" applyAlignment="1">
      <alignment horizontal="left" vertical="center"/>
    </xf>
    <xf numFmtId="0" fontId="92" fillId="13" borderId="6" xfId="0" applyFont="1" applyFill="1" applyBorder="1" applyAlignment="1">
      <alignment horizontal="left" vertical="center"/>
    </xf>
    <xf numFmtId="0" fontId="77" fillId="7" borderId="74" xfId="0" applyFont="1" applyFill="1" applyBorder="1" applyAlignment="1">
      <alignment horizontal="left" vertical="center"/>
    </xf>
    <xf numFmtId="9" fontId="20" fillId="8" borderId="6" xfId="2" applyFont="1" applyFill="1" applyBorder="1" applyAlignment="1">
      <alignment horizontal="center"/>
    </xf>
    <xf numFmtId="179" fontId="29" fillId="13" borderId="6" xfId="0" applyNumberFormat="1" applyFont="1" applyFill="1" applyBorder="1" applyAlignment="1">
      <alignment horizontal="center"/>
    </xf>
    <xf numFmtId="9" fontId="29" fillId="13" borderId="6" xfId="2" applyFont="1" applyFill="1" applyBorder="1" applyAlignment="1">
      <alignment horizontal="center"/>
    </xf>
    <xf numFmtId="179" fontId="20" fillId="8" borderId="6" xfId="0" applyNumberFormat="1" applyFont="1" applyFill="1" applyBorder="1" applyAlignment="1">
      <alignment horizontal="center"/>
    </xf>
    <xf numFmtId="0" fontId="34" fillId="17" borderId="6" xfId="0" applyFont="1" applyFill="1" applyBorder="1" applyAlignment="1">
      <alignment horizontal="left" vertical="center"/>
    </xf>
    <xf numFmtId="0" fontId="35" fillId="17" borderId="6" xfId="0" applyFont="1" applyFill="1" applyBorder="1" applyAlignment="1">
      <alignment horizontal="left" vertical="center"/>
    </xf>
    <xf numFmtId="0" fontId="33" fillId="17" borderId="6" xfId="0" applyFont="1" applyFill="1" applyBorder="1" applyAlignment="1">
      <alignment horizontal="right" vertical="center"/>
    </xf>
    <xf numFmtId="0" fontId="36" fillId="17" borderId="6" xfId="0" applyFont="1" applyFill="1" applyBorder="1" applyAlignment="1">
      <alignment horizontal="left" vertical="center"/>
    </xf>
    <xf numFmtId="0" fontId="20" fillId="17" borderId="6" xfId="0" applyFont="1" applyFill="1" applyBorder="1" applyAlignment="1">
      <alignment horizontal="center"/>
    </xf>
    <xf numFmtId="0" fontId="33" fillId="17" borderId="6" xfId="0" applyFont="1" applyFill="1" applyBorder="1" applyAlignment="1">
      <alignment horizontal="center" vertical="center"/>
    </xf>
    <xf numFmtId="0" fontId="33" fillId="17" borderId="6" xfId="0" applyFont="1" applyFill="1" applyBorder="1" applyAlignment="1">
      <alignment horizontal="left" vertical="center"/>
    </xf>
    <xf numFmtId="9" fontId="20" fillId="17" borderId="6" xfId="0" applyNumberFormat="1" applyFont="1" applyFill="1" applyBorder="1" applyAlignment="1">
      <alignment horizontal="center"/>
    </xf>
    <xf numFmtId="9" fontId="33" fillId="17" borderId="6" xfId="0" applyNumberFormat="1" applyFont="1" applyFill="1" applyBorder="1" applyAlignment="1">
      <alignment horizontal="center" vertical="center"/>
    </xf>
    <xf numFmtId="0" fontId="10" fillId="4" borderId="0" xfId="0" applyFont="1" applyFill="1" applyAlignment="1">
      <alignment horizontal="center" vertical="center" wrapText="1"/>
    </xf>
    <xf numFmtId="165" fontId="0" fillId="0" borderId="0" xfId="0" applyNumberFormat="1"/>
    <xf numFmtId="0" fontId="29" fillId="13" borderId="0" xfId="0" applyFont="1" applyFill="1"/>
    <xf numFmtId="0" fontId="21" fillId="4" borderId="0" xfId="0" applyFont="1" applyFill="1" applyAlignment="1">
      <alignment horizontal="left" vertical="center" wrapText="1" indent="1"/>
    </xf>
    <xf numFmtId="0" fontId="41" fillId="0" borderId="0" xfId="0" applyFont="1" applyAlignment="1">
      <alignment horizontal="left" vertical="center" indent="1"/>
    </xf>
    <xf numFmtId="0" fontId="60" fillId="4" borderId="0" xfId="0" applyFont="1" applyFill="1" applyAlignment="1">
      <alignment horizontal="center" vertical="center" wrapText="1"/>
    </xf>
    <xf numFmtId="0" fontId="22" fillId="7" borderId="5" xfId="0" applyFont="1" applyFill="1" applyBorder="1" applyAlignment="1">
      <alignment horizontal="center" vertical="center" wrapText="1"/>
    </xf>
    <xf numFmtId="0" fontId="10" fillId="13" borderId="5" xfId="0" applyFont="1" applyFill="1" applyBorder="1" applyAlignment="1">
      <alignment horizontal="left" vertical="center" wrapText="1" indent="1"/>
    </xf>
    <xf numFmtId="0" fontId="10" fillId="13" borderId="12" xfId="0" applyFont="1" applyFill="1" applyBorder="1" applyAlignment="1">
      <alignment horizontal="left" vertical="center" wrapText="1" indent="1"/>
    </xf>
    <xf numFmtId="0" fontId="74" fillId="7" borderId="12" xfId="0" applyFont="1" applyFill="1" applyBorder="1" applyAlignment="1">
      <alignment horizontal="left" vertical="center" wrapText="1" indent="1"/>
    </xf>
    <xf numFmtId="0" fontId="41" fillId="7" borderId="32" xfId="0" applyFont="1" applyFill="1" applyBorder="1" applyAlignment="1">
      <alignment horizontal="left" vertical="center" wrapText="1" indent="1"/>
    </xf>
    <xf numFmtId="0" fontId="80" fillId="4" borderId="0" xfId="0" applyFont="1" applyFill="1" applyAlignment="1">
      <alignment horizontal="left" vertical="center" wrapText="1"/>
    </xf>
    <xf numFmtId="0" fontId="102" fillId="4" borderId="41" xfId="0" applyFont="1" applyFill="1" applyBorder="1" applyAlignment="1">
      <alignment horizontal="center" vertical="center" wrapText="1"/>
    </xf>
    <xf numFmtId="0" fontId="100" fillId="4" borderId="0" xfId="0" applyFont="1" applyFill="1" applyAlignment="1">
      <alignment horizontal="center" vertical="center" wrapText="1"/>
    </xf>
    <xf numFmtId="0" fontId="93" fillId="4" borderId="0" xfId="0" applyFont="1" applyFill="1" applyAlignment="1">
      <alignment horizontal="center" vertical="center"/>
    </xf>
    <xf numFmtId="0" fontId="100" fillId="4" borderId="0" xfId="0" applyFont="1" applyFill="1" applyAlignment="1">
      <alignment horizontal="left" vertical="center" wrapText="1"/>
    </xf>
    <xf numFmtId="0" fontId="93" fillId="4" borderId="0" xfId="0" applyFont="1" applyFill="1" applyAlignment="1">
      <alignment horizontal="center" vertical="center" wrapText="1"/>
    </xf>
    <xf numFmtId="0" fontId="80" fillId="4" borderId="0" xfId="0" applyFont="1" applyFill="1" applyAlignment="1">
      <alignment horizontal="center" vertical="center" wrapText="1"/>
    </xf>
    <xf numFmtId="0" fontId="101" fillId="4" borderId="0" xfId="0" applyFont="1" applyFill="1" applyAlignment="1">
      <alignment horizontal="center" vertical="center" wrapText="1"/>
    </xf>
    <xf numFmtId="0" fontId="10" fillId="4" borderId="0" xfId="0" applyFont="1" applyFill="1" applyAlignment="1">
      <alignment horizontal="center" vertical="center"/>
    </xf>
    <xf numFmtId="0" fontId="10" fillId="7" borderId="0" xfId="0" applyFont="1" applyFill="1" applyAlignment="1">
      <alignment horizontal="center" vertical="center"/>
    </xf>
    <xf numFmtId="0" fontId="10" fillId="7" borderId="0" xfId="0" applyFont="1" applyFill="1" applyAlignment="1">
      <alignment horizontal="center" vertical="center" wrapText="1"/>
    </xf>
    <xf numFmtId="178" fontId="98" fillId="8" borderId="5" xfId="0" applyNumberFormat="1" applyFont="1" applyFill="1" applyBorder="1" applyAlignment="1">
      <alignment horizontal="center" vertical="center"/>
    </xf>
    <xf numFmtId="0" fontId="92" fillId="8" borderId="74" xfId="0" applyFont="1" applyFill="1" applyBorder="1" applyAlignment="1">
      <alignment horizontal="center" vertical="center" wrapText="1"/>
    </xf>
    <xf numFmtId="0" fontId="29" fillId="4" borderId="0" xfId="0" applyFont="1" applyFill="1" applyAlignment="1">
      <alignment horizontal="right"/>
    </xf>
    <xf numFmtId="0" fontId="15" fillId="4" borderId="0" xfId="0" applyFont="1" applyFill="1" applyAlignment="1">
      <alignment horizontal="left"/>
    </xf>
    <xf numFmtId="2" fontId="46" fillId="4" borderId="0" xfId="0" quotePrefix="1" applyNumberFormat="1" applyFont="1" applyFill="1"/>
    <xf numFmtId="0" fontId="15" fillId="4" borderId="44" xfId="0" applyFont="1" applyFill="1" applyBorder="1" applyAlignment="1">
      <alignment horizontal="right"/>
    </xf>
    <xf numFmtId="0" fontId="0" fillId="0" borderId="0" xfId="0" applyAlignment="1">
      <alignment horizontal="right"/>
    </xf>
    <xf numFmtId="0" fontId="0" fillId="0" borderId="51" xfId="0" applyBorder="1" applyAlignment="1">
      <alignment horizontal="right"/>
    </xf>
    <xf numFmtId="0" fontId="0" fillId="0" borderId="61" xfId="0" applyBorder="1" applyAlignment="1">
      <alignment horizontal="right"/>
    </xf>
    <xf numFmtId="0" fontId="104" fillId="4" borderId="0" xfId="0" applyFont="1" applyFill="1"/>
    <xf numFmtId="0" fontId="46" fillId="4" borderId="0" xfId="0" quotePrefix="1" applyFont="1" applyFill="1"/>
    <xf numFmtId="174" fontId="46" fillId="4" borderId="0" xfId="0" quotePrefix="1" applyNumberFormat="1" applyFont="1" applyFill="1"/>
    <xf numFmtId="0" fontId="8" fillId="0" borderId="51" xfId="0" applyFont="1" applyBorder="1"/>
    <xf numFmtId="0" fontId="27" fillId="18" borderId="29" xfId="0" applyFont="1" applyFill="1" applyBorder="1" applyAlignment="1">
      <alignment horizontal="left" vertical="center" wrapText="1" indent="1"/>
    </xf>
    <xf numFmtId="0" fontId="29" fillId="4" borderId="13" xfId="0" applyFont="1" applyFill="1" applyBorder="1" applyAlignment="1">
      <alignment horizontal="right"/>
    </xf>
    <xf numFmtId="0" fontId="105" fillId="4" borderId="13" xfId="0" applyFont="1" applyFill="1" applyBorder="1" applyAlignment="1">
      <alignment horizontal="right"/>
    </xf>
    <xf numFmtId="9" fontId="29" fillId="4" borderId="13" xfId="0" applyNumberFormat="1" applyFont="1" applyFill="1" applyBorder="1" applyAlignment="1">
      <alignment horizontal="right"/>
    </xf>
    <xf numFmtId="0" fontId="10" fillId="4" borderId="78" xfId="0" applyFont="1" applyFill="1" applyBorder="1" applyAlignment="1">
      <alignment vertical="center" wrapText="1"/>
    </xf>
    <xf numFmtId="0" fontId="10" fillId="4" borderId="68" xfId="0" applyFont="1" applyFill="1" applyBorder="1" applyAlignment="1">
      <alignment vertical="center" wrapText="1"/>
    </xf>
    <xf numFmtId="0" fontId="10" fillId="4" borderId="69" xfId="0" applyFont="1" applyFill="1" applyBorder="1" applyAlignment="1">
      <alignment vertical="center" wrapText="1"/>
    </xf>
    <xf numFmtId="0" fontId="10" fillId="4" borderId="80" xfId="0" applyFont="1" applyFill="1" applyBorder="1" applyAlignment="1">
      <alignment vertical="center" wrapText="1"/>
    </xf>
    <xf numFmtId="0" fontId="10" fillId="4" borderId="81" xfId="0" applyFont="1" applyFill="1" applyBorder="1" applyAlignment="1">
      <alignment vertical="center" wrapText="1"/>
    </xf>
    <xf numFmtId="0" fontId="10" fillId="7" borderId="6" xfId="0" applyFont="1" applyFill="1" applyBorder="1" applyAlignment="1">
      <alignment horizontal="right" vertical="center" wrapText="1" indent="1"/>
    </xf>
    <xf numFmtId="0" fontId="21" fillId="7" borderId="6" xfId="0" applyFont="1" applyFill="1" applyBorder="1" applyAlignment="1">
      <alignment horizontal="left" vertical="center" wrapText="1" indent="1"/>
    </xf>
    <xf numFmtId="0" fontId="22" fillId="7" borderId="70" xfId="0" applyFont="1" applyFill="1" applyBorder="1" applyAlignment="1">
      <alignment horizontal="center" vertical="center" wrapText="1"/>
    </xf>
    <xf numFmtId="168" fontId="22" fillId="7" borderId="25" xfId="0" applyNumberFormat="1" applyFont="1" applyFill="1" applyBorder="1" applyAlignment="1">
      <alignment horizontal="center" vertical="center" wrapText="1"/>
    </xf>
    <xf numFmtId="0" fontId="22" fillId="7" borderId="82" xfId="0" applyFont="1" applyFill="1" applyBorder="1" applyAlignment="1">
      <alignment horizontal="center" vertical="center" wrapText="1"/>
    </xf>
    <xf numFmtId="174" fontId="22" fillId="7" borderId="25" xfId="0" applyNumberFormat="1" applyFont="1" applyFill="1" applyBorder="1" applyAlignment="1">
      <alignment horizontal="center" vertical="center" wrapText="1"/>
    </xf>
    <xf numFmtId="169" fontId="22" fillId="7" borderId="25" xfId="0" applyNumberFormat="1" applyFont="1" applyFill="1" applyBorder="1" applyAlignment="1">
      <alignment horizontal="center" vertical="center" wrapText="1"/>
    </xf>
    <xf numFmtId="167" fontId="22" fillId="7" borderId="25" xfId="0" applyNumberFormat="1" applyFont="1" applyFill="1" applyBorder="1" applyAlignment="1">
      <alignment horizontal="right" vertical="center" wrapText="1" indent="1"/>
    </xf>
    <xf numFmtId="0" fontId="22" fillId="7" borderId="25" xfId="0" applyFont="1" applyFill="1" applyBorder="1" applyAlignment="1">
      <alignment horizontal="right" vertical="center" wrapText="1" indent="1"/>
    </xf>
    <xf numFmtId="0" fontId="45" fillId="13" borderId="82" xfId="0" applyFont="1" applyFill="1" applyBorder="1" applyAlignment="1">
      <alignment horizontal="center" vertical="center" wrapText="1"/>
    </xf>
    <xf numFmtId="0" fontId="20" fillId="16" borderId="83" xfId="0" applyFont="1" applyFill="1" applyBorder="1"/>
    <xf numFmtId="0" fontId="20" fillId="0" borderId="83" xfId="0" applyFont="1" applyBorder="1"/>
    <xf numFmtId="0" fontId="10" fillId="7" borderId="66" xfId="0" applyFont="1" applyFill="1" applyBorder="1" applyAlignment="1">
      <alignment horizontal="right" vertical="center" wrapText="1" indent="1"/>
    </xf>
    <xf numFmtId="0" fontId="21" fillId="7" borderId="66" xfId="0" applyFont="1" applyFill="1" applyBorder="1" applyAlignment="1">
      <alignment horizontal="left" vertical="center" wrapText="1" indent="1"/>
    </xf>
    <xf numFmtId="0" fontId="22" fillId="7" borderId="84" xfId="0" applyFont="1" applyFill="1" applyBorder="1" applyAlignment="1">
      <alignment horizontal="center" vertical="center" wrapText="1"/>
    </xf>
    <xf numFmtId="168" fontId="22" fillId="7" borderId="14" xfId="0" applyNumberFormat="1" applyFont="1" applyFill="1" applyBorder="1" applyAlignment="1">
      <alignment horizontal="center" vertical="center" wrapText="1"/>
    </xf>
    <xf numFmtId="0" fontId="22" fillId="7" borderId="85" xfId="0" applyFont="1" applyFill="1" applyBorder="1" applyAlignment="1">
      <alignment horizontal="center" vertical="center" wrapText="1"/>
    </xf>
    <xf numFmtId="174" fontId="22" fillId="7" borderId="14" xfId="0" applyNumberFormat="1" applyFont="1" applyFill="1" applyBorder="1" applyAlignment="1">
      <alignment horizontal="center" vertical="center" wrapText="1"/>
    </xf>
    <xf numFmtId="169" fontId="22" fillId="7" borderId="14" xfId="0" applyNumberFormat="1" applyFont="1" applyFill="1" applyBorder="1" applyAlignment="1">
      <alignment horizontal="center" vertical="center" wrapText="1"/>
    </xf>
    <xf numFmtId="0" fontId="45" fillId="13" borderId="85" xfId="0" applyFont="1" applyFill="1" applyBorder="1" applyAlignment="1">
      <alignment horizontal="center" vertical="center" wrapText="1"/>
    </xf>
    <xf numFmtId="0" fontId="20" fillId="0" borderId="86" xfId="0" applyFont="1" applyBorder="1"/>
    <xf numFmtId="0" fontId="22" fillId="7" borderId="66" xfId="0" applyFont="1" applyFill="1" applyBorder="1" applyAlignment="1">
      <alignment horizontal="center" vertical="center" wrapText="1"/>
    </xf>
    <xf numFmtId="0" fontId="71" fillId="4" borderId="0" xfId="0" applyFont="1" applyFill="1" applyAlignment="1">
      <alignment horizontal="left" vertical="center" wrapText="1"/>
    </xf>
    <xf numFmtId="0" fontId="29" fillId="0" borderId="0" xfId="0" applyFont="1"/>
    <xf numFmtId="0" fontId="71" fillId="4" borderId="0" xfId="0" applyFont="1" applyFill="1" applyAlignment="1">
      <alignment horizontal="center" vertical="center" wrapText="1"/>
    </xf>
    <xf numFmtId="0" fontId="47" fillId="8" borderId="79" xfId="0" applyFont="1" applyFill="1" applyBorder="1" applyAlignment="1">
      <alignment horizontal="center" vertical="center" wrapText="1"/>
    </xf>
    <xf numFmtId="0" fontId="45" fillId="13" borderId="13" xfId="0" applyFont="1" applyFill="1" applyBorder="1" applyAlignment="1">
      <alignment horizontal="center" vertical="center" wrapText="1"/>
    </xf>
    <xf numFmtId="166" fontId="45" fillId="7" borderId="13" xfId="0" applyNumberFormat="1" applyFont="1" applyFill="1" applyBorder="1" applyAlignment="1">
      <alignment horizontal="center" vertical="center" wrapText="1"/>
    </xf>
    <xf numFmtId="166" fontId="45" fillId="13" borderId="13" xfId="0" applyNumberFormat="1" applyFont="1" applyFill="1" applyBorder="1" applyAlignment="1">
      <alignment horizontal="center" vertical="center" wrapText="1"/>
    </xf>
    <xf numFmtId="0" fontId="47" fillId="7" borderId="13" xfId="0" applyFont="1" applyFill="1" applyBorder="1" applyAlignment="1">
      <alignment horizontal="center" vertical="center" wrapText="1"/>
    </xf>
    <xf numFmtId="166" fontId="47" fillId="7" borderId="13" xfId="0" applyNumberFormat="1" applyFont="1" applyFill="1" applyBorder="1" applyAlignment="1">
      <alignment horizontal="center" vertical="center" wrapText="1"/>
    </xf>
    <xf numFmtId="0" fontId="29" fillId="0" borderId="0" xfId="0" applyFont="1" applyAlignment="1">
      <alignment horizontal="center"/>
    </xf>
    <xf numFmtId="0" fontId="112" fillId="4" borderId="0" xfId="0" applyFont="1" applyFill="1" applyAlignment="1">
      <alignment horizontal="center" vertical="center" wrapText="1"/>
    </xf>
    <xf numFmtId="0" fontId="77" fillId="4" borderId="35" xfId="0" applyFont="1" applyFill="1" applyBorder="1" applyAlignment="1">
      <alignment horizontal="left" vertical="center" wrapText="1" indent="1"/>
    </xf>
    <xf numFmtId="0" fontId="77" fillId="4" borderId="68" xfId="0" applyFont="1" applyFill="1" applyBorder="1" applyAlignment="1">
      <alignment horizontal="left" vertical="center" wrapText="1" indent="1"/>
    </xf>
    <xf numFmtId="0" fontId="77" fillId="4" borderId="77" xfId="0" applyFont="1" applyFill="1" applyBorder="1" applyAlignment="1">
      <alignment horizontal="left" vertical="center" wrapText="1" indent="1"/>
    </xf>
    <xf numFmtId="0" fontId="79" fillId="0" borderId="0" xfId="0" applyFont="1" applyAlignment="1">
      <alignment horizontal="center"/>
    </xf>
    <xf numFmtId="0" fontId="103" fillId="4" borderId="70" xfId="0" applyFont="1" applyFill="1" applyBorder="1" applyAlignment="1">
      <alignment horizontal="center"/>
    </xf>
    <xf numFmtId="0" fontId="103" fillId="4" borderId="71" xfId="0" applyFont="1" applyFill="1" applyBorder="1" applyAlignment="1">
      <alignment horizontal="center"/>
    </xf>
    <xf numFmtId="0" fontId="113" fillId="0" borderId="0" xfId="0" applyFont="1"/>
    <xf numFmtId="0" fontId="71" fillId="19" borderId="0" xfId="0" applyFont="1" applyFill="1" applyAlignment="1">
      <alignment horizontal="left" vertical="center" wrapText="1" indent="1"/>
    </xf>
    <xf numFmtId="167" fontId="29" fillId="4" borderId="0" xfId="0" applyNumberFormat="1" applyFont="1" applyFill="1" applyAlignment="1">
      <alignment horizontal="right"/>
    </xf>
    <xf numFmtId="180" fontId="41" fillId="7" borderId="13" xfId="0" applyNumberFormat="1" applyFont="1" applyFill="1" applyBorder="1" applyAlignment="1">
      <alignment horizontal="left" vertical="center" wrapText="1" indent="1"/>
    </xf>
    <xf numFmtId="180" fontId="22" fillId="7" borderId="31" xfId="0" applyNumberFormat="1" applyFont="1" applyFill="1" applyBorder="1" applyAlignment="1">
      <alignment horizontal="left" vertical="center" wrapText="1" indent="1"/>
    </xf>
    <xf numFmtId="182" fontId="22" fillId="7" borderId="64" xfId="0" applyNumberFormat="1" applyFont="1" applyFill="1" applyBorder="1" applyAlignment="1">
      <alignment horizontal="left" vertical="center" wrapText="1" indent="1"/>
    </xf>
    <xf numFmtId="181" fontId="0" fillId="0" borderId="0" xfId="0" applyNumberFormat="1"/>
    <xf numFmtId="2" fontId="45" fillId="7" borderId="0" xfId="0" applyNumberFormat="1" applyFont="1" applyFill="1" applyAlignment="1">
      <alignment horizontal="left" vertical="center" wrapText="1" indent="1"/>
    </xf>
    <xf numFmtId="2" fontId="45" fillId="7" borderId="26" xfId="0" applyNumberFormat="1" applyFont="1" applyFill="1" applyBorder="1" applyAlignment="1">
      <alignment horizontal="left" vertical="center" wrapText="1" indent="1"/>
    </xf>
    <xf numFmtId="2" fontId="45" fillId="7" borderId="23" xfId="0" applyNumberFormat="1" applyFont="1" applyFill="1" applyBorder="1" applyAlignment="1">
      <alignment horizontal="left" vertical="center" wrapText="1" indent="1"/>
    </xf>
    <xf numFmtId="2" fontId="0" fillId="0" borderId="63" xfId="0" applyNumberFormat="1" applyBorder="1" applyAlignment="1">
      <alignment horizontal="right"/>
    </xf>
    <xf numFmtId="0" fontId="10" fillId="4" borderId="88" xfId="0" applyFont="1" applyFill="1" applyBorder="1" applyAlignment="1">
      <alignment horizontal="left" vertical="center" wrapText="1" indent="1"/>
    </xf>
    <xf numFmtId="0" fontId="29" fillId="13" borderId="5" xfId="0" applyFont="1" applyFill="1" applyBorder="1"/>
    <xf numFmtId="171" fontId="29" fillId="13" borderId="5" xfId="0" applyNumberFormat="1" applyFont="1" applyFill="1" applyBorder="1"/>
    <xf numFmtId="0" fontId="18" fillId="3" borderId="29" xfId="0" applyFont="1" applyFill="1" applyBorder="1" applyAlignment="1">
      <alignment horizontal="left" vertical="center" indent="1"/>
    </xf>
    <xf numFmtId="0" fontId="29" fillId="4" borderId="89" xfId="0" applyFont="1" applyFill="1" applyBorder="1"/>
    <xf numFmtId="0" fontId="29" fillId="4" borderId="24" xfId="0" applyFont="1" applyFill="1" applyBorder="1" applyAlignment="1">
      <alignment horizontal="right"/>
    </xf>
    <xf numFmtId="0" fontId="29" fillId="4" borderId="7" xfId="0" applyFont="1" applyFill="1" applyBorder="1"/>
    <xf numFmtId="0" fontId="66" fillId="13" borderId="0" xfId="0" applyFont="1" applyFill="1" applyAlignment="1">
      <alignment horizontal="center" vertical="center"/>
    </xf>
    <xf numFmtId="0" fontId="66" fillId="13" borderId="0" xfId="0" applyFont="1" applyFill="1" applyAlignment="1">
      <alignment horizontal="center" vertical="center" wrapText="1"/>
    </xf>
    <xf numFmtId="0" fontId="67" fillId="13" borderId="0" xfId="0" applyFont="1" applyFill="1" applyAlignment="1">
      <alignment horizontal="center" vertical="center"/>
    </xf>
    <xf numFmtId="0" fontId="70" fillId="13" borderId="0" xfId="0" applyFont="1" applyFill="1" applyAlignment="1">
      <alignment horizontal="center" vertical="center"/>
    </xf>
    <xf numFmtId="0" fontId="70" fillId="13" borderId="0" xfId="0" applyFont="1" applyFill="1" applyAlignment="1">
      <alignment horizontal="center" vertical="center" wrapText="1"/>
    </xf>
    <xf numFmtId="0" fontId="5" fillId="0" borderId="0" xfId="0" applyFont="1" applyAlignment="1">
      <alignment horizontal="left" vertical="center"/>
    </xf>
    <xf numFmtId="0" fontId="71" fillId="4" borderId="0" xfId="0" applyFont="1" applyFill="1" applyAlignment="1">
      <alignment horizontal="left" vertical="center"/>
    </xf>
    <xf numFmtId="0" fontId="0" fillId="8" borderId="0" xfId="0" applyFill="1" applyAlignment="1">
      <alignment horizontal="center"/>
    </xf>
    <xf numFmtId="0" fontId="29" fillId="4" borderId="28" xfId="0" applyFont="1" applyFill="1" applyBorder="1" applyAlignment="1">
      <alignment horizontal="left" vertical="center"/>
    </xf>
    <xf numFmtId="0" fontId="4" fillId="6" borderId="0" xfId="0" applyFont="1" applyFill="1" applyAlignment="1">
      <alignment horizontal="left" vertical="center"/>
    </xf>
    <xf numFmtId="0" fontId="4" fillId="20" borderId="0" xfId="0" applyFont="1" applyFill="1" applyAlignment="1">
      <alignment horizontal="left" vertical="center"/>
    </xf>
    <xf numFmtId="0" fontId="4" fillId="21" borderId="0" xfId="0" applyFont="1" applyFill="1" applyAlignment="1">
      <alignment horizontal="left" vertical="center"/>
    </xf>
    <xf numFmtId="0" fontId="4" fillId="24" borderId="0" xfId="0" applyFont="1" applyFill="1" applyAlignment="1">
      <alignment horizontal="left" vertical="center"/>
    </xf>
    <xf numFmtId="0" fontId="4" fillId="25" borderId="0" xfId="0" applyFont="1" applyFill="1" applyAlignment="1">
      <alignment horizontal="left" vertical="center"/>
    </xf>
    <xf numFmtId="0" fontId="4" fillId="22" borderId="0" xfId="0" applyFont="1" applyFill="1" applyAlignment="1">
      <alignment horizontal="left" vertical="center"/>
    </xf>
    <xf numFmtId="0" fontId="4" fillId="23" borderId="0" xfId="0" applyFont="1" applyFill="1" applyAlignment="1">
      <alignment horizontal="left" vertical="center"/>
    </xf>
    <xf numFmtId="0" fontId="40" fillId="8" borderId="0" xfId="0" applyFont="1" applyFill="1" applyAlignment="1">
      <alignment horizontal="left"/>
    </xf>
    <xf numFmtId="0" fontId="45" fillId="13" borderId="13" xfId="0" applyFont="1" applyFill="1" applyBorder="1" applyAlignment="1">
      <alignment horizontal="left" vertical="center"/>
    </xf>
    <xf numFmtId="0" fontId="40" fillId="8" borderId="0" xfId="0" applyFont="1" applyFill="1" applyAlignment="1">
      <alignment horizontal="left" vertical="center" wrapText="1"/>
    </xf>
    <xf numFmtId="0" fontId="40" fillId="0" borderId="0" xfId="0" applyFont="1" applyAlignment="1">
      <alignment horizontal="left"/>
    </xf>
    <xf numFmtId="0" fontId="45" fillId="12" borderId="5" xfId="0" applyFont="1" applyFill="1" applyBorder="1" applyAlignment="1">
      <alignment horizontal="left" vertical="center"/>
    </xf>
    <xf numFmtId="0" fontId="71" fillId="26" borderId="5" xfId="0" applyFont="1" applyFill="1" applyBorder="1" applyAlignment="1">
      <alignment horizontal="left" vertical="center"/>
    </xf>
    <xf numFmtId="0" fontId="45" fillId="26" borderId="5" xfId="0" applyFont="1" applyFill="1" applyBorder="1" applyAlignment="1">
      <alignment horizontal="left" vertical="center"/>
    </xf>
    <xf numFmtId="0" fontId="119" fillId="0" borderId="0" xfId="0" applyFont="1" applyAlignment="1">
      <alignment horizontal="left" vertical="center"/>
    </xf>
    <xf numFmtId="0" fontId="117" fillId="8" borderId="0" xfId="0" applyFont="1" applyFill="1" applyAlignment="1">
      <alignment horizontal="center" vertical="center"/>
    </xf>
    <xf numFmtId="0" fontId="118" fillId="8" borderId="0" xfId="0" applyFont="1" applyFill="1" applyAlignment="1">
      <alignment horizontal="left" vertical="center" wrapText="1"/>
    </xf>
    <xf numFmtId="1" fontId="63" fillId="4" borderId="28" xfId="0" applyNumberFormat="1" applyFont="1" applyFill="1" applyBorder="1" applyAlignment="1">
      <alignment horizontal="center" vertical="center"/>
    </xf>
    <xf numFmtId="0" fontId="53" fillId="4" borderId="28" xfId="0" applyFont="1" applyFill="1" applyBorder="1" applyAlignment="1">
      <alignment horizontal="center" vertical="center" wrapText="1"/>
    </xf>
    <xf numFmtId="0" fontId="23" fillId="8" borderId="34" xfId="0" applyFont="1" applyFill="1" applyBorder="1" applyAlignment="1">
      <alignment horizontal="center" vertical="center" wrapText="1"/>
    </xf>
    <xf numFmtId="0" fontId="10" fillId="8" borderId="34" xfId="0" applyFont="1" applyFill="1" applyBorder="1" applyAlignment="1">
      <alignment horizontal="center" vertical="center" wrapText="1"/>
    </xf>
    <xf numFmtId="0" fontId="62" fillId="4" borderId="28" xfId="0" applyFont="1" applyFill="1" applyBorder="1" applyAlignment="1">
      <alignment horizontal="center" vertical="center" wrapText="1"/>
    </xf>
    <xf numFmtId="0" fontId="75" fillId="8" borderId="25" xfId="0" applyFont="1" applyFill="1" applyBorder="1" applyAlignment="1">
      <alignment horizontal="center" vertical="center"/>
    </xf>
    <xf numFmtId="0" fontId="75" fillId="8" borderId="26" xfId="0" applyFont="1" applyFill="1" applyBorder="1" applyAlignment="1">
      <alignment horizontal="center" vertical="center"/>
    </xf>
    <xf numFmtId="0" fontId="75" fillId="8" borderId="27" xfId="0" applyFont="1" applyFill="1" applyBorder="1" applyAlignment="1">
      <alignment horizontal="center" vertical="center"/>
    </xf>
    <xf numFmtId="0" fontId="75" fillId="8" borderId="64" xfId="0" applyFont="1" applyFill="1" applyBorder="1" applyAlignment="1">
      <alignment horizontal="center" vertical="center"/>
    </xf>
    <xf numFmtId="0" fontId="75" fillId="8" borderId="76" xfId="0" applyFont="1" applyFill="1" applyBorder="1" applyAlignment="1">
      <alignment horizontal="center" vertical="center"/>
    </xf>
    <xf numFmtId="0" fontId="75" fillId="8" borderId="63" xfId="0" applyFont="1" applyFill="1" applyBorder="1" applyAlignment="1">
      <alignment horizontal="center" vertical="center"/>
    </xf>
    <xf numFmtId="0" fontId="94" fillId="8" borderId="30" xfId="0" applyFont="1" applyFill="1" applyBorder="1" applyAlignment="1">
      <alignment vertical="center" wrapText="1"/>
    </xf>
    <xf numFmtId="0" fontId="94" fillId="8" borderId="0" xfId="0" applyFont="1" applyFill="1" applyAlignment="1">
      <alignment vertical="center" wrapText="1"/>
    </xf>
    <xf numFmtId="0" fontId="81" fillId="0" borderId="13" xfId="0" applyFont="1" applyBorder="1" applyAlignment="1">
      <alignment horizontal="center" vertical="center"/>
    </xf>
    <xf numFmtId="0" fontId="88" fillId="13" borderId="13" xfId="0" applyFont="1" applyFill="1" applyBorder="1" applyAlignment="1">
      <alignment horizontal="center" vertical="center" wrapText="1"/>
    </xf>
    <xf numFmtId="0" fontId="77" fillId="13" borderId="13" xfId="0" applyFont="1" applyFill="1" applyBorder="1" applyAlignment="1">
      <alignment horizontal="center" vertical="center" wrapText="1"/>
    </xf>
    <xf numFmtId="0" fontId="80" fillId="13" borderId="13" xfId="0" applyFont="1" applyFill="1" applyBorder="1" applyAlignment="1">
      <alignment horizontal="center" vertical="center" wrapText="1"/>
    </xf>
    <xf numFmtId="10" fontId="51" fillId="4" borderId="0" xfId="2" applyNumberFormat="1" applyFont="1" applyFill="1" applyAlignment="1">
      <alignment horizontal="center" vertical="center" wrapText="1"/>
    </xf>
    <xf numFmtId="0" fontId="51" fillId="4" borderId="0" xfId="0" applyFont="1" applyFill="1" applyAlignment="1">
      <alignment horizontal="center" vertical="center" wrapText="1"/>
    </xf>
    <xf numFmtId="0" fontId="10" fillId="4" borderId="38" xfId="0" applyFont="1" applyFill="1" applyBorder="1" applyAlignment="1">
      <alignment horizontal="center" vertical="center"/>
    </xf>
    <xf numFmtId="0" fontId="10" fillId="7" borderId="46" xfId="0" applyFont="1" applyFill="1" applyBorder="1" applyAlignment="1">
      <alignment horizontal="center" vertical="center"/>
    </xf>
    <xf numFmtId="0" fontId="71" fillId="13" borderId="46" xfId="0" applyFont="1" applyFill="1" applyBorder="1" applyAlignment="1">
      <alignment horizontal="center"/>
    </xf>
    <xf numFmtId="0" fontId="71" fillId="13" borderId="47" xfId="0" applyFont="1" applyFill="1" applyBorder="1" applyAlignment="1">
      <alignment horizontal="center"/>
    </xf>
    <xf numFmtId="0" fontId="15" fillId="4" borderId="44" xfId="0" applyFont="1" applyFill="1" applyBorder="1" applyAlignment="1">
      <alignment horizontal="center"/>
    </xf>
    <xf numFmtId="0" fontId="15" fillId="4" borderId="45" xfId="0" applyFont="1" applyFill="1" applyBorder="1" applyAlignment="1">
      <alignment horizontal="center"/>
    </xf>
    <xf numFmtId="0" fontId="15" fillId="4" borderId="54" xfId="0" applyFont="1" applyFill="1" applyBorder="1" applyAlignment="1">
      <alignment horizontal="center"/>
    </xf>
    <xf numFmtId="0" fontId="15" fillId="4" borderId="55" xfId="0" applyFont="1" applyFill="1" applyBorder="1" applyAlignment="1">
      <alignment horizontal="center"/>
    </xf>
    <xf numFmtId="0" fontId="10" fillId="7" borderId="56" xfId="0" applyFont="1" applyFill="1" applyBorder="1" applyAlignment="1">
      <alignment horizontal="center" vertical="center"/>
    </xf>
    <xf numFmtId="0" fontId="71" fillId="13" borderId="56" xfId="0" applyFont="1" applyFill="1" applyBorder="1" applyAlignment="1">
      <alignment horizontal="center"/>
    </xf>
    <xf numFmtId="0" fontId="71" fillId="13" borderId="57" xfId="0" applyFont="1" applyFill="1" applyBorder="1" applyAlignment="1">
      <alignment horizontal="center"/>
    </xf>
    <xf numFmtId="0" fontId="8" fillId="0" borderId="5" xfId="0" applyFont="1" applyBorder="1" applyAlignment="1">
      <alignment horizontal="center"/>
    </xf>
    <xf numFmtId="0" fontId="15" fillId="4" borderId="5" xfId="0" applyFont="1" applyFill="1" applyBorder="1" applyAlignment="1">
      <alignment horizontal="center"/>
    </xf>
    <xf numFmtId="0" fontId="34" fillId="8" borderId="14" xfId="0" applyFont="1" applyFill="1" applyBorder="1" applyAlignment="1">
      <alignment horizontal="center" vertical="center" wrapText="1"/>
    </xf>
    <xf numFmtId="0" fontId="34" fillId="8" borderId="23" xfId="0" applyFont="1" applyFill="1" applyBorder="1" applyAlignment="1">
      <alignment horizontal="center" vertical="center" wrapText="1"/>
    </xf>
    <xf numFmtId="0" fontId="34" fillId="8" borderId="24" xfId="0" applyFont="1" applyFill="1" applyBorder="1" applyAlignment="1">
      <alignment horizontal="center" vertical="center" wrapText="1"/>
    </xf>
    <xf numFmtId="2" fontId="15" fillId="13" borderId="30" xfId="0" applyNumberFormat="1" applyFont="1" applyFill="1" applyBorder="1" applyAlignment="1">
      <alignment horizontal="center" vertical="center"/>
    </xf>
    <xf numFmtId="2" fontId="15" fillId="13" borderId="0" xfId="0" applyNumberFormat="1" applyFont="1" applyFill="1" applyAlignment="1">
      <alignment horizontal="center" vertical="center"/>
    </xf>
    <xf numFmtId="0" fontId="15" fillId="13" borderId="30" xfId="0" applyFont="1" applyFill="1" applyBorder="1" applyAlignment="1">
      <alignment horizontal="center" vertical="center"/>
    </xf>
    <xf numFmtId="0" fontId="15" fillId="13" borderId="0" xfId="0" applyFont="1" applyFill="1" applyAlignment="1">
      <alignment horizontal="center" vertical="center"/>
    </xf>
    <xf numFmtId="2" fontId="29" fillId="13" borderId="5" xfId="0" applyNumberFormat="1" applyFont="1" applyFill="1" applyBorder="1" applyAlignment="1">
      <alignment horizontal="center"/>
    </xf>
    <xf numFmtId="0" fontId="15" fillId="13" borderId="82" xfId="0" applyFont="1" applyFill="1" applyBorder="1" applyAlignment="1">
      <alignment horizontal="center" vertical="center"/>
    </xf>
    <xf numFmtId="0" fontId="15" fillId="13" borderId="35" xfId="0" applyFont="1" applyFill="1" applyBorder="1" applyAlignment="1">
      <alignment horizontal="center" vertical="center"/>
    </xf>
    <xf numFmtId="0" fontId="48" fillId="4" borderId="33" xfId="0" applyFont="1" applyFill="1" applyBorder="1" applyAlignment="1">
      <alignment horizontal="center" vertical="center"/>
    </xf>
    <xf numFmtId="0" fontId="48" fillId="4" borderId="34" xfId="0" applyFont="1" applyFill="1" applyBorder="1" applyAlignment="1">
      <alignment horizontal="center" vertical="center"/>
    </xf>
    <xf numFmtId="0" fontId="48" fillId="4" borderId="36" xfId="0" applyFont="1" applyFill="1" applyBorder="1" applyAlignment="1">
      <alignment horizontal="center" vertical="center"/>
    </xf>
    <xf numFmtId="0" fontId="10" fillId="4" borderId="40" xfId="0" applyFont="1" applyFill="1" applyBorder="1" applyAlignment="1">
      <alignment horizontal="center" vertical="center" wrapText="1"/>
    </xf>
    <xf numFmtId="0" fontId="10" fillId="4" borderId="38" xfId="0" applyFont="1" applyFill="1" applyBorder="1" applyAlignment="1">
      <alignment horizontal="center" vertical="center" wrapText="1"/>
    </xf>
    <xf numFmtId="0" fontId="10" fillId="4" borderId="90" xfId="0" applyFont="1" applyFill="1" applyBorder="1" applyAlignment="1">
      <alignment horizontal="center" vertical="center" wrapText="1"/>
    </xf>
    <xf numFmtId="0" fontId="48" fillId="4" borderId="69" xfId="0" applyFont="1" applyFill="1" applyBorder="1" applyAlignment="1">
      <alignment horizontal="center" vertical="center" wrapText="1"/>
    </xf>
    <xf numFmtId="0" fontId="48" fillId="4" borderId="35" xfId="0" applyFont="1" applyFill="1" applyBorder="1" applyAlignment="1">
      <alignment horizontal="center" vertical="center" wrapText="1"/>
    </xf>
    <xf numFmtId="0" fontId="48" fillId="4" borderId="87" xfId="0" applyFont="1" applyFill="1" applyBorder="1" applyAlignment="1">
      <alignment horizontal="center" vertical="center" wrapText="1"/>
    </xf>
  </cellXfs>
  <cellStyles count="3">
    <cellStyle name="Currency" xfId="1" builtinId="4" customBuiltin="1"/>
    <cellStyle name="Normal" xfId="0" builtinId="0" customBuiltin="1"/>
    <cellStyle name="Percent" xfId="2" builtinId="5"/>
  </cellStyles>
  <dxfs count="266">
    <dxf>
      <font>
        <color theme="1"/>
      </font>
      <fill>
        <patternFill>
          <bgColor rgb="FFC00000"/>
        </patternFill>
      </fill>
    </dxf>
    <dxf>
      <font>
        <color auto="1"/>
      </font>
      <fill>
        <patternFill>
          <bgColor theme="8" tint="-0.24994659260841701"/>
        </patternFill>
      </fill>
    </dxf>
    <dxf>
      <font>
        <color theme="1"/>
      </font>
      <fill>
        <patternFill>
          <bgColor theme="3" tint="0.89996032593768116"/>
        </patternFill>
      </fill>
    </dxf>
    <dxf>
      <font>
        <color theme="1"/>
      </font>
      <fill>
        <patternFill>
          <bgColor theme="5" tint="-0.499984740745262"/>
        </patternFill>
      </fill>
    </dxf>
    <dxf>
      <font>
        <color theme="0"/>
      </font>
      <fill>
        <patternFill>
          <bgColor theme="3" tint="9.9948118533890809E-2"/>
        </patternFill>
      </fill>
    </dxf>
    <dxf>
      <fill>
        <patternFill>
          <bgColor rgb="FFC00000"/>
        </patternFill>
      </fill>
    </dxf>
    <dxf>
      <fill>
        <patternFill>
          <bgColor theme="4" tint="-0.499984740745262"/>
        </patternFill>
      </fill>
    </dxf>
    <dxf>
      <fill>
        <patternFill>
          <bgColor rgb="FF660066"/>
        </patternFill>
      </fill>
    </dxf>
    <dxf>
      <fill>
        <patternFill>
          <bgColor theme="5" tint="-0.499984740745262"/>
        </patternFill>
      </fill>
    </dxf>
    <dxf>
      <fill>
        <patternFill>
          <bgColor theme="3" tint="9.9948118533890809E-2"/>
        </patternFill>
      </fill>
    </dxf>
    <dxf>
      <fill>
        <patternFill>
          <bgColor rgb="FFC00000"/>
        </patternFill>
      </fill>
    </dxf>
    <dxf>
      <font>
        <color auto="1"/>
      </font>
      <fill>
        <patternFill>
          <bgColor theme="3" tint="0.89996032593768116"/>
        </patternFill>
      </fill>
    </dxf>
    <dxf>
      <fill>
        <patternFill>
          <bgColor rgb="FF660066"/>
        </patternFill>
      </fill>
    </dxf>
    <dxf>
      <font>
        <color auto="1"/>
      </font>
      <fill>
        <patternFill>
          <bgColor theme="3" tint="0.89996032593768116"/>
        </patternFill>
      </fill>
    </dxf>
    <dxf>
      <fill>
        <patternFill>
          <bgColor theme="3" tint="9.9948118533890809E-2"/>
        </patternFill>
      </fill>
    </dxf>
    <dxf>
      <fill>
        <patternFill>
          <bgColor theme="5" tint="-0.499984740745262"/>
        </patternFill>
      </fill>
    </dxf>
    <dxf>
      <fill>
        <patternFill>
          <bgColor rgb="FFC00000"/>
        </patternFill>
      </fill>
    </dxf>
    <dxf>
      <fill>
        <patternFill>
          <bgColor rgb="FF660066"/>
        </patternFill>
      </fill>
    </dxf>
    <dxf>
      <font>
        <color auto="1"/>
      </font>
      <fill>
        <patternFill>
          <bgColor theme="3" tint="0.89996032593768116"/>
        </patternFill>
      </fill>
    </dxf>
    <dxf>
      <fill>
        <patternFill>
          <bgColor rgb="FFC00000"/>
        </patternFill>
      </fill>
    </dxf>
    <dxf>
      <fill>
        <patternFill>
          <bgColor theme="3" tint="9.9948118533890809E-2"/>
        </patternFill>
      </fill>
    </dxf>
    <dxf>
      <fill>
        <patternFill>
          <bgColor theme="5" tint="-0.499984740745262"/>
        </patternFill>
      </fill>
    </dxf>
    <dxf>
      <fill>
        <patternFill>
          <bgColor rgb="FF660066"/>
        </patternFill>
      </fill>
    </dxf>
    <dxf>
      <font>
        <color auto="1"/>
      </font>
      <fill>
        <patternFill>
          <bgColor theme="3" tint="0.89996032593768116"/>
        </patternFill>
      </fill>
    </dxf>
    <dxf>
      <fill>
        <patternFill>
          <bgColor rgb="FFC00000"/>
        </patternFill>
      </fill>
    </dxf>
    <dxf>
      <fill>
        <patternFill>
          <bgColor theme="3" tint="9.9948118533890809E-2"/>
        </patternFill>
      </fill>
    </dxf>
    <dxf>
      <fill>
        <patternFill>
          <bgColor theme="5" tint="-0.499984740745262"/>
        </patternFill>
      </fill>
    </dxf>
    <dxf>
      <fill>
        <patternFill>
          <bgColor rgb="FF660066"/>
        </patternFill>
      </fill>
    </dxf>
    <dxf>
      <font>
        <color auto="1"/>
      </font>
      <fill>
        <patternFill>
          <bgColor theme="3" tint="0.89996032593768116"/>
        </patternFill>
      </fill>
    </dxf>
    <dxf>
      <fill>
        <patternFill>
          <bgColor rgb="FFC00000"/>
        </patternFill>
      </fill>
    </dxf>
    <dxf>
      <fill>
        <patternFill>
          <bgColor theme="5" tint="-0.499984740745262"/>
        </patternFill>
      </fill>
    </dxf>
    <dxf>
      <fill>
        <patternFill>
          <bgColor theme="3" tint="9.9948118533890809E-2"/>
        </patternFill>
      </fill>
    </dxf>
    <dxf>
      <fill>
        <patternFill>
          <bgColor rgb="FF660066"/>
        </patternFill>
      </fill>
    </dxf>
    <dxf>
      <font>
        <color auto="1"/>
      </font>
      <fill>
        <patternFill>
          <bgColor theme="3" tint="0.89996032593768116"/>
        </patternFill>
      </fill>
    </dxf>
    <dxf>
      <fill>
        <patternFill>
          <bgColor rgb="FFC00000"/>
        </patternFill>
      </fill>
    </dxf>
    <dxf>
      <fill>
        <patternFill>
          <bgColor theme="3" tint="9.9948118533890809E-2"/>
        </patternFill>
      </fill>
    </dxf>
    <dxf>
      <fill>
        <patternFill>
          <bgColor theme="5" tint="-0.499984740745262"/>
        </patternFill>
      </fill>
    </dxf>
    <dxf>
      <fill>
        <patternFill>
          <bgColor theme="5" tint="-0.499984740745262"/>
        </patternFill>
      </fill>
    </dxf>
    <dxf>
      <fill>
        <patternFill>
          <bgColor theme="3" tint="9.9948118533890809E-2"/>
        </patternFill>
      </fill>
    </dxf>
    <dxf>
      <fill>
        <patternFill>
          <bgColor rgb="FFC00000"/>
        </patternFill>
      </fill>
    </dxf>
    <dxf>
      <font>
        <color auto="1"/>
      </font>
      <fill>
        <patternFill>
          <bgColor theme="3" tint="0.89996032593768116"/>
        </patternFill>
      </fill>
    </dxf>
    <dxf>
      <fill>
        <patternFill>
          <bgColor rgb="FF660066"/>
        </patternFill>
      </fill>
    </dxf>
    <dxf>
      <fill>
        <patternFill>
          <bgColor rgb="FFC00000"/>
        </patternFill>
      </fill>
    </dxf>
    <dxf>
      <fill>
        <patternFill>
          <bgColor rgb="FF660066"/>
        </patternFill>
      </fill>
    </dxf>
    <dxf>
      <font>
        <color auto="1"/>
      </font>
      <fill>
        <patternFill>
          <bgColor theme="3" tint="0.89996032593768116"/>
        </patternFill>
      </fill>
    </dxf>
    <dxf>
      <fill>
        <patternFill>
          <bgColor theme="3" tint="9.9948118533890809E-2"/>
        </patternFill>
      </fill>
    </dxf>
    <dxf>
      <fill>
        <patternFill>
          <bgColor theme="5" tint="-0.499984740745262"/>
        </patternFill>
      </fill>
    </dxf>
    <dxf>
      <font>
        <color auto="1"/>
      </font>
      <fill>
        <patternFill>
          <bgColor theme="3" tint="0.89996032593768116"/>
        </patternFill>
      </fill>
    </dxf>
    <dxf>
      <fill>
        <patternFill>
          <bgColor rgb="FFC00000"/>
        </patternFill>
      </fill>
    </dxf>
    <dxf>
      <fill>
        <patternFill>
          <bgColor theme="3" tint="9.9948118533890809E-2"/>
        </patternFill>
      </fill>
    </dxf>
    <dxf>
      <fill>
        <patternFill>
          <bgColor theme="5" tint="-0.499984740745262"/>
        </patternFill>
      </fill>
    </dxf>
    <dxf>
      <fill>
        <patternFill>
          <bgColor rgb="FF660066"/>
        </patternFill>
      </fill>
    </dxf>
    <dxf>
      <font>
        <color auto="1"/>
      </font>
      <fill>
        <patternFill>
          <bgColor theme="3" tint="0.89996032593768116"/>
        </patternFill>
      </fill>
    </dxf>
    <dxf>
      <fill>
        <patternFill>
          <bgColor rgb="FFC00000"/>
        </patternFill>
      </fill>
    </dxf>
    <dxf>
      <fill>
        <patternFill>
          <bgColor theme="3" tint="9.9948118533890809E-2"/>
        </patternFill>
      </fill>
    </dxf>
    <dxf>
      <fill>
        <patternFill>
          <bgColor theme="5" tint="-0.499984740745262"/>
        </patternFill>
      </fill>
    </dxf>
    <dxf>
      <fill>
        <patternFill>
          <bgColor rgb="FF660066"/>
        </patternFill>
      </fill>
    </dxf>
    <dxf>
      <fill>
        <patternFill>
          <bgColor rgb="FF660066"/>
        </patternFill>
      </fill>
    </dxf>
    <dxf>
      <font>
        <color auto="1"/>
      </font>
      <fill>
        <patternFill>
          <bgColor theme="3" tint="0.89996032593768116"/>
        </patternFill>
      </fill>
    </dxf>
    <dxf>
      <fill>
        <patternFill>
          <bgColor theme="3" tint="9.9948118533890809E-2"/>
        </patternFill>
      </fill>
    </dxf>
    <dxf>
      <fill>
        <patternFill>
          <bgColor theme="5" tint="-0.499984740745262"/>
        </patternFill>
      </fill>
    </dxf>
    <dxf>
      <fill>
        <patternFill>
          <bgColor rgb="FFC00000"/>
        </patternFill>
      </fill>
    </dxf>
    <dxf>
      <fill>
        <patternFill>
          <bgColor theme="5" tint="-0.499984740745262"/>
        </patternFill>
      </fill>
    </dxf>
    <dxf>
      <fill>
        <patternFill>
          <bgColor rgb="FF660066"/>
        </patternFill>
      </fill>
    </dxf>
    <dxf>
      <font>
        <color auto="1"/>
      </font>
      <fill>
        <patternFill>
          <bgColor theme="3" tint="0.89996032593768116"/>
        </patternFill>
      </fill>
    </dxf>
    <dxf>
      <fill>
        <patternFill>
          <bgColor rgb="FFC00000"/>
        </patternFill>
      </fill>
    </dxf>
    <dxf>
      <fill>
        <patternFill>
          <bgColor theme="3" tint="9.9948118533890809E-2"/>
        </patternFill>
      </fill>
    </dxf>
    <dxf>
      <fill>
        <patternFill>
          <bgColor rgb="FF660066"/>
        </patternFill>
      </fill>
    </dxf>
    <dxf>
      <font>
        <color auto="1"/>
      </font>
      <fill>
        <patternFill>
          <bgColor theme="3" tint="0.89996032593768116"/>
        </patternFill>
      </fill>
    </dxf>
    <dxf>
      <fill>
        <patternFill>
          <bgColor rgb="FFC00000"/>
        </patternFill>
      </fill>
    </dxf>
    <dxf>
      <fill>
        <patternFill>
          <bgColor theme="3" tint="9.9948118533890809E-2"/>
        </patternFill>
      </fill>
    </dxf>
    <dxf>
      <fill>
        <patternFill>
          <bgColor theme="5" tint="-0.499984740745262"/>
        </patternFill>
      </fill>
    </dxf>
    <dxf>
      <fill>
        <patternFill>
          <bgColor theme="5" tint="-0.499984740745262"/>
        </patternFill>
      </fill>
    </dxf>
    <dxf>
      <fill>
        <patternFill>
          <bgColor rgb="FF660066"/>
        </patternFill>
      </fill>
    </dxf>
    <dxf>
      <font>
        <color auto="1"/>
      </font>
      <fill>
        <patternFill>
          <bgColor theme="3" tint="0.89996032593768116"/>
        </patternFill>
      </fill>
    </dxf>
    <dxf>
      <fill>
        <patternFill>
          <bgColor rgb="FFC00000"/>
        </patternFill>
      </fill>
    </dxf>
    <dxf>
      <fill>
        <patternFill>
          <bgColor theme="3" tint="9.9948118533890809E-2"/>
        </patternFill>
      </fill>
    </dxf>
    <dxf>
      <fill>
        <patternFill>
          <bgColor theme="5" tint="-0.499984740745262"/>
        </patternFill>
      </fill>
    </dxf>
    <dxf>
      <fill>
        <patternFill>
          <bgColor theme="5" tint="-0.499984740745262"/>
        </patternFill>
      </fill>
    </dxf>
    <dxf>
      <fill>
        <patternFill>
          <bgColor rgb="FF660066"/>
        </patternFill>
      </fill>
    </dxf>
    <dxf>
      <font>
        <color auto="1"/>
      </font>
      <fill>
        <patternFill>
          <bgColor theme="3" tint="0.89996032593768116"/>
        </patternFill>
      </fill>
    </dxf>
    <dxf>
      <fill>
        <patternFill>
          <bgColor rgb="FFC00000"/>
        </patternFill>
      </fill>
    </dxf>
    <dxf>
      <fill>
        <patternFill>
          <bgColor theme="3" tint="9.9948118533890809E-2"/>
        </patternFill>
      </fill>
    </dxf>
    <dxf>
      <fill>
        <patternFill>
          <bgColor rgb="FF660066"/>
        </patternFill>
      </fill>
    </dxf>
    <dxf>
      <fill>
        <patternFill>
          <bgColor theme="5" tint="-0.499984740745262"/>
        </patternFill>
      </fill>
    </dxf>
    <dxf>
      <fill>
        <patternFill>
          <bgColor theme="3" tint="9.9948118533890809E-2"/>
        </patternFill>
      </fill>
    </dxf>
    <dxf>
      <fill>
        <patternFill>
          <bgColor rgb="FFC00000"/>
        </patternFill>
      </fill>
    </dxf>
    <dxf>
      <font>
        <color auto="1"/>
      </font>
      <fill>
        <patternFill>
          <bgColor theme="3" tint="0.89996032593768116"/>
        </patternFill>
      </fill>
    </dxf>
    <dxf>
      <fill>
        <patternFill>
          <bgColor rgb="FF660066"/>
        </patternFill>
      </fill>
    </dxf>
    <dxf>
      <font>
        <color auto="1"/>
      </font>
      <fill>
        <patternFill>
          <bgColor theme="3" tint="0.89996032593768116"/>
        </patternFill>
      </fill>
    </dxf>
    <dxf>
      <fill>
        <patternFill>
          <bgColor rgb="FFC00000"/>
        </patternFill>
      </fill>
    </dxf>
    <dxf>
      <fill>
        <patternFill>
          <bgColor theme="3" tint="9.9948118533890809E-2"/>
        </patternFill>
      </fill>
    </dxf>
    <dxf>
      <fill>
        <patternFill>
          <bgColor theme="5" tint="-0.499984740745262"/>
        </patternFill>
      </fill>
    </dxf>
    <dxf>
      <fill>
        <patternFill>
          <bgColor rgb="FF660066"/>
        </patternFill>
      </fill>
    </dxf>
    <dxf>
      <font>
        <color auto="1"/>
      </font>
      <fill>
        <patternFill>
          <bgColor theme="3" tint="0.89996032593768116"/>
        </patternFill>
      </fill>
    </dxf>
    <dxf>
      <fill>
        <patternFill>
          <bgColor rgb="FFC00000"/>
        </patternFill>
      </fill>
    </dxf>
    <dxf>
      <fill>
        <patternFill>
          <bgColor theme="3" tint="9.9948118533890809E-2"/>
        </patternFill>
      </fill>
    </dxf>
    <dxf>
      <fill>
        <patternFill>
          <bgColor theme="5" tint="-0.499984740745262"/>
        </patternFill>
      </fill>
    </dxf>
    <dxf>
      <fill>
        <patternFill>
          <bgColor theme="3" tint="9.9948118533890809E-2"/>
        </patternFill>
      </fill>
    </dxf>
    <dxf>
      <fill>
        <patternFill>
          <bgColor rgb="FF660066"/>
        </patternFill>
      </fill>
    </dxf>
    <dxf>
      <font>
        <color auto="1"/>
      </font>
      <fill>
        <patternFill>
          <bgColor theme="3" tint="0.89996032593768116"/>
        </patternFill>
      </fill>
    </dxf>
    <dxf>
      <fill>
        <patternFill>
          <bgColor rgb="FFC00000"/>
        </patternFill>
      </fill>
    </dxf>
    <dxf>
      <fill>
        <patternFill>
          <bgColor theme="5" tint="-0.499984740745262"/>
        </patternFill>
      </fill>
    </dxf>
    <dxf>
      <font>
        <strike val="0"/>
        <outline val="0"/>
        <shadow val="0"/>
        <u val="none"/>
        <vertAlign val="baseline"/>
        <sz val="11"/>
        <color theme="0"/>
        <name val="Aptos Narrow"/>
        <family val="2"/>
        <scheme val="none"/>
      </font>
      <fill>
        <patternFill>
          <fgColor indexed="64"/>
          <bgColor theme="2" tint="-0.89999084444715716"/>
        </patternFill>
      </fill>
    </dxf>
    <dxf>
      <font>
        <strike val="0"/>
        <outline val="0"/>
        <shadow val="0"/>
        <u val="none"/>
        <vertAlign val="baseline"/>
        <sz val="11"/>
        <color theme="0"/>
        <name val="Aptos Narrow"/>
        <family val="2"/>
        <scheme val="none"/>
      </font>
      <fill>
        <patternFill>
          <fgColor indexed="64"/>
          <bgColor theme="2" tint="-0.89999084444715716"/>
        </patternFill>
      </fill>
    </dxf>
    <dxf>
      <font>
        <strike val="0"/>
        <outline val="0"/>
        <shadow val="0"/>
        <u val="none"/>
        <vertAlign val="baseline"/>
        <sz val="11"/>
        <color theme="0"/>
        <name val="Aptos Narrow"/>
        <family val="2"/>
        <scheme val="none"/>
      </font>
      <fill>
        <patternFill>
          <fgColor indexed="64"/>
          <bgColor theme="2" tint="-0.89999084444715716"/>
        </patternFill>
      </fill>
      <border diagonalUp="0" diagonalDown="0" outline="0">
        <left style="thin">
          <color theme="0"/>
        </left>
        <right/>
        <top/>
        <bottom/>
      </border>
    </dxf>
    <dxf>
      <font>
        <b/>
        <i val="0"/>
        <strike val="0"/>
        <condense val="0"/>
        <extend val="0"/>
        <outline val="0"/>
        <shadow val="0"/>
        <u val="none"/>
        <vertAlign val="baseline"/>
        <sz val="11"/>
        <color theme="0"/>
        <name val="Aptos Narrow"/>
        <family val="2"/>
        <scheme val="none"/>
      </font>
      <fill>
        <patternFill patternType="solid">
          <fgColor indexed="64"/>
          <bgColor theme="2" tint="-0.89999084444715716"/>
        </patternFill>
      </fill>
      <border diagonalUp="0" diagonalDown="0" outline="0">
        <left style="thin">
          <color theme="0"/>
        </left>
        <right style="thin">
          <color theme="0"/>
        </right>
        <top/>
        <bottom/>
      </border>
    </dxf>
    <dxf>
      <font>
        <b/>
        <i val="0"/>
        <strike val="0"/>
        <condense val="0"/>
        <extend val="0"/>
        <outline val="0"/>
        <shadow val="0"/>
        <u val="none"/>
        <vertAlign val="baseline"/>
        <sz val="11"/>
        <color theme="0"/>
        <name val="Aptos Narrow"/>
        <family val="2"/>
        <scheme val="none"/>
      </font>
      <fill>
        <patternFill patternType="solid">
          <fgColor indexed="64"/>
          <bgColor theme="2" tint="-0.89999084444715716"/>
        </patternFill>
      </fill>
      <border diagonalUp="0" diagonalDown="0">
        <left style="thin">
          <color theme="0"/>
        </left>
        <right/>
        <top/>
        <bottom/>
        <vertical/>
        <horizontal/>
      </border>
    </dxf>
    <dxf>
      <font>
        <b/>
        <strike val="0"/>
        <outline val="0"/>
        <shadow val="0"/>
        <u val="none"/>
        <vertAlign val="baseline"/>
        <sz val="11"/>
        <color theme="0"/>
        <name val="Aptos Narrow"/>
        <family val="2"/>
        <scheme val="none"/>
      </font>
      <fill>
        <patternFill>
          <fgColor indexed="64"/>
          <bgColor theme="2" tint="-0.89999084444715716"/>
        </patternFill>
      </fill>
    </dxf>
    <dxf>
      <numFmt numFmtId="166" formatCode="0.000"/>
    </dxf>
    <dxf>
      <numFmt numFmtId="166" formatCode="0.000"/>
      <border diagonalUp="0" diagonalDown="0" outline="0">
        <left/>
        <right/>
        <top style="thin">
          <color indexed="64"/>
        </top>
        <bottom style="thin">
          <color indexed="64"/>
        </bottom>
      </border>
    </dxf>
    <dxf>
      <numFmt numFmtId="168" formatCode="0.000000"/>
      <alignment horizontal="left" vertical="bottom" textRotation="0" wrapText="0" indent="0" justifyLastLine="0" shrinkToFit="0" readingOrder="0"/>
      <border diagonalUp="0" diagonalDown="0" outline="0">
        <left/>
        <right/>
        <top style="thin">
          <color auto="1"/>
        </top>
        <bottom style="thin">
          <color auto="1"/>
        </bottom>
      </border>
    </dxf>
    <dxf>
      <font>
        <b val="0"/>
        <i val="0"/>
        <strike val="0"/>
        <condense val="0"/>
        <extend val="0"/>
        <outline val="0"/>
        <shadow val="0"/>
        <u val="none"/>
        <vertAlign val="baseline"/>
        <sz val="9"/>
        <color auto="1"/>
        <name val="Courier New"/>
        <family val="3"/>
        <charset val="186"/>
        <scheme val="none"/>
      </font>
      <numFmt numFmtId="168" formatCode="0.000000"/>
      <fill>
        <patternFill patternType="solid">
          <fgColor indexed="64"/>
          <bgColor theme="0"/>
        </patternFill>
      </fill>
      <alignment horizontal="left" vertical="center" textRotation="0" wrapText="1" indent="0" justifyLastLine="0" shrinkToFit="0" readingOrder="0"/>
      <border diagonalUp="0" diagonalDown="0">
        <left/>
        <right/>
        <top style="thin">
          <color auto="1"/>
        </top>
        <bottom style="thin">
          <color auto="1"/>
        </bottom>
      </border>
    </dxf>
    <dxf>
      <font>
        <b val="0"/>
        <i val="0"/>
        <strike val="0"/>
        <condense val="0"/>
        <extend val="0"/>
        <outline val="0"/>
        <shadow val="0"/>
        <u val="none"/>
        <vertAlign val="baseline"/>
        <sz val="8"/>
        <color theme="1"/>
        <name val="Courier New"/>
        <family val="3"/>
        <charset val="186"/>
        <scheme val="none"/>
      </font>
      <numFmt numFmtId="168" formatCode="0.000000"/>
      <alignment horizontal="left" vertical="bottom" textRotation="0" wrapText="0" indent="0" justifyLastLine="0" shrinkToFit="0" readingOrder="0"/>
      <border diagonalUp="0" diagonalDown="0">
        <left/>
        <right/>
        <top style="thin">
          <color auto="1"/>
        </top>
        <bottom style="thin">
          <color auto="1"/>
        </bottom>
      </border>
    </dxf>
    <dxf>
      <font>
        <b val="0"/>
        <i val="0"/>
        <strike val="0"/>
        <condense val="0"/>
        <extend val="0"/>
        <outline val="0"/>
        <shadow val="0"/>
        <u val="none"/>
        <vertAlign val="baseline"/>
        <sz val="9"/>
        <color auto="1"/>
        <name val="Inter"/>
        <family val="2"/>
        <charset val="186"/>
        <scheme val="none"/>
      </font>
      <numFmt numFmtId="0" formatCode="General"/>
      <fill>
        <patternFill patternType="solid">
          <fgColor indexed="64"/>
          <bgColor theme="0"/>
        </patternFill>
      </fill>
      <alignment horizontal="left" vertical="center" textRotation="0" wrapText="1" indent="1" justifyLastLine="0" shrinkToFit="0" readingOrder="0"/>
      <border diagonalUp="0" diagonalDown="0" outline="0">
        <left/>
        <right/>
        <top style="thin">
          <color auto="1"/>
        </top>
        <bottom style="thin">
          <color auto="1"/>
        </bottom>
      </border>
    </dxf>
    <dxf>
      <font>
        <b/>
        <i val="0"/>
        <strike val="0"/>
        <condense val="0"/>
        <extend val="0"/>
        <outline val="0"/>
        <shadow val="0"/>
        <u val="none"/>
        <vertAlign val="baseline"/>
        <sz val="9"/>
        <color auto="1"/>
        <name val="Inter"/>
        <family val="2"/>
        <charset val="186"/>
        <scheme val="none"/>
      </font>
      <fill>
        <patternFill patternType="solid">
          <fgColor indexed="64"/>
          <bgColor theme="0"/>
        </patternFill>
      </fill>
      <alignment horizontal="left" vertical="center" textRotation="0" wrapText="1" indent="1" justifyLastLine="0" shrinkToFit="0" readingOrder="0"/>
      <border diagonalUp="0" diagonalDown="0">
        <left/>
        <right/>
        <top style="thin">
          <color auto="1"/>
        </top>
        <bottom style="thin">
          <color auto="1"/>
        </bottom>
        <vertical/>
        <horizontal/>
      </border>
    </dxf>
    <dxf>
      <font>
        <b/>
        <i val="0"/>
        <strike val="0"/>
        <condense val="0"/>
        <extend val="0"/>
        <outline val="0"/>
        <shadow val="0"/>
        <u val="none"/>
        <vertAlign val="baseline"/>
        <sz val="9"/>
        <color auto="1"/>
        <name val="Inter"/>
        <family val="2"/>
        <charset val="186"/>
        <scheme val="none"/>
      </font>
      <fill>
        <patternFill patternType="solid">
          <fgColor indexed="64"/>
          <bgColor theme="0"/>
        </patternFill>
      </fill>
      <alignment horizontal="left" vertical="center" textRotation="0" wrapText="1" indent="1" justifyLastLine="0" shrinkToFit="0" readingOrder="0"/>
      <border diagonalUp="0" diagonalDown="0">
        <left/>
        <right/>
        <top style="thin">
          <color auto="1"/>
        </top>
        <bottom style="thin">
          <color auto="1"/>
        </bottom>
        <vertical/>
        <horizontal/>
      </border>
    </dxf>
    <dxf>
      <font>
        <b val="0"/>
        <i val="0"/>
        <strike val="0"/>
        <condense val="0"/>
        <extend val="0"/>
        <outline val="0"/>
        <shadow val="0"/>
        <u val="none"/>
        <vertAlign val="baseline"/>
        <sz val="9"/>
        <color auto="1"/>
        <name val="Inter"/>
        <family val="2"/>
        <charset val="186"/>
        <scheme val="none"/>
      </font>
      <fill>
        <patternFill patternType="solid">
          <fgColor indexed="64"/>
          <bgColor theme="0"/>
        </patternFill>
      </fill>
      <alignment horizontal="left" vertical="center" textRotation="0" wrapText="1" indent="1" justifyLastLine="0" shrinkToFit="0" readingOrder="0"/>
      <border diagonalUp="0" diagonalDown="0">
        <left style="thin">
          <color theme="1"/>
        </left>
        <right/>
        <top style="thin">
          <color indexed="64"/>
        </top>
        <bottom style="thin">
          <color indexed="64"/>
        </bottom>
        <vertical/>
        <horizontal/>
      </border>
    </dxf>
    <dxf>
      <border outline="0">
        <bottom style="thin">
          <color theme="1"/>
        </bottom>
      </border>
    </dxf>
    <dxf>
      <font>
        <b/>
        <i val="0"/>
        <strike val="0"/>
        <condense val="0"/>
        <extend val="0"/>
        <outline val="0"/>
        <shadow val="0"/>
        <u val="none"/>
        <vertAlign val="baseline"/>
        <sz val="9"/>
        <color theme="0"/>
        <name val="Inter"/>
        <family val="2"/>
        <charset val="186"/>
        <scheme val="none"/>
      </font>
      <fill>
        <patternFill patternType="solid">
          <fgColor indexed="64"/>
          <bgColor theme="1"/>
        </patternFill>
      </fill>
      <alignment horizontal="left" vertical="center" textRotation="0" wrapText="1" indent="1" justifyLastLine="0" shrinkToFit="0" readingOrder="0"/>
    </dxf>
    <dxf>
      <font>
        <b val="0"/>
        <i val="0"/>
        <strike val="0"/>
        <condense val="0"/>
        <extend val="0"/>
        <outline val="0"/>
        <shadow val="0"/>
        <u val="none"/>
        <vertAlign val="baseline"/>
        <sz val="8"/>
        <color auto="1"/>
        <name val="Courier New"/>
        <family val="3"/>
        <charset val="186"/>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8"/>
        <color theme="0"/>
        <name val="Courier New"/>
        <family val="3"/>
        <charset val="186"/>
        <scheme val="none"/>
      </font>
      <numFmt numFmtId="166" formatCode="0.000"/>
      <fill>
        <patternFill patternType="solid">
          <fgColor indexed="64"/>
          <bgColor rgb="FF191919"/>
        </patternFill>
      </fill>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8"/>
        <color theme="0"/>
        <name val="Courier New"/>
        <family val="3"/>
        <charset val="186"/>
        <scheme val="none"/>
      </font>
      <numFmt numFmtId="166" formatCode="0.000"/>
      <fill>
        <patternFill patternType="solid">
          <fgColor indexed="64"/>
          <bgColor rgb="FF191919"/>
        </patternFill>
      </fill>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8"/>
        <color theme="0"/>
        <name val="Courier New"/>
        <family val="3"/>
        <charset val="186"/>
        <scheme val="none"/>
      </font>
      <numFmt numFmtId="166" formatCode="0.000"/>
      <fill>
        <patternFill patternType="solid">
          <fgColor indexed="64"/>
          <bgColor theme="2" tint="-0.89999084444715716"/>
        </patternFill>
      </fill>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8"/>
        <color auto="1"/>
        <name val="Courier New"/>
        <family val="3"/>
        <charset val="186"/>
        <scheme val="none"/>
      </font>
      <numFmt numFmtId="166" formatCode="0.000"/>
      <fill>
        <patternFill patternType="solid">
          <fgColor indexed="64"/>
          <bgColor rgb="FF191919"/>
        </patternFill>
      </fill>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border>
    </dxf>
    <dxf>
      <font>
        <b val="0"/>
        <i val="0"/>
        <strike val="0"/>
        <condense val="0"/>
        <extend val="0"/>
        <outline val="0"/>
        <shadow val="0"/>
        <u val="none"/>
        <vertAlign val="baseline"/>
        <sz val="8"/>
        <color auto="1"/>
        <name val="Courier New"/>
        <family val="3"/>
        <charset val="186"/>
        <scheme val="none"/>
      </font>
      <numFmt numFmtId="166" formatCode="0.000"/>
      <fill>
        <patternFill patternType="solid">
          <fgColor indexed="64"/>
          <bgColor rgb="FF191919"/>
        </patternFill>
      </fill>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8"/>
        <color theme="0"/>
        <name val="Courier New"/>
        <family val="3"/>
        <charset val="186"/>
        <scheme val="none"/>
      </font>
      <numFmt numFmtId="0" formatCode="General"/>
      <fill>
        <patternFill patternType="solid">
          <fgColor indexed="64"/>
          <bgColor theme="2" tint="-0.89999084444715716"/>
        </patternFill>
      </fill>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8"/>
        <color auto="1"/>
        <name val="Courier New"/>
        <family val="3"/>
        <charset val="186"/>
        <scheme val="none"/>
      </font>
      <numFmt numFmtId="0" formatCode="General"/>
      <fill>
        <patternFill patternType="solid">
          <fgColor indexed="64"/>
          <bgColor rgb="FF191919"/>
        </patternFill>
      </fill>
      <alignment horizontal="center" vertical="center" textRotation="0" wrapText="1" indent="0" justifyLastLine="0" shrinkToFit="0" readingOrder="0"/>
      <border diagonalUp="0" diagonalDown="0" outline="0">
        <left style="thin">
          <color theme="1"/>
        </left>
        <right/>
        <top style="thin">
          <color theme="1"/>
        </top>
        <bottom style="thin">
          <color theme="1"/>
        </bottom>
      </border>
    </dxf>
    <dxf>
      <font>
        <b val="0"/>
        <i val="0"/>
        <strike val="0"/>
        <condense val="0"/>
        <extend val="0"/>
        <outline val="0"/>
        <shadow val="0"/>
        <u val="none"/>
        <vertAlign val="baseline"/>
        <sz val="8"/>
        <color rgb="FFE2E2E5"/>
        <name val="Courier New"/>
        <family val="3"/>
        <charset val="186"/>
        <scheme val="none"/>
      </font>
      <fill>
        <patternFill patternType="solid">
          <fgColor indexed="64"/>
          <bgColor rgb="FF191919"/>
        </patternFill>
      </fill>
      <alignment horizontal="center" vertical="center" textRotation="0" wrapText="1" indent="0" justifyLastLine="0" shrinkToFit="0" readingOrder="0"/>
      <border diagonalUp="0" diagonalDown="0" outline="0">
        <left style="thin">
          <color indexed="64"/>
        </left>
        <right style="thin">
          <color theme="1"/>
        </right>
        <top style="thin">
          <color indexed="64"/>
        </top>
        <bottom style="thin">
          <color indexed="64"/>
        </bottom>
      </border>
    </dxf>
    <dxf>
      <font>
        <b val="0"/>
        <i val="0"/>
        <strike val="0"/>
        <condense val="0"/>
        <extend val="0"/>
        <outline val="0"/>
        <shadow val="0"/>
        <u val="none"/>
        <vertAlign val="baseline"/>
        <sz val="8"/>
        <color rgb="FFE2E2E5"/>
        <name val="Courier New"/>
        <family val="3"/>
        <charset val="186"/>
        <scheme val="none"/>
      </font>
      <fill>
        <patternFill patternType="solid">
          <fgColor indexed="64"/>
          <bgColor rgb="FF191919"/>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E2E2E5"/>
        <name val="Courier New"/>
        <family val="3"/>
        <charset val="186"/>
        <scheme val="none"/>
      </font>
      <fill>
        <patternFill patternType="solid">
          <fgColor indexed="64"/>
          <bgColor rgb="FF191919"/>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E2E2E5"/>
        <name val="Courier New"/>
        <family val="3"/>
        <charset val="186"/>
        <scheme val="none"/>
      </font>
      <fill>
        <patternFill patternType="solid">
          <fgColor indexed="64"/>
          <bgColor rgb="FF191919"/>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E2E2E5"/>
        <name val="Inter"/>
        <family val="2"/>
        <charset val="186"/>
        <scheme val="none"/>
      </font>
      <fill>
        <patternFill patternType="solid">
          <fgColor indexed="64"/>
          <bgColor rgb="FF191919"/>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E2E2E5"/>
        <name val="Inter"/>
        <family val="2"/>
        <charset val="186"/>
        <scheme val="none"/>
      </font>
      <fill>
        <patternFill patternType="solid">
          <fgColor indexed="64"/>
          <bgColor rgb="FF191919"/>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E2E2E5"/>
        <name val="Inter"/>
        <family val="2"/>
        <charset val="186"/>
        <scheme val="none"/>
      </font>
      <fill>
        <patternFill patternType="solid">
          <fgColor indexed="64"/>
          <bgColor rgb="FF191919"/>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E2E2E5"/>
        <name val="Inter"/>
        <family val="2"/>
        <charset val="186"/>
        <scheme val="none"/>
      </font>
      <fill>
        <patternFill patternType="solid">
          <fgColor indexed="64"/>
          <bgColor theme="1"/>
        </patternFill>
      </fill>
      <alignment horizontal="left" vertical="center" textRotation="0" wrapText="1" indent="1" justifyLastLine="0" shrinkToFit="0" readingOrder="0"/>
    </dxf>
    <dxf>
      <font>
        <b/>
        <i val="0"/>
        <strike val="0"/>
        <condense val="0"/>
        <extend val="0"/>
        <outline val="0"/>
        <shadow val="0"/>
        <u val="none"/>
        <vertAlign val="baseline"/>
        <sz val="8"/>
        <color rgb="FFE2E2E5"/>
        <name val="Inter"/>
        <family val="2"/>
        <charset val="186"/>
        <scheme val="none"/>
      </font>
      <fill>
        <patternFill patternType="solid">
          <fgColor indexed="64"/>
          <bgColor theme="1"/>
        </patternFill>
      </fill>
      <alignment horizontal="left" vertical="center" textRotation="0" wrapText="1" indent="0" justifyLastLine="0" shrinkToFit="0" readingOrder="0"/>
    </dxf>
    <dxf>
      <font>
        <strike val="0"/>
        <outline val="0"/>
        <shadow val="0"/>
        <u val="none"/>
        <vertAlign val="baseline"/>
        <color theme="0"/>
      </font>
      <numFmt numFmtId="167" formatCode="0.0000"/>
      <fill>
        <patternFill>
          <bgColor theme="1"/>
        </patternFill>
      </fill>
      <alignment horizontal="right" vertical="bottom" textRotation="0" wrapText="0" indent="0" justifyLastLine="0" shrinkToFit="0" readingOrder="0"/>
    </dxf>
    <dxf>
      <font>
        <strike val="0"/>
        <outline val="0"/>
        <shadow val="0"/>
        <u val="none"/>
        <vertAlign val="baseline"/>
        <color theme="0"/>
      </font>
      <numFmt numFmtId="167" formatCode="0.0000"/>
      <fill>
        <patternFill patternType="solid">
          <fgColor indexed="64"/>
          <bgColor theme="1"/>
        </patternFill>
      </fill>
      <alignment horizontal="right" vertical="bottom" textRotation="0" wrapText="0" indent="0" justifyLastLine="0" shrinkToFit="0" readingOrder="0"/>
    </dxf>
    <dxf>
      <font>
        <strike val="0"/>
        <outline val="0"/>
        <shadow val="0"/>
        <u val="none"/>
        <vertAlign val="baseline"/>
        <color theme="0"/>
      </font>
      <fill>
        <patternFill>
          <bgColor theme="1"/>
        </patternFill>
      </fill>
      <border outline="0">
        <right style="thin">
          <color indexed="64"/>
        </right>
      </border>
    </dxf>
    <dxf>
      <font>
        <strike val="0"/>
        <outline val="0"/>
        <shadow val="0"/>
        <u val="none"/>
        <vertAlign val="baseline"/>
        <color theme="0"/>
      </font>
      <fill>
        <patternFill>
          <bgColor theme="1"/>
        </patternFill>
      </fill>
      <alignment horizontal="right" vertical="bottom" textRotation="0" wrapText="0" indent="0" justifyLastLine="0" shrinkToFit="0" readingOrder="0"/>
    </dxf>
    <dxf>
      <font>
        <strike val="0"/>
        <outline val="0"/>
        <shadow val="0"/>
        <u val="none"/>
        <vertAlign val="baseline"/>
        <color theme="0"/>
      </font>
      <fill>
        <patternFill>
          <bgColor theme="1"/>
        </patternFill>
      </fill>
      <alignment horizontal="right" vertical="bottom" textRotation="0" wrapText="0" indent="0" justifyLastLine="0" shrinkToFit="0" readingOrder="0"/>
    </dxf>
    <dxf>
      <font>
        <strike val="0"/>
        <outline val="0"/>
        <shadow val="0"/>
        <u val="none"/>
        <vertAlign val="baseline"/>
        <color theme="0"/>
      </font>
      <fill>
        <patternFill>
          <bgColor theme="1"/>
        </patternFill>
      </fill>
      <alignment horizontal="right" vertical="bottom" textRotation="0" wrapText="0" indent="0" justifyLastLine="0" shrinkToFit="0" readingOrder="0"/>
    </dxf>
    <dxf>
      <font>
        <b val="0"/>
        <i val="0"/>
        <strike val="0"/>
        <condense val="0"/>
        <extend val="0"/>
        <outline val="0"/>
        <shadow val="0"/>
        <u val="none"/>
        <vertAlign val="baseline"/>
        <sz val="11"/>
        <color theme="0"/>
        <name val="Aptos Narrow"/>
        <family val="2"/>
        <scheme val="none"/>
      </font>
      <numFmt numFmtId="0" formatCode="General"/>
      <fill>
        <patternFill patternType="solid">
          <fgColor indexed="64"/>
          <bgColor theme="1"/>
        </patternFill>
      </fill>
      <border diagonalUp="0" diagonalDown="0">
        <left style="thin">
          <color indexed="64"/>
        </left>
        <right style="thin">
          <color theme="1"/>
        </right>
        <top/>
        <bottom/>
        <vertical/>
        <horizontal/>
      </border>
    </dxf>
    <dxf>
      <font>
        <strike val="0"/>
        <outline val="0"/>
        <shadow val="0"/>
        <u val="none"/>
        <vertAlign val="baseline"/>
        <color theme="0"/>
      </font>
      <fill>
        <patternFill>
          <bgColor theme="1"/>
        </patternFill>
      </fill>
    </dxf>
    <dxf>
      <font>
        <b val="0"/>
        <i val="0"/>
        <strike val="0"/>
        <condense val="0"/>
        <extend val="0"/>
        <outline val="0"/>
        <shadow val="0"/>
        <u val="none"/>
        <vertAlign val="baseline"/>
        <sz val="11"/>
        <color theme="0"/>
        <name val="Aptos Narrow"/>
        <family val="2"/>
        <scheme val="none"/>
      </font>
      <numFmt numFmtId="173" formatCode="0.0000000000000"/>
      <fill>
        <patternFill patternType="solid">
          <fgColor indexed="64"/>
          <bgColor theme="1" tint="0.14999847407452621"/>
        </patternFill>
      </fill>
      <border>
        <left style="thin">
          <color indexed="64"/>
        </left>
      </border>
    </dxf>
    <dxf>
      <font>
        <b val="0"/>
        <i val="0"/>
        <strike val="0"/>
        <condense val="0"/>
        <extend val="0"/>
        <outline val="0"/>
        <shadow val="0"/>
        <u val="none"/>
        <vertAlign val="baseline"/>
        <sz val="11"/>
        <color theme="0"/>
        <name val="Aptos Narrow"/>
        <family val="2"/>
        <scheme val="none"/>
      </font>
      <numFmt numFmtId="170" formatCode="0.00000000"/>
      <fill>
        <patternFill patternType="solid">
          <fgColor indexed="64"/>
          <bgColor theme="1" tint="0.14999847407452621"/>
        </patternFill>
      </fill>
      <border diagonalUp="0" diagonalDown="0" outline="0">
        <left/>
        <right/>
        <top style="thin">
          <color indexed="64"/>
        </top>
        <bottom style="thin">
          <color indexed="64"/>
        </bottom>
      </border>
    </dxf>
    <dxf>
      <numFmt numFmtId="171" formatCode="0.000000000"/>
      <border diagonalUp="0" diagonalDown="0" outline="0">
        <left style="thin">
          <color indexed="64"/>
        </left>
        <right style="thin">
          <color indexed="64"/>
        </right>
        <top/>
        <bottom/>
      </border>
    </dxf>
    <dxf>
      <font>
        <b/>
        <i val="0"/>
        <strike val="0"/>
        <condense val="0"/>
        <extend val="0"/>
        <outline val="0"/>
        <shadow val="0"/>
        <u val="none"/>
        <vertAlign val="baseline"/>
        <sz val="11"/>
        <color rgb="FF000000"/>
        <name val="Aptos Narrow"/>
        <family val="2"/>
        <scheme val="none"/>
      </font>
      <fill>
        <patternFill patternType="solid">
          <fgColor indexed="64"/>
          <bgColor rgb="FFC00000"/>
        </patternFill>
      </fill>
      <border outline="0">
        <right style="thin">
          <color indexed="64"/>
        </right>
      </border>
    </dxf>
    <dxf>
      <font>
        <b/>
        <i val="0"/>
        <strike val="0"/>
        <condense val="0"/>
        <extend val="0"/>
        <outline val="0"/>
        <shadow val="0"/>
        <u val="none"/>
        <vertAlign val="baseline"/>
        <sz val="11"/>
        <color rgb="FF000000"/>
        <name val="Aptos Narrow"/>
        <family val="2"/>
        <scheme val="none"/>
      </font>
      <fill>
        <patternFill patternType="solid">
          <fgColor indexed="64"/>
          <bgColor theme="9" tint="0.39997558519241921"/>
        </patternFill>
      </fill>
      <border diagonalUp="0" diagonalDown="0">
        <left style="thin">
          <color indexed="64"/>
        </left>
        <right style="thin">
          <color indexed="64"/>
        </right>
        <top/>
        <bottom/>
        <vertical/>
        <horizontal/>
      </border>
    </dxf>
    <dxf>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1"/>
        <color rgb="FF000000"/>
        <name val="Aptos Narrow"/>
        <family val="2"/>
        <scheme val="none"/>
      </font>
    </dxf>
    <dxf>
      <numFmt numFmtId="165" formatCode="0.0"/>
      <alignment horizontal="left" vertical="bottom" textRotation="0" wrapText="0" indent="0" justifyLastLine="0" shrinkToFit="0" readingOrder="0"/>
    </dxf>
    <dxf>
      <font>
        <b val="0"/>
        <i val="0"/>
        <strike val="0"/>
        <condense val="0"/>
        <extend val="0"/>
        <outline val="0"/>
        <shadow val="0"/>
        <u val="none"/>
        <vertAlign val="baseline"/>
        <sz val="8"/>
        <color rgb="FF000000"/>
        <name val="Inter"/>
        <family val="2"/>
        <charset val="186"/>
        <scheme val="none"/>
      </font>
    </dxf>
    <dxf>
      <font>
        <b/>
        <i val="0"/>
        <strike val="0"/>
        <condense val="0"/>
        <extend val="0"/>
        <outline val="0"/>
        <shadow val="0"/>
        <u val="none"/>
        <vertAlign val="baseline"/>
        <sz val="11"/>
        <color theme="0"/>
        <name val="Aptos Narrow"/>
        <family val="2"/>
        <scheme val="none"/>
      </font>
      <fill>
        <patternFill patternType="solid">
          <fgColor indexed="64"/>
          <bgColor theme="1" tint="0.14999847407452621"/>
        </patternFill>
      </fill>
      <alignment horizontal="center" vertical="bottom" textRotation="0" wrapText="0" indent="0" justifyLastLine="0" shrinkToFit="0" readingOrder="0"/>
    </dxf>
    <dxf>
      <alignment horizontal="center" vertical="bottom" textRotation="0" wrapText="0" indent="0" justifyLastLine="0" shrinkToFit="0" readingOrder="0"/>
    </dxf>
    <dxf>
      <font>
        <b val="0"/>
        <i/>
        <strike val="0"/>
        <condense val="0"/>
        <extend val="0"/>
        <outline val="0"/>
        <shadow val="0"/>
        <u val="none"/>
        <vertAlign val="baseline"/>
        <sz val="11"/>
        <color rgb="FF000000"/>
        <name val="Aptos Narrow"/>
        <family val="2"/>
        <scheme val="none"/>
      </font>
    </dxf>
    <dxf>
      <border outline="0">
        <left style="thin">
          <color indexed="64"/>
        </left>
        <top style="thin">
          <color indexed="64"/>
        </top>
      </border>
    </dxf>
    <dxf>
      <font>
        <b/>
        <i val="0"/>
        <strike val="0"/>
        <condense val="0"/>
        <extend val="0"/>
        <outline val="0"/>
        <shadow val="0"/>
        <u val="none"/>
        <vertAlign val="baseline"/>
        <sz val="9"/>
        <color rgb="FFE2E2E5"/>
        <name val="Inter"/>
        <family val="2"/>
        <charset val="186"/>
        <scheme val="none"/>
      </font>
      <fill>
        <patternFill patternType="solid">
          <fgColor rgb="FF191919"/>
          <bgColor rgb="FF191919"/>
        </patternFill>
      </fill>
      <alignment horizontal="left" vertical="center" textRotation="0" wrapText="1" indent="1" justifyLastLine="0" shrinkToFit="0" readingOrder="0"/>
    </dxf>
    <dxf>
      <numFmt numFmtId="166" formatCode="0.000"/>
    </dxf>
    <dxf>
      <font>
        <b val="0"/>
        <i val="0"/>
        <strike val="0"/>
        <condense val="0"/>
        <extend val="0"/>
        <outline val="0"/>
        <shadow val="0"/>
        <u val="none"/>
        <vertAlign val="baseline"/>
        <sz val="11"/>
        <color theme="1"/>
        <name val="Aptos Narrow"/>
        <family val="2"/>
        <scheme val="minor"/>
      </font>
      <numFmt numFmtId="166" formatCode="0.000"/>
    </dxf>
    <dxf>
      <font>
        <b val="0"/>
        <i val="0"/>
        <strike val="0"/>
        <condense val="0"/>
        <extend val="0"/>
        <outline val="0"/>
        <shadow val="0"/>
        <u val="none"/>
        <vertAlign val="baseline"/>
        <sz val="11"/>
        <color theme="1"/>
        <name val="Aptos Narrow"/>
        <family val="2"/>
        <scheme val="minor"/>
      </font>
      <numFmt numFmtId="166" formatCode="0.000"/>
      <border diagonalUp="0" diagonalDown="0">
        <left style="thin">
          <color theme="1"/>
        </left>
        <right style="thin">
          <color theme="1"/>
        </right>
        <top style="thin">
          <color theme="1"/>
        </top>
        <bottom style="thin">
          <color theme="1"/>
        </bottom>
        <vertical style="thin">
          <color theme="1"/>
        </vertical>
        <horizontal style="thin">
          <color theme="1"/>
        </horizontal>
      </border>
    </dxf>
    <dxf>
      <font>
        <b val="0"/>
        <i val="0"/>
        <strike val="0"/>
        <condense val="0"/>
        <extend val="0"/>
        <outline val="0"/>
        <shadow val="0"/>
        <u val="none"/>
        <vertAlign val="baseline"/>
        <sz val="11"/>
        <color theme="1"/>
        <name val="Aptos Narrow"/>
        <family val="2"/>
        <scheme val="minor"/>
      </font>
      <numFmt numFmtId="166" formatCode="0.000"/>
      <alignment horizontal="righ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6" formatCode="0.000"/>
      <alignment horizontal="righ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6" formatCode="0.000"/>
      <alignment horizontal="righ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6" formatCode="0.000"/>
      <alignment horizontal="righ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6" formatCode="0.000"/>
      <alignment horizontal="righ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6" formatCode="0.000"/>
      <alignment horizontal="righ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6" formatCode="0.000"/>
      <alignment horizontal="right" vertical="center" textRotation="0" wrapText="0" indent="0" justifyLastLine="0" shrinkToFit="0" readingOrder="0"/>
    </dxf>
    <dxf>
      <font>
        <b val="0"/>
        <i val="0"/>
        <strike val="0"/>
        <condense val="0"/>
        <extend val="0"/>
        <outline val="0"/>
        <shadow val="0"/>
        <u val="none"/>
        <vertAlign val="baseline"/>
        <sz val="11"/>
        <color theme="0"/>
        <name val="Aptos Narrow"/>
        <family val="2"/>
        <scheme val="minor"/>
      </font>
      <fill>
        <patternFill patternType="solid">
          <fgColor indexed="64"/>
          <bgColor theme="2" tint="-0.749992370372631"/>
        </patternFill>
      </fill>
      <alignment horizontal="left" vertical="bottom" textRotation="0" wrapText="0" indent="0" justifyLastLine="0" shrinkToFit="0" readingOrder="0"/>
    </dxf>
    <dxf>
      <font>
        <b/>
        <i val="0"/>
        <strike val="0"/>
        <condense val="0"/>
        <extend val="0"/>
        <outline val="0"/>
        <shadow val="0"/>
        <u val="none"/>
        <vertAlign val="baseline"/>
        <sz val="11"/>
        <color rgb="FF000000"/>
        <name val="Aptos Narrow"/>
        <family val="2"/>
        <scheme val="none"/>
      </font>
    </dxf>
    <dxf>
      <font>
        <b/>
        <i val="0"/>
        <strike val="0"/>
        <condense val="0"/>
        <extend val="0"/>
        <outline val="0"/>
        <shadow val="0"/>
        <u val="none"/>
        <vertAlign val="baseline"/>
        <sz val="11"/>
        <color theme="0"/>
        <name val="Aptos Narrow"/>
        <family val="2"/>
        <scheme val="none"/>
      </font>
      <fill>
        <patternFill patternType="solid">
          <fgColor indexed="64"/>
          <bgColor theme="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Aptos Narrow"/>
        <family val="2"/>
        <scheme val="none"/>
      </font>
      <fill>
        <patternFill patternType="solid">
          <fgColor indexed="64"/>
          <bgColor theme="1"/>
        </patternFill>
      </fill>
      <border diagonalUp="0" diagonalDown="0">
        <left style="thin">
          <color indexed="64"/>
        </left>
        <right/>
        <top style="thin">
          <color theme="4" tint="0.39997558519241921"/>
        </top>
        <bottom/>
        <vertical/>
        <horizontal/>
      </border>
    </dxf>
    <dxf>
      <font>
        <b val="0"/>
        <i val="0"/>
        <strike val="0"/>
        <condense val="0"/>
        <extend val="0"/>
        <outline val="0"/>
        <shadow val="0"/>
        <u val="none"/>
        <vertAlign val="baseline"/>
        <sz val="8"/>
        <color theme="0"/>
        <name val="Inter"/>
        <family val="2"/>
        <charset val="186"/>
        <scheme val="none"/>
      </font>
      <fill>
        <patternFill patternType="solid">
          <fgColor indexed="64"/>
          <bgColor theme="2" tint="-0.89999084444715716"/>
        </patternFill>
      </fill>
      <alignment horizontal="left" vertical="center" textRotation="0" wrapText="0" indent="1"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Currier new"/>
        <scheme val="none"/>
      </font>
      <fill>
        <patternFill patternType="solid">
          <fgColor indexed="64"/>
          <bgColor rgb="FF19191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Currier new"/>
        <scheme val="none"/>
      </font>
      <fill>
        <patternFill patternType="solid">
          <fgColor indexed="64"/>
          <bgColor rgb="FF19191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Inter"/>
        <family val="2"/>
        <charset val="186"/>
        <scheme val="none"/>
      </font>
      <fill>
        <patternFill patternType="solid">
          <fgColor indexed="64"/>
          <bgColor theme="2" tint="-0.89999084444715716"/>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Courier New"/>
        <family val="3"/>
        <charset val="186"/>
        <scheme val="none"/>
      </font>
      <fill>
        <patternFill patternType="solid">
          <fgColor indexed="64"/>
          <bgColor theme="2" tint="-0.89999084444715716"/>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E2E2E5"/>
        <name val="Courier New"/>
        <family val="3"/>
        <charset val="186"/>
        <scheme val="none"/>
      </font>
      <fill>
        <patternFill patternType="solid">
          <fgColor indexed="64"/>
          <bgColor rgb="FF191919"/>
        </patternFill>
      </fill>
      <alignment horizontal="left" vertical="center" textRotation="0" wrapText="0" indent="1"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E2E2E5"/>
        <name val="Inter"/>
        <family val="2"/>
        <charset val="186"/>
        <scheme val="none"/>
      </font>
      <fill>
        <patternFill patternType="solid">
          <fgColor indexed="64"/>
          <bgColor rgb="FF191919"/>
        </patternFill>
      </fill>
      <alignment horizontal="right" vertical="center" textRotation="0" wrapText="0" indent="1" justifyLastLine="0" shrinkToFit="0" readingOrder="0"/>
      <border diagonalUp="0" diagonalDown="0">
        <left style="thin">
          <color indexed="64"/>
        </left>
        <right/>
        <top style="thin">
          <color indexed="64"/>
        </top>
        <bottom/>
        <vertical/>
        <horizontal/>
      </border>
    </dxf>
    <dxf>
      <font>
        <b val="0"/>
        <i/>
        <strike val="0"/>
        <condense val="0"/>
        <extend val="0"/>
        <outline val="0"/>
        <shadow val="0"/>
        <u val="none"/>
        <vertAlign val="baseline"/>
        <sz val="8"/>
        <color rgb="FFE2E2E5"/>
        <name val="Inter"/>
        <family val="2"/>
        <charset val="186"/>
        <scheme val="none"/>
      </font>
      <fill>
        <patternFill patternType="solid">
          <fgColor indexed="64"/>
          <bgColor rgb="FF19191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Inter"/>
        <family val="2"/>
        <charset val="186"/>
        <scheme val="none"/>
      </font>
      <fill>
        <patternFill patternType="solid">
          <fgColor indexed="64"/>
          <bgColor rgb="FF19191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8"/>
        <color rgb="FFE2E2E5"/>
        <name val="Inter"/>
        <family val="2"/>
        <charset val="186"/>
        <scheme val="none"/>
      </font>
      <fill>
        <patternFill patternType="solid">
          <fgColor indexed="64"/>
          <bgColor rgb="FF191919"/>
        </patternFill>
      </fill>
      <alignment horizontal="left" vertical="center" textRotation="0" wrapText="0" indent="1" justifyLastLine="0" shrinkToFit="0" readingOrder="0"/>
      <border diagonalUp="0" diagonalDown="0">
        <left style="thin">
          <color indexed="64"/>
        </left>
        <right/>
        <top style="thin">
          <color indexed="64"/>
        </top>
        <bottom/>
        <vertical/>
        <horizontal/>
      </border>
    </dxf>
    <dxf>
      <border outline="0">
        <right style="thin">
          <color theme="4" tint="0.39997558519241921"/>
        </right>
        <top style="thin">
          <color theme="4" tint="0.39997558519241921"/>
        </top>
      </border>
    </dxf>
    <dxf>
      <font>
        <b/>
        <i val="0"/>
        <strike val="0"/>
        <condense val="0"/>
        <extend val="0"/>
        <outline val="0"/>
        <shadow val="0"/>
        <u val="none"/>
        <vertAlign val="baseline"/>
        <sz val="8"/>
        <color theme="0"/>
        <name val="Currier new"/>
        <scheme val="none"/>
      </font>
      <fill>
        <patternFill patternType="solid">
          <fgColor indexed="64"/>
          <bgColor theme="1"/>
        </patternFill>
      </fill>
      <alignment horizontal="center" vertical="center" textRotation="0" wrapText="1" indent="0" justifyLastLine="0" shrinkToFit="0" readingOrder="0"/>
    </dxf>
    <dxf>
      <font>
        <b val="0"/>
        <i val="0"/>
        <strike val="0"/>
        <condense val="0"/>
        <extend val="0"/>
        <outline val="0"/>
        <shadow val="0"/>
        <u val="none"/>
        <vertAlign val="baseline"/>
        <sz val="11"/>
        <color theme="0"/>
        <name val="Aptos Narrow"/>
        <family val="2"/>
        <scheme val="none"/>
      </font>
      <fill>
        <patternFill patternType="solid">
          <fgColor indexed="64"/>
          <bgColor theme="1"/>
        </patternFill>
      </fill>
      <border diagonalUp="0" diagonalDown="0">
        <left style="thin">
          <color indexed="64"/>
        </left>
        <right/>
        <top style="thin">
          <color theme="4" tint="0.39997558519241921"/>
        </top>
        <bottom/>
        <vertical/>
        <horizontal/>
      </border>
    </dxf>
    <dxf>
      <font>
        <b val="0"/>
        <i val="0"/>
        <strike val="0"/>
        <condense val="0"/>
        <extend val="0"/>
        <outline val="0"/>
        <shadow val="0"/>
        <u val="none"/>
        <vertAlign val="baseline"/>
        <sz val="8"/>
        <color rgb="FFE2E2E5"/>
        <name val="Inter"/>
        <family val="2"/>
        <charset val="186"/>
        <scheme val="none"/>
      </font>
      <fill>
        <patternFill patternType="solid">
          <fgColor indexed="64"/>
          <bgColor rgb="FF191919"/>
        </patternFill>
      </fill>
      <alignment horizontal="left" vertical="center" textRotation="0" wrapText="0" indent="1"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Currier new"/>
        <scheme val="none"/>
      </font>
      <fill>
        <patternFill patternType="solid">
          <fgColor indexed="64"/>
          <bgColor rgb="FF19191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Currier new"/>
        <scheme val="none"/>
      </font>
      <fill>
        <patternFill patternType="solid">
          <fgColor indexed="64"/>
          <bgColor rgb="FF19191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Inter"/>
        <family val="2"/>
        <charset val="186"/>
        <scheme val="none"/>
      </font>
      <fill>
        <patternFill patternType="solid">
          <fgColor indexed="64"/>
          <bgColor theme="2" tint="-0.89999084444715716"/>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0"/>
        <name val="Aptos Narrow"/>
        <family val="2"/>
        <scheme val="none"/>
      </font>
      <fill>
        <patternFill patternType="solid">
          <fgColor indexed="64"/>
          <bgColor theme="2" tint="-0.89999084444715716"/>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E2E2E5"/>
        <name val="Courier New"/>
        <family val="3"/>
        <charset val="186"/>
        <scheme val="none"/>
      </font>
      <fill>
        <patternFill patternType="solid">
          <fgColor indexed="64"/>
          <bgColor rgb="FF191919"/>
        </patternFill>
      </fill>
      <alignment horizontal="left" vertical="center" textRotation="0" wrapText="0" indent="1"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E2E2E5"/>
        <name val="Inter"/>
        <family val="2"/>
        <charset val="186"/>
        <scheme val="none"/>
      </font>
      <fill>
        <patternFill patternType="solid">
          <fgColor indexed="64"/>
          <bgColor rgb="FF191919"/>
        </patternFill>
      </fill>
      <alignment horizontal="right" vertical="center" textRotation="0" wrapText="0" indent="1" justifyLastLine="0" shrinkToFit="0" readingOrder="0"/>
      <border diagonalUp="0" diagonalDown="0">
        <left style="thin">
          <color indexed="64"/>
        </left>
        <right/>
        <top style="thin">
          <color indexed="64"/>
        </top>
        <bottom/>
        <vertical/>
        <horizontal/>
      </border>
    </dxf>
    <dxf>
      <font>
        <b val="0"/>
        <i/>
        <strike val="0"/>
        <condense val="0"/>
        <extend val="0"/>
        <outline val="0"/>
        <shadow val="0"/>
        <u val="none"/>
        <vertAlign val="baseline"/>
        <sz val="8"/>
        <color rgb="FFE2E2E5"/>
        <name val="Inter"/>
        <family val="2"/>
        <charset val="186"/>
        <scheme val="none"/>
      </font>
      <fill>
        <patternFill patternType="solid">
          <fgColor indexed="64"/>
          <bgColor rgb="FF19191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Inter"/>
        <family val="2"/>
        <charset val="186"/>
        <scheme val="none"/>
      </font>
      <fill>
        <patternFill patternType="solid">
          <fgColor indexed="64"/>
          <bgColor rgb="FF19191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8"/>
        <color rgb="FFE2E2E5"/>
        <name val="Inter"/>
        <family val="2"/>
        <charset val="186"/>
        <scheme val="none"/>
      </font>
      <fill>
        <patternFill patternType="solid">
          <fgColor indexed="64"/>
          <bgColor rgb="FF191919"/>
        </patternFill>
      </fill>
      <alignment horizontal="left" vertical="center" textRotation="0" wrapText="0" indent="1" justifyLastLine="0" shrinkToFit="0" readingOrder="0"/>
      <border diagonalUp="0" diagonalDown="0">
        <left style="thin">
          <color indexed="64"/>
        </left>
        <right/>
        <top style="thin">
          <color indexed="64"/>
        </top>
        <bottom/>
        <vertical/>
        <horizontal/>
      </border>
    </dxf>
    <dxf>
      <border outline="0">
        <top style="thin">
          <color theme="4" tint="0.39997558519241921"/>
        </top>
      </border>
    </dxf>
    <dxf>
      <font>
        <b/>
        <i val="0"/>
        <strike val="0"/>
        <condense val="0"/>
        <extend val="0"/>
        <outline val="0"/>
        <shadow val="0"/>
        <u val="none"/>
        <vertAlign val="baseline"/>
        <sz val="8"/>
        <color theme="0"/>
        <name val="Currier new"/>
        <scheme val="none"/>
      </font>
      <fill>
        <patternFill patternType="solid">
          <fgColor indexed="64"/>
          <bgColor theme="1"/>
        </patternFill>
      </fill>
      <alignment horizontal="center" vertical="center" textRotation="0" wrapText="1" indent="0" justifyLastLine="0" shrinkToFit="0" readingOrder="0"/>
    </dxf>
    <dxf>
      <font>
        <b val="0"/>
        <i val="0"/>
        <strike val="0"/>
        <condense val="0"/>
        <extend val="0"/>
        <outline val="0"/>
        <shadow val="0"/>
        <u val="none"/>
        <vertAlign val="baseline"/>
        <sz val="11"/>
        <color theme="0"/>
        <name val="Aptos Narrow"/>
        <family val="2"/>
        <scheme val="none"/>
      </font>
      <fill>
        <patternFill patternType="solid">
          <fgColor indexed="64"/>
          <bgColor theme="1"/>
        </patternFill>
      </fill>
      <border diagonalUp="0" diagonalDown="0">
        <left style="thin">
          <color indexed="64"/>
        </left>
        <right/>
        <top style="thin">
          <color theme="4" tint="0.39997558519241921"/>
        </top>
        <bottom/>
        <vertical/>
        <horizontal/>
      </border>
    </dxf>
    <dxf>
      <font>
        <b val="0"/>
        <i val="0"/>
        <strike val="0"/>
        <condense val="0"/>
        <extend val="0"/>
        <outline val="0"/>
        <shadow val="0"/>
        <u val="none"/>
        <vertAlign val="baseline"/>
        <sz val="8"/>
        <color theme="0"/>
        <name val="Inter"/>
        <family val="2"/>
        <charset val="186"/>
        <scheme val="none"/>
      </font>
      <fill>
        <patternFill patternType="solid">
          <fgColor indexed="64"/>
          <bgColor theme="2" tint="-0.89999084444715716"/>
        </patternFill>
      </fill>
      <alignment horizontal="left" vertical="center" textRotation="0" wrapText="0" indent="1"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Currier new"/>
        <scheme val="none"/>
      </font>
      <fill>
        <patternFill patternType="solid">
          <fgColor indexed="64"/>
          <bgColor rgb="FF19191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Currier new"/>
        <scheme val="none"/>
      </font>
      <fill>
        <patternFill patternType="solid">
          <fgColor indexed="64"/>
          <bgColor rgb="FF19191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Inter"/>
        <family val="2"/>
        <charset val="186"/>
        <scheme val="none"/>
      </font>
      <fill>
        <patternFill patternType="solid">
          <fgColor indexed="64"/>
          <bgColor theme="2" tint="-0.89999084444715716"/>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0"/>
        <name val="Aptos Narrow"/>
        <family val="2"/>
        <scheme val="none"/>
      </font>
      <fill>
        <patternFill patternType="solid">
          <fgColor indexed="64"/>
          <bgColor theme="2" tint="-0.89999084444715716"/>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Courier New"/>
        <family val="3"/>
        <charset val="186"/>
        <scheme val="none"/>
      </font>
      <fill>
        <patternFill patternType="solid">
          <fgColor indexed="64"/>
          <bgColor theme="2" tint="-0.89999084444715716"/>
        </patternFill>
      </fill>
      <alignment horizontal="left" vertical="center" textRotation="0" wrapText="0" indent="1"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Inter"/>
        <family val="2"/>
        <charset val="186"/>
        <scheme val="none"/>
      </font>
      <fill>
        <patternFill patternType="solid">
          <fgColor indexed="64"/>
          <bgColor theme="2" tint="-0.89999084444715716"/>
        </patternFill>
      </fill>
      <alignment horizontal="right" vertical="center" textRotation="0" wrapText="0" indent="1" justifyLastLine="0" shrinkToFit="0" readingOrder="0"/>
      <border diagonalUp="0" diagonalDown="0">
        <left style="thin">
          <color indexed="64"/>
        </left>
        <right/>
        <top style="thin">
          <color indexed="64"/>
        </top>
        <bottom/>
        <vertical/>
        <horizontal/>
      </border>
    </dxf>
    <dxf>
      <font>
        <b val="0"/>
        <i/>
        <strike val="0"/>
        <condense val="0"/>
        <extend val="0"/>
        <outline val="0"/>
        <shadow val="0"/>
        <u val="none"/>
        <vertAlign val="baseline"/>
        <sz val="8"/>
        <color theme="0"/>
        <name val="Inter"/>
        <family val="2"/>
        <charset val="186"/>
        <scheme val="none"/>
      </font>
      <fill>
        <patternFill patternType="solid">
          <fgColor indexed="64"/>
          <bgColor theme="2" tint="-0.89999084444715716"/>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Inter"/>
        <family val="2"/>
        <charset val="186"/>
        <scheme val="none"/>
      </font>
      <fill>
        <patternFill patternType="solid">
          <fgColor indexed="64"/>
          <bgColor theme="2" tint="-0.89999084444715716"/>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8"/>
        <color theme="0"/>
        <name val="Inter"/>
        <family val="2"/>
        <charset val="186"/>
        <scheme val="none"/>
      </font>
      <fill>
        <patternFill patternType="solid">
          <fgColor indexed="64"/>
          <bgColor theme="2" tint="-0.89999084444715716"/>
        </patternFill>
      </fill>
      <alignment horizontal="left" vertical="center" textRotation="0" wrapText="0" indent="1" justifyLastLine="0" shrinkToFit="0" readingOrder="0"/>
      <border diagonalUp="0" diagonalDown="0">
        <left style="thin">
          <color indexed="64"/>
        </left>
        <right/>
        <top style="thin">
          <color indexed="64"/>
        </top>
        <bottom/>
        <vertical/>
        <horizontal/>
      </border>
    </dxf>
    <dxf>
      <border outline="0">
        <top style="thin">
          <color theme="4" tint="0.39997558519241921"/>
        </top>
      </border>
    </dxf>
    <dxf>
      <font>
        <b/>
        <i val="0"/>
        <strike val="0"/>
        <condense val="0"/>
        <extend val="0"/>
        <outline val="0"/>
        <shadow val="0"/>
        <u val="none"/>
        <vertAlign val="baseline"/>
        <sz val="8"/>
        <color theme="0"/>
        <name val="Currier new"/>
        <scheme val="none"/>
      </font>
      <fill>
        <patternFill patternType="solid">
          <fgColor indexed="64"/>
          <bgColor theme="1"/>
        </patternFill>
      </fill>
      <alignment horizontal="center" vertical="center" textRotation="0" wrapText="1" indent="0" justifyLastLine="0" shrinkToFit="0" readingOrder="0"/>
    </dxf>
    <dxf>
      <font>
        <b val="0"/>
        <i val="0"/>
        <strike val="0"/>
        <condense val="0"/>
        <extend val="0"/>
        <outline val="0"/>
        <shadow val="0"/>
        <u val="none"/>
        <vertAlign val="baseline"/>
        <sz val="11"/>
        <color theme="0"/>
        <name val="Aptos Narrow"/>
        <family val="2"/>
        <scheme val="none"/>
      </font>
      <fill>
        <patternFill patternType="solid">
          <fgColor indexed="64"/>
          <bgColor theme="1"/>
        </patternFill>
      </fill>
      <border diagonalUp="0" diagonalDown="0">
        <left style="thin">
          <color indexed="64"/>
        </left>
        <right/>
        <top style="thin">
          <color theme="4" tint="0.39997558519241921"/>
        </top>
        <bottom/>
        <vertical/>
        <horizontal/>
      </border>
    </dxf>
    <dxf>
      <font>
        <b val="0"/>
        <i val="0"/>
        <strike val="0"/>
        <condense val="0"/>
        <extend val="0"/>
        <outline val="0"/>
        <shadow val="0"/>
        <u val="none"/>
        <vertAlign val="baseline"/>
        <sz val="8"/>
        <color theme="0"/>
        <name val="Inter"/>
        <family val="2"/>
        <charset val="186"/>
        <scheme val="none"/>
      </font>
      <fill>
        <patternFill patternType="solid">
          <fgColor indexed="64"/>
          <bgColor theme="2" tint="-0.89999084444715716"/>
        </patternFill>
      </fill>
      <alignment horizontal="left"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Currier new"/>
        <scheme val="none"/>
      </font>
      <fill>
        <patternFill patternType="solid">
          <fgColor indexed="64"/>
          <bgColor rgb="FF19191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Currier new"/>
        <scheme val="none"/>
      </font>
      <fill>
        <patternFill patternType="solid">
          <fgColor indexed="64"/>
          <bgColor rgb="FF19191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Inter"/>
        <family val="2"/>
        <charset val="186"/>
        <scheme val="none"/>
      </font>
      <fill>
        <patternFill patternType="solid">
          <fgColor indexed="64"/>
          <bgColor theme="2" tint="-0.89999084444715716"/>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0"/>
        <name val="Aptos Narrow"/>
        <family val="2"/>
        <scheme val="none"/>
      </font>
      <fill>
        <patternFill patternType="solid">
          <fgColor indexed="64"/>
          <bgColor theme="2" tint="-0.89999084444715716"/>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E2E2E5"/>
        <name val="Courier New"/>
        <family val="3"/>
        <charset val="186"/>
        <scheme val="none"/>
      </font>
      <fill>
        <patternFill patternType="solid">
          <fgColor indexed="64"/>
          <bgColor rgb="FF191919"/>
        </patternFill>
      </fill>
      <alignment horizontal="left"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E2E2E5"/>
        <name val="Inter"/>
        <family val="2"/>
        <charset val="186"/>
        <scheme val="none"/>
      </font>
      <fill>
        <patternFill patternType="solid">
          <fgColor indexed="64"/>
          <bgColor rgb="FF191919"/>
        </patternFill>
      </fill>
      <alignment horizontal="right" vertical="center" textRotation="0" wrapText="0" indent="0" justifyLastLine="0" shrinkToFit="0" readingOrder="0"/>
      <border diagonalUp="0" diagonalDown="0">
        <left style="thin">
          <color indexed="64"/>
        </left>
        <right/>
        <top style="thin">
          <color indexed="64"/>
        </top>
        <bottom/>
        <vertical/>
        <horizontal/>
      </border>
    </dxf>
    <dxf>
      <font>
        <b val="0"/>
        <i/>
        <strike val="0"/>
        <condense val="0"/>
        <extend val="0"/>
        <outline val="0"/>
        <shadow val="0"/>
        <u val="none"/>
        <vertAlign val="baseline"/>
        <sz val="8"/>
        <color rgb="FFE2E2E5"/>
        <name val="Inter"/>
        <family val="2"/>
        <charset val="186"/>
        <scheme val="none"/>
      </font>
      <fill>
        <patternFill patternType="solid">
          <fgColor indexed="64"/>
          <bgColor rgb="FF191919"/>
        </patternFill>
      </fill>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8"/>
        <color theme="0"/>
        <name val="Inter"/>
        <family val="2"/>
        <charset val="186"/>
        <scheme val="none"/>
      </font>
      <fill>
        <patternFill patternType="solid">
          <fgColor indexed="64"/>
          <bgColor rgb="FF191919"/>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i val="0"/>
        <strike val="0"/>
        <condense val="0"/>
        <extend val="0"/>
        <outline val="0"/>
        <shadow val="0"/>
        <u val="none"/>
        <vertAlign val="baseline"/>
        <sz val="8"/>
        <color rgb="FFE2E2E5"/>
        <name val="Inter"/>
        <family val="2"/>
        <charset val="186"/>
        <scheme val="none"/>
      </font>
      <fill>
        <patternFill patternType="solid">
          <fgColor indexed="64"/>
          <bgColor rgb="FF191919"/>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border outline="0">
        <top style="thin">
          <color theme="4" tint="0.39997558519241921"/>
        </top>
      </border>
    </dxf>
    <dxf>
      <font>
        <b/>
        <i val="0"/>
        <strike val="0"/>
        <condense val="0"/>
        <extend val="0"/>
        <outline val="0"/>
        <shadow val="0"/>
        <u val="none"/>
        <vertAlign val="baseline"/>
        <sz val="8"/>
        <color theme="0"/>
        <name val="Currier new"/>
        <scheme val="none"/>
      </font>
      <fill>
        <patternFill patternType="solid">
          <fgColor indexed="64"/>
          <bgColor theme="1"/>
        </patternFill>
      </fill>
      <alignment horizontal="center" vertical="center" textRotation="0" wrapText="1" indent="0" justifyLastLine="0" shrinkToFit="0" readingOrder="0"/>
    </dxf>
    <dxf>
      <font>
        <b val="0"/>
        <i val="0"/>
        <strike val="0"/>
        <condense val="0"/>
        <extend val="0"/>
        <outline val="0"/>
        <shadow val="0"/>
        <u val="none"/>
        <vertAlign val="baseline"/>
        <sz val="11"/>
        <color theme="0"/>
        <name val="Aptos Narrow"/>
        <family val="2"/>
        <scheme val="none"/>
      </font>
      <fill>
        <patternFill patternType="solid">
          <fgColor indexed="64"/>
          <bgColor theme="1"/>
        </patternFill>
      </fill>
      <border diagonalUp="0" diagonalDown="0">
        <left style="thin">
          <color indexed="64"/>
        </left>
        <right/>
        <top style="thin">
          <color theme="4" tint="0.39997558519241921"/>
        </top>
        <bottom/>
        <vertical/>
        <horizontal/>
      </border>
    </dxf>
    <dxf>
      <font>
        <b val="0"/>
        <i val="0"/>
        <strike val="0"/>
        <condense val="0"/>
        <extend val="0"/>
        <outline val="0"/>
        <shadow val="0"/>
        <u val="none"/>
        <vertAlign val="baseline"/>
        <sz val="8"/>
        <color theme="0"/>
        <name val="Inter"/>
        <family val="2"/>
        <charset val="186"/>
        <scheme val="none"/>
      </font>
      <fill>
        <patternFill patternType="solid">
          <fgColor indexed="64"/>
          <bgColor theme="2" tint="-0.89999084444715716"/>
        </patternFill>
      </fill>
      <alignment horizontal="left"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Currier new"/>
        <scheme val="none"/>
      </font>
      <fill>
        <patternFill patternType="solid">
          <fgColor indexed="64"/>
          <bgColor rgb="FF19191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Currier new"/>
        <scheme val="none"/>
      </font>
      <fill>
        <patternFill patternType="solid">
          <fgColor indexed="64"/>
          <bgColor rgb="FF19191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Inter"/>
        <family val="2"/>
        <charset val="186"/>
        <scheme val="none"/>
      </font>
      <fill>
        <patternFill patternType="solid">
          <fgColor indexed="64"/>
          <bgColor theme="2" tint="-0.89999084444715716"/>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0"/>
        <name val="Aptos Narrow"/>
        <family val="2"/>
        <scheme val="none"/>
      </font>
      <fill>
        <patternFill patternType="solid">
          <fgColor indexed="64"/>
          <bgColor theme="2" tint="-0.89999084444715716"/>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Courier New"/>
        <family val="3"/>
        <charset val="186"/>
        <scheme val="none"/>
      </font>
      <fill>
        <patternFill patternType="solid">
          <fgColor indexed="64"/>
          <bgColor theme="2" tint="-0.89999084444715716"/>
        </patternFill>
      </fill>
      <alignment horizontal="left"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Inter"/>
        <family val="2"/>
        <charset val="186"/>
        <scheme val="none"/>
      </font>
      <fill>
        <patternFill patternType="solid">
          <fgColor indexed="64"/>
          <bgColor theme="2" tint="-0.89999084444715716"/>
        </patternFill>
      </fill>
      <alignment horizontal="right" vertical="center" textRotation="0" wrapText="0" indent="0" justifyLastLine="0" shrinkToFit="0" readingOrder="0"/>
      <border diagonalUp="0" diagonalDown="0">
        <left style="thin">
          <color indexed="64"/>
        </left>
        <right/>
        <top style="thin">
          <color indexed="64"/>
        </top>
        <bottom/>
        <vertical/>
        <horizontal/>
      </border>
    </dxf>
    <dxf>
      <font>
        <b val="0"/>
        <i/>
        <strike val="0"/>
        <condense val="0"/>
        <extend val="0"/>
        <outline val="0"/>
        <shadow val="0"/>
        <u val="none"/>
        <vertAlign val="baseline"/>
        <sz val="8"/>
        <color theme="0"/>
        <name val="Inter"/>
        <family val="2"/>
        <charset val="186"/>
        <scheme val="none"/>
      </font>
      <fill>
        <patternFill patternType="solid">
          <fgColor indexed="64"/>
          <bgColor theme="2" tint="-0.89999084444715716"/>
        </patternFill>
      </fill>
      <alignment horizontal="left"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Inter"/>
        <family val="2"/>
        <charset val="186"/>
        <scheme val="none"/>
      </font>
      <fill>
        <patternFill patternType="solid">
          <fgColor indexed="64"/>
          <bgColor theme="2" tint="-0.89999084444715716"/>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8"/>
        <color theme="0"/>
        <name val="Inter"/>
        <family val="2"/>
        <charset val="186"/>
        <scheme val="none"/>
      </font>
      <fill>
        <patternFill patternType="solid">
          <fgColor indexed="64"/>
          <bgColor theme="2" tint="-0.89999084444715716"/>
        </patternFill>
      </fill>
      <alignment horizontal="left" vertical="center" textRotation="0" wrapText="0" indent="0" justifyLastLine="0" shrinkToFit="0" readingOrder="0"/>
      <border diagonalUp="0" diagonalDown="0">
        <left style="thin">
          <color indexed="64"/>
        </left>
        <right/>
        <top style="thin">
          <color indexed="64"/>
        </top>
        <bottom/>
        <vertical/>
        <horizontal/>
      </border>
    </dxf>
    <dxf>
      <border outline="0">
        <top style="thin">
          <color theme="4" tint="0.39997558519241921"/>
        </top>
      </border>
    </dxf>
    <dxf>
      <font>
        <b/>
        <i val="0"/>
        <strike val="0"/>
        <condense val="0"/>
        <extend val="0"/>
        <outline val="0"/>
        <shadow val="0"/>
        <u val="none"/>
        <vertAlign val="baseline"/>
        <sz val="8"/>
        <color theme="0"/>
        <name val="Currier new"/>
        <scheme val="none"/>
      </font>
      <fill>
        <patternFill patternType="solid">
          <fgColor indexed="64"/>
          <bgColor theme="1"/>
        </patternFill>
      </fill>
      <alignment horizontal="center" vertical="center" textRotation="0" wrapText="1" indent="0" justifyLastLine="0" shrinkToFit="0" readingOrder="0"/>
    </dxf>
    <dxf>
      <font>
        <b val="0"/>
        <i val="0"/>
        <strike val="0"/>
        <condense val="0"/>
        <extend val="0"/>
        <outline val="0"/>
        <shadow val="0"/>
        <u val="none"/>
        <vertAlign val="baseline"/>
        <sz val="11"/>
        <color theme="0"/>
        <name val="Aptos Narrow"/>
        <family val="2"/>
        <scheme val="none"/>
      </font>
      <fill>
        <patternFill patternType="solid">
          <fgColor indexed="64"/>
          <bgColor theme="1"/>
        </patternFill>
      </fill>
      <border diagonalUp="0" diagonalDown="0">
        <left style="thin">
          <color indexed="64"/>
        </left>
        <right/>
        <top style="thin">
          <color theme="4" tint="0.39997558519241921"/>
        </top>
        <bottom/>
        <vertical/>
        <horizontal/>
      </border>
    </dxf>
    <dxf>
      <font>
        <b val="0"/>
        <i val="0"/>
        <strike val="0"/>
        <condense val="0"/>
        <extend val="0"/>
        <outline val="0"/>
        <shadow val="0"/>
        <u val="none"/>
        <vertAlign val="baseline"/>
        <sz val="8"/>
        <color theme="0"/>
        <name val="Inter"/>
        <family val="2"/>
        <charset val="186"/>
        <scheme val="none"/>
      </font>
      <fill>
        <patternFill patternType="solid">
          <fgColor indexed="64"/>
          <bgColor theme="2" tint="-0.89999084444715716"/>
        </patternFill>
      </fill>
      <alignment horizontal="left" vertical="center" textRotation="0" wrapText="0" indent="1"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Currier new"/>
        <scheme val="none"/>
      </font>
      <fill>
        <patternFill patternType="solid">
          <fgColor indexed="64"/>
          <bgColor rgb="FF19191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Currier new"/>
        <scheme val="none"/>
      </font>
      <fill>
        <patternFill patternType="solid">
          <fgColor indexed="64"/>
          <bgColor rgb="FF19191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Inter"/>
        <family val="2"/>
        <charset val="186"/>
        <scheme val="none"/>
      </font>
      <fill>
        <patternFill patternType="solid">
          <fgColor indexed="64"/>
          <bgColor theme="2" tint="-0.89999084444715716"/>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0"/>
        <name val="Aptos Narrow"/>
        <family val="2"/>
        <scheme val="none"/>
      </font>
      <fill>
        <patternFill patternType="solid">
          <fgColor indexed="64"/>
          <bgColor theme="2" tint="-0.89999084444715716"/>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Courier New"/>
        <family val="3"/>
        <charset val="186"/>
        <scheme val="none"/>
      </font>
      <fill>
        <patternFill patternType="solid">
          <fgColor indexed="64"/>
          <bgColor theme="2" tint="-0.89999084444715716"/>
        </patternFill>
      </fill>
      <alignment horizontal="left"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Inter"/>
        <family val="2"/>
        <charset val="186"/>
        <scheme val="none"/>
      </font>
      <fill>
        <patternFill patternType="solid">
          <fgColor indexed="64"/>
          <bgColor theme="2" tint="-0.89999084444715716"/>
        </patternFill>
      </fill>
      <alignment horizontal="right" vertical="center" textRotation="0" wrapText="0" indent="1" justifyLastLine="0" shrinkToFit="0" readingOrder="0"/>
      <border diagonalUp="0" diagonalDown="0">
        <left style="thin">
          <color indexed="64"/>
        </left>
        <right/>
        <top style="thin">
          <color indexed="64"/>
        </top>
        <bottom/>
        <vertical/>
        <horizontal/>
      </border>
    </dxf>
    <dxf>
      <font>
        <b val="0"/>
        <i/>
        <strike val="0"/>
        <condense val="0"/>
        <extend val="0"/>
        <outline val="0"/>
        <shadow val="0"/>
        <u val="none"/>
        <vertAlign val="baseline"/>
        <sz val="8"/>
        <color theme="0"/>
        <name val="Inter"/>
        <family val="2"/>
        <charset val="186"/>
        <scheme val="none"/>
      </font>
      <fill>
        <patternFill patternType="solid">
          <fgColor indexed="64"/>
          <bgColor theme="2" tint="-0.89999084444715716"/>
        </patternFill>
      </fill>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8"/>
        <color theme="0"/>
        <name val="Inter"/>
        <family val="2"/>
        <charset val="186"/>
        <scheme val="none"/>
      </font>
      <fill>
        <patternFill patternType="solid">
          <fgColor indexed="64"/>
          <bgColor theme="2" tint="-0.89999084444715716"/>
        </patternFill>
      </fill>
      <alignment horizontal="left" vertical="center" textRotation="0" wrapText="0" indent="1" justifyLastLine="0" shrinkToFit="0" readingOrder="0"/>
      <border diagonalUp="0" diagonalDown="0" outline="0">
        <left style="thin">
          <color indexed="64"/>
        </left>
        <right/>
        <top style="thin">
          <color indexed="64"/>
        </top>
        <bottom/>
      </border>
    </dxf>
    <dxf>
      <font>
        <b/>
        <i val="0"/>
        <strike val="0"/>
        <condense val="0"/>
        <extend val="0"/>
        <outline val="0"/>
        <shadow val="0"/>
        <u val="none"/>
        <vertAlign val="baseline"/>
        <sz val="8"/>
        <color theme="0"/>
        <name val="Inter"/>
        <family val="2"/>
        <charset val="186"/>
        <scheme val="none"/>
      </font>
      <fill>
        <patternFill patternType="solid">
          <fgColor indexed="64"/>
          <bgColor theme="2" tint="-0.89999084444715716"/>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border outline="0">
        <top style="thin">
          <color theme="4" tint="0.39997558519241921"/>
        </top>
      </border>
    </dxf>
    <dxf>
      <font>
        <b/>
        <i val="0"/>
        <strike val="0"/>
        <condense val="0"/>
        <extend val="0"/>
        <outline val="0"/>
        <shadow val="0"/>
        <u val="none"/>
        <vertAlign val="baseline"/>
        <sz val="8"/>
        <color theme="0"/>
        <name val="Currier new"/>
        <scheme val="none"/>
      </font>
      <fill>
        <patternFill patternType="solid">
          <fgColor indexed="64"/>
          <bgColor theme="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urrier new"/>
        <scheme val="none"/>
      </font>
      <fill>
        <patternFill patternType="solid">
          <fgColor indexed="64"/>
          <bgColor theme="1"/>
        </patternFill>
      </fill>
      <alignment horizontal="center" textRotation="0" indent="0" justifyLastLine="0" shrinkToFit="0" readingOrder="0"/>
      <border diagonalUp="0" diagonalDown="0" outline="0">
        <left style="thin">
          <color indexed="64"/>
        </left>
        <right/>
        <top style="thin">
          <color theme="4" tint="0.39997558519241921"/>
        </top>
        <bottom/>
      </border>
    </dxf>
    <dxf>
      <font>
        <b val="0"/>
        <i val="0"/>
        <strike val="0"/>
        <condense val="0"/>
        <extend val="0"/>
        <outline val="0"/>
        <shadow val="0"/>
        <u val="none"/>
        <vertAlign val="baseline"/>
        <sz val="8"/>
        <color rgb="FFE2E2E5"/>
        <name val="Currier new"/>
        <scheme val="none"/>
      </font>
      <fill>
        <patternFill patternType="solid">
          <fgColor indexed="64"/>
          <bgColor rgb="FF191919"/>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8"/>
        <color rgb="FFE2E2E5"/>
        <name val="Currier new"/>
        <scheme val="none"/>
      </font>
      <fill>
        <patternFill patternType="solid">
          <fgColor indexed="64"/>
          <bgColor rgb="FF19191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E2E2E5"/>
        <name val="Currier new"/>
        <scheme val="none"/>
      </font>
      <fill>
        <patternFill patternType="solid">
          <fgColor indexed="64"/>
          <bgColor rgb="FF19191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E2E2E5"/>
        <name val="Currier new"/>
        <scheme val="none"/>
      </font>
      <fill>
        <patternFill patternType="solid">
          <fgColor indexed="64"/>
          <bgColor rgb="FF19191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E2E2E5"/>
        <name val="Currier new"/>
        <scheme val="none"/>
      </font>
      <fill>
        <patternFill patternType="solid">
          <fgColor indexed="64"/>
          <bgColor rgb="FF191919"/>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E2E2E5"/>
        <name val="Currier new"/>
        <scheme val="none"/>
      </font>
      <fill>
        <patternFill patternType="solid">
          <fgColor indexed="64"/>
          <bgColor rgb="FF191919"/>
        </patternFill>
      </fill>
      <alignment horizontal="left"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E2E2E5"/>
        <name val="Currier new"/>
        <scheme val="none"/>
      </font>
      <fill>
        <patternFill patternType="solid">
          <fgColor indexed="64"/>
          <bgColor rgb="FF191919"/>
        </patternFill>
      </fill>
      <alignment horizontal="left"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E2E2E5"/>
        <name val="Currier new"/>
        <scheme val="none"/>
      </font>
      <fill>
        <patternFill patternType="solid">
          <fgColor indexed="64"/>
          <bgColor rgb="FF191919"/>
        </patternFill>
      </fill>
      <alignment horizontal="right" vertical="center" textRotation="0" wrapText="0" indent="0" justifyLastLine="0" shrinkToFit="0" readingOrder="0"/>
      <border diagonalUp="0" diagonalDown="0">
        <left style="thin">
          <color indexed="64"/>
        </left>
        <right/>
        <top style="thin">
          <color indexed="64"/>
        </top>
        <bottom/>
        <vertical/>
        <horizontal/>
      </border>
    </dxf>
    <dxf>
      <font>
        <b val="0"/>
        <i/>
        <strike val="0"/>
        <condense val="0"/>
        <extend val="0"/>
        <outline val="0"/>
        <shadow val="0"/>
        <u val="none"/>
        <vertAlign val="baseline"/>
        <sz val="8"/>
        <color rgb="FFE2E2E5"/>
        <name val="Currier new"/>
        <scheme val="none"/>
      </font>
      <fill>
        <patternFill patternType="solid">
          <fgColor indexed="64"/>
          <bgColor rgb="FF191919"/>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theme="0"/>
        <name val="Currier new"/>
        <scheme val="none"/>
      </font>
      <fill>
        <patternFill patternType="solid">
          <fgColor indexed="64"/>
          <bgColor theme="2" tint="-0.89999084444715716"/>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8"/>
        <color rgb="FFE2E2E5"/>
        <name val="Currier new"/>
        <scheme val="none"/>
      </font>
      <fill>
        <patternFill patternType="solid">
          <fgColor indexed="64"/>
          <bgColor rgb="FF191919"/>
        </patternFill>
      </fill>
      <alignment horizontal="left" vertical="center" textRotation="0" wrapText="1" indent="1" justifyLastLine="0" shrinkToFit="0" readingOrder="0"/>
      <border diagonalUp="0" diagonalDown="0" outline="0">
        <left/>
        <right/>
        <top style="thin">
          <color indexed="64"/>
        </top>
        <bottom/>
      </border>
    </dxf>
    <dxf>
      <font>
        <b val="0"/>
        <i val="0"/>
        <strike val="0"/>
        <condense val="0"/>
        <extend val="0"/>
        <outline val="0"/>
        <shadow val="0"/>
        <u val="none"/>
        <vertAlign val="baseline"/>
        <sz val="8"/>
        <color rgb="FFE2E2E5"/>
        <name val="Currier new"/>
        <scheme val="none"/>
      </font>
      <fill>
        <patternFill patternType="solid">
          <fgColor indexed="64"/>
          <bgColor theme="1"/>
        </patternFill>
      </fill>
      <alignment horizontal="left" vertical="center" textRotation="0" wrapText="1" indent="1" justifyLastLine="0" shrinkToFit="0" readingOrder="0"/>
      <border diagonalUp="0" diagonalDown="0" outline="0">
        <left/>
        <right/>
        <top style="thin">
          <color theme="4" tint="0.39997558519241921"/>
        </top>
        <bottom/>
      </border>
    </dxf>
    <dxf>
      <border outline="0">
        <left style="thin">
          <color theme="4" tint="0.39997558519241921"/>
        </left>
        <top style="thin">
          <color theme="4" tint="0.39997558519241921"/>
        </top>
      </border>
    </dxf>
    <dxf>
      <font>
        <b val="0"/>
        <i val="0"/>
        <strike val="0"/>
        <condense val="0"/>
        <extend val="0"/>
        <outline val="0"/>
        <shadow val="0"/>
        <u val="none"/>
        <vertAlign val="baseline"/>
        <sz val="8"/>
        <color rgb="FFE2E2E5"/>
        <name val="Currier new"/>
        <scheme val="none"/>
      </font>
      <fill>
        <patternFill patternType="solid">
          <fgColor indexed="64"/>
          <bgColor rgb="FF191919"/>
        </patternFill>
      </fill>
      <alignment horizontal="center" vertical="center" textRotation="0" wrapText="0" indent="0" justifyLastLine="0" shrinkToFit="0" readingOrder="0"/>
    </dxf>
    <dxf>
      <font>
        <b/>
        <i val="0"/>
        <strike val="0"/>
        <condense val="0"/>
        <extend val="0"/>
        <outline val="0"/>
        <shadow val="0"/>
        <u val="none"/>
        <vertAlign val="baseline"/>
        <sz val="8"/>
        <color rgb="FFE2E2E5"/>
        <name val="Currier new"/>
        <scheme val="none"/>
      </font>
      <fill>
        <patternFill patternType="solid">
          <fgColor indexed="64"/>
          <bgColor theme="1"/>
        </patternFill>
      </fill>
      <alignment horizontal="center" vertical="center" textRotation="0" wrapText="1" indent="0" justifyLastLine="0" shrinkToFit="0" readingOrder="0"/>
    </dxf>
  </dxfs>
  <tableStyles count="0" defaultTableStyle="TableStyleMedium2" defaultPivotStyle="PivotStyleLight16"/>
  <colors>
    <mruColors>
      <color rgb="FFFF3300"/>
      <color rgb="FF66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AC59FD-927A-43F1-A063-AF6345136586}" name="Octave_1_KPIs" displayName="Octave_1_KPIs" ref="A13:M73" totalsRowShown="0" headerRowDxfId="265" dataDxfId="264" tableBorderDxfId="263">
  <autoFilter ref="A13:M73" xr:uid="{28AC59FD-927A-43F1-A063-AF6345136586}"/>
  <tableColumns count="13">
    <tableColumn id="1" xr3:uid="{30B9A2BF-6E5B-4366-88E9-189D94C7ED59}" name="Face (Domain) F. ID" dataDxfId="262"/>
    <tableColumn id="2" xr3:uid="{2E549820-EF9F-4FF7-9521-8417534B940E}" name="O1 - Survival (Focus: Existence)" dataDxfId="261"/>
    <tableColumn id="3" xr3:uid="{AA197B33-47BB-4BAF-A361-87D6EF5238A3}" name="Element" dataDxfId="260"/>
    <tableColumn id="4" xr3:uid="{F57BAA77-910B-4FB5-A26F-6D636108C565}" name="Question" dataDxfId="259"/>
    <tableColumn id="5" xr3:uid="{1B2353CB-FCC5-44AB-9B10-EB1C6E9DE7E9}" name="KPI Name (Pillar)" dataDxfId="258"/>
    <tableColumn id="6" xr3:uid="{C19D7EF3-6BBE-446B-8E57-B473C04B4EB5}" name="Direction" dataDxfId="257"/>
    <tableColumn id="13" xr3:uid="{3160DBC1-A348-4280-8CFD-90D8B036ED80}" name="Value" dataDxfId="256"/>
    <tableColumn id="7" xr3:uid="{4081B974-7DC3-42EF-911A-C4DE09EACEE2}" name="Target_Min" dataDxfId="255"/>
    <tableColumn id="8" xr3:uid="{3CC1E1B2-BAF1-4D66-A02E-F0485BDD57EA}" name="Healthy_Min" dataDxfId="254"/>
    <tableColumn id="9" xr3:uid="{78139D8F-BEF2-4BC6-8C9B-10BCBE5D8B45}" name="Healthy_Max" dataDxfId="253"/>
    <tableColumn id="10" xr3:uid="{D8A19EA6-306E-431F-8B8D-BBA66CA84D1C}" name="Absolute_Max" dataDxfId="252"/>
    <tableColumn id="11" xr3:uid="{00B43D1A-F5E2-4FB2-AA14-8D78F39D4CE9}" name="Rationale / Philosophy" dataDxfId="251"/>
    <tableColumn id="12" xr3:uid="{42A4F0C5-F626-4423-966A-4E6092FED2E7}" name="Elemental_KPI_Normalized" dataDxfId="25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0318F1A-79BB-4805-AD5D-55A65A6E9A50}" name="Octave_2_KPIs" displayName="Octave_2_KPIs" ref="N13:X73" totalsRowShown="0" headerRowDxfId="249" tableBorderDxfId="248">
  <autoFilter ref="N13:X73" xr:uid="{D0318F1A-79BB-4805-AD5D-55A65A6E9A50}"/>
  <tableColumns count="11">
    <tableColumn id="1" xr3:uid="{7CD23F0B-583E-4F00-A5D0-0F40AA7C6609}" name="O2 - Structure (Focus: Stability)" dataDxfId="247"/>
    <tableColumn id="2" xr3:uid="{CAC6092C-8312-4CA9-87C9-0CA55FBC462C}" name="Element" dataDxfId="246"/>
    <tableColumn id="3" xr3:uid="{0ACDFC29-5A38-4C85-B053-F093D57BE7C0}" name="Elemental Question" dataDxfId="245"/>
    <tableColumn id="4" xr3:uid="{6A206835-07D3-4736-BBA4-19275597A477}" name="KPI Name (Pillar)" dataDxfId="244"/>
    <tableColumn id="5" xr3:uid="{6E4750A5-7AB1-4E5B-8E6F-24096543EEA4}" name="Direction" dataDxfId="243"/>
    <tableColumn id="6" xr3:uid="{A04D0148-25E7-46BD-8FB7-F9835A0B8072}" name="Target_Min" dataDxfId="242"/>
    <tableColumn id="7" xr3:uid="{A9BFE589-AB0C-4880-A3FF-BC7118B03526}" name="Healthy_Min" dataDxfId="241"/>
    <tableColumn id="8" xr3:uid="{DA514D19-4A59-44BE-BC7B-3EFE3C4BB668}" name="Healthy_Max" dataDxfId="240"/>
    <tableColumn id="9" xr3:uid="{2EBCDAC4-6ADA-4E22-9143-2A01C11D3469}" name="Absolute_Max" dataDxfId="239"/>
    <tableColumn id="10" xr3:uid="{23B2B825-860F-4CFF-BD56-1D25456796AA}" name="Rationale / Philosophy" dataDxfId="238"/>
    <tableColumn id="11" xr3:uid="{8AAA232E-B2C0-44A1-8185-F144E2162009}" name="Elemental_KPI_Normalized" dataDxfId="23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EB13628-41D3-4037-AE27-7D1C3A2E7DAE}" name="Octave_3_KPIs" displayName="Octave_3_KPIs" ref="Y13:AI73" totalsRowShown="0" headerRowDxfId="236" tableBorderDxfId="235">
  <autoFilter ref="Y13:AI73" xr:uid="{DEB13628-41D3-4037-AE27-7D1C3A2E7DAE}"/>
  <tableColumns count="11">
    <tableColumn id="1" xr3:uid="{89C294D7-B6AE-48E6-BC86-6B9A08F776F8}" name="O3 - Relationships (Focus: Connection)" dataDxfId="234"/>
    <tableColumn id="2" xr3:uid="{EEB453D8-8CDC-4617-A18E-57BF8B26CDC6}" name="Element" dataDxfId="233"/>
    <tableColumn id="3" xr3:uid="{282A051D-0C7B-4FD1-BD01-C893F909E44A}" name="Elemental Question" dataDxfId="232"/>
    <tableColumn id="4" xr3:uid="{82D9D92C-68CB-4A4F-B8D9-664CF0023D62}" name="KPI Name (Pillar)" dataDxfId="231"/>
    <tableColumn id="5" xr3:uid="{C123909F-C932-4030-B8A7-262DA3CB3FCB}" name="Direction" dataDxfId="230"/>
    <tableColumn id="6" xr3:uid="{229C6440-BB27-48D0-A86E-914B5590F493}" name="Target_Min" dataDxfId="229"/>
    <tableColumn id="7" xr3:uid="{5943F101-A0FA-4675-B768-58F6EA2295FB}" name="Healthy_Min" dataDxfId="228"/>
    <tableColumn id="8" xr3:uid="{DAA40E8E-0799-4AA8-AB3F-661FA5A57E10}" name="Healthy_Max" dataDxfId="227"/>
    <tableColumn id="9" xr3:uid="{A39274CD-4969-4AAD-8ED5-DF1F196F2CAF}" name="Absolute_Max" dataDxfId="226"/>
    <tableColumn id="10" xr3:uid="{DC4B72A8-A1BB-4EB0-99EC-DCF5C419D847}" name="Rationale / Philosophy (Defines the Envelope)" dataDxfId="225"/>
    <tableColumn id="11" xr3:uid="{2270C94E-EEBF-4F1B-AC65-29E545742368}" name="Elemental_KPI_Normalized18" dataDxfId="22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251E53A-0543-4C2F-870D-A4C50EFE5B05}" name="Octave_4_KPIs" displayName="Octave_4_KPIs" ref="AJ13:AT73" totalsRowShown="0" headerRowDxfId="223" tableBorderDxfId="222">
  <autoFilter ref="AJ13:AT73" xr:uid="{6251E53A-0543-4C2F-870D-A4C50EFE5B05}"/>
  <tableColumns count="11">
    <tableColumn id="1" xr3:uid="{01DF1366-24BC-4E33-ADA1-F3B38ECBE8DD}" name="O4 - Creativity (Focus: Possibility)" dataDxfId="221"/>
    <tableColumn id="2" xr3:uid="{4187AB35-884B-4726-92AB-FFC7D61A9E75}" name="Element" dataDxfId="220"/>
    <tableColumn id="3" xr3:uid="{D8E3DA0D-5FEB-4503-843A-7998F0EED08C}" name="Elemental Question" dataDxfId="219"/>
    <tableColumn id="4" xr3:uid="{4BE7C699-16F0-4087-80C7-08918850D45B}" name="KPI Name (Pillar)" dataDxfId="218"/>
    <tableColumn id="5" xr3:uid="{FE25F3D2-F042-4417-8C59-893CB46075B5}" name="Direction" dataDxfId="217"/>
    <tableColumn id="6" xr3:uid="{A85B8C58-E7F0-49FF-9756-07F47D5B2E3D}" name="Target_Min" dataDxfId="216"/>
    <tableColumn id="7" xr3:uid="{FD602E52-974E-4EBA-84B6-95244439B74C}" name="Healthy_Min" dataDxfId="215"/>
    <tableColumn id="8" xr3:uid="{6A1E1A0D-F278-4343-B724-396BBA4CCC40}" name="Healthy_Max" dataDxfId="214"/>
    <tableColumn id="9" xr3:uid="{995AF7F0-6B31-40F6-9334-B460CFAEFE2A}" name="Absolute_Max" dataDxfId="213"/>
    <tableColumn id="10" xr3:uid="{F63EE742-32AD-428C-B44B-A9415A0B9336}" name="Rationale / Philosophy (Defines the Envelope)" dataDxfId="212"/>
    <tableColumn id="11" xr3:uid="{85DA81B8-D730-4C98-B5F7-4E12F12F42B5}" name="Elemental_KPI_Normalized" dataDxfId="21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7348C0E-E322-4C06-B489-D81684C9BF58}" name="Octave_5_KPIs" displayName="Octave_5_KPIs" ref="AU13:BE73" totalsRowShown="0" headerRowDxfId="210" tableBorderDxfId="209">
  <autoFilter ref="AU13:BE73" xr:uid="{67348C0E-E322-4C06-B489-D81684C9BF58}"/>
  <tableColumns count="11">
    <tableColumn id="1" xr3:uid="{DB7B612B-2E6D-4406-A9C8-D81ADC1EA75F}" name="O5 - Expression (Focus: Clarity)" dataDxfId="208"/>
    <tableColumn id="2" xr3:uid="{8EDC2018-A887-46C0-8ADC-456C634F0B4A}" name="Element" dataDxfId="207"/>
    <tableColumn id="3" xr3:uid="{579EA88A-6501-4B9E-B65E-455170D3CD31}" name="Elemental Question" dataDxfId="206"/>
    <tableColumn id="4" xr3:uid="{FFC7BCFF-CE9A-4140-A00B-998397168616}" name="KPI Name (Pillar)" dataDxfId="205"/>
    <tableColumn id="5" xr3:uid="{BF9D908F-417B-4689-8292-C4CB493CBCF0}" name="Direction" dataDxfId="204"/>
    <tableColumn id="6" xr3:uid="{1B6DC0D6-A03C-4DD0-B918-9E95124FC388}" name="Target_Min" dataDxfId="203"/>
    <tableColumn id="7" xr3:uid="{F7626870-8E80-4CBD-A09E-E434153701CD}" name="Healthy_Min" dataDxfId="202"/>
    <tableColumn id="8" xr3:uid="{AD4C76E2-7A9B-418F-B9FF-EDA8C39DF04D}" name="Healthy_Max" dataDxfId="201"/>
    <tableColumn id="9" xr3:uid="{B542418E-BAEA-43D3-B0B5-42922237F683}" name="Absolute_Max" dataDxfId="200"/>
    <tableColumn id="10" xr3:uid="{1A7E24E4-5DE7-436C-9792-B223C5041B24}" name="Rationale / Philosophy (Defines the Envelope)" dataDxfId="199"/>
    <tableColumn id="11" xr3:uid="{5A175491-5B16-449A-8F08-923D03169042}" name="Elemental_KPI_Normalized" dataDxfId="19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30709F1-BB2F-43A8-BE5A-5110C588FB18}" name="Octave_6_KPIs" displayName="Octave_6_KPIs" ref="BF13:BP73" totalsRowShown="0" headerRowDxfId="197" tableBorderDxfId="196">
  <autoFilter ref="BF13:BP73" xr:uid="{C30709F1-BB2F-43A8-BE5A-5110C588FB18}"/>
  <tableColumns count="11">
    <tableColumn id="1" xr3:uid="{82650B77-26F3-4CD8-BDB8-3D4CEFF05F2D}" name="O6 - Vision (Focus: Direction)" dataDxfId="195"/>
    <tableColumn id="2" xr3:uid="{77C56AE1-870B-4930-966C-A89C0D3E26F8}" name="Element" dataDxfId="194"/>
    <tableColumn id="3" xr3:uid="{81E08B3B-6A85-4908-A000-4031C8F3F3E5}" name="Elemental Question" dataDxfId="193"/>
    <tableColumn id="4" xr3:uid="{ED801601-3CC8-4CC7-9DB4-25EB6D8C6B3E}" name="KPI Name (Pillar)" dataDxfId="192"/>
    <tableColumn id="5" xr3:uid="{99C9B850-BBD8-47F9-9B36-FA635F7CE9A1}" name="Direction" dataDxfId="191"/>
    <tableColumn id="6" xr3:uid="{968DC7CC-1281-47C7-A1DF-B9B1A813FA7C}" name="Target_Min" dataDxfId="190"/>
    <tableColumn id="7" xr3:uid="{62416B69-F37C-42E7-B330-99A6C3FE53A5}" name="Healthy_Min" dataDxfId="189"/>
    <tableColumn id="8" xr3:uid="{ED6F3760-D889-45EA-AAC3-12E58A6685B3}" name="Healthy_Max" dataDxfId="188"/>
    <tableColumn id="9" xr3:uid="{90FFEA23-E8A2-4F80-A3C2-90FEE40A43C0}" name="Absolute_Max" dataDxfId="187"/>
    <tableColumn id="10" xr3:uid="{A3119AF2-EAB8-41EB-AE2B-D59979C06529}" name="Rationale / Philosophy (Defines the Envelope)" dataDxfId="186"/>
    <tableColumn id="11" xr3:uid="{DD0BF8DF-C104-431A-B215-75D25E2F3391}" name="Elemental_KPI_Normalized" dataDxfId="18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F09303A-D7E6-4786-A763-A346FB73A5B2}" name="Octave_7_KPIs" displayName="Octave_7_KPIs" ref="BQ13:CA73" totalsRowShown="0" headerRowDxfId="184" tableBorderDxfId="183">
  <autoFilter ref="BQ13:CA73" xr:uid="{FF09303A-D7E6-4786-A763-A346FB73A5B2}"/>
  <tableColumns count="11">
    <tableColumn id="1" xr3:uid="{2D16124E-8DF0-4A7E-8B7C-493A44794893}" name="O7 - Radiance (Focus: Service)" dataDxfId="182"/>
    <tableColumn id="2" xr3:uid="{2A64B8E5-4E68-4B6F-B259-D3DDCC645583}" name="Element" dataDxfId="181"/>
    <tableColumn id="3" xr3:uid="{4553DCF9-9E29-49FF-AE5A-9BAEE5A49065}" name="Elemental Question" dataDxfId="180"/>
    <tableColumn id="4" xr3:uid="{547B3B39-7610-4982-8C16-08012BA32964}" name="KPI Name (Pillar)" dataDxfId="179"/>
    <tableColumn id="5" xr3:uid="{5C22746C-2A1E-42AF-A65A-B813BED3D49F}" name="Direction" dataDxfId="178"/>
    <tableColumn id="6" xr3:uid="{DDE5CEE4-36E2-45F5-A40A-BA64CEFC3DC1}" name="Target_Min" dataDxfId="177"/>
    <tableColumn id="7" xr3:uid="{C39C4C04-8974-4616-A4C5-4F1CDE33836D}" name="Healthy_Min" dataDxfId="176"/>
    <tableColumn id="8" xr3:uid="{4FB528FF-A18B-4CF4-AAF7-74A30D0690DA}" name="Healthy_Max" dataDxfId="175"/>
    <tableColumn id="9" xr3:uid="{C09FBD39-954B-4FFE-BF44-0C68072AC14D}" name="Absolute_Max" dataDxfId="174"/>
    <tableColumn id="10" xr3:uid="{D2DC0EC9-8E7B-493D-B23E-A259D92A166A}" name="Rationale / Philosophy (Defines the Envelope)" dataDxfId="173"/>
    <tableColumn id="11" xr3:uid="{FD48E2E4-5FAB-4587-A0B1-8ECA89C73586}" name="Elemental_KPI_Normalized" dataDxfId="17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4CC7BC-27AE-46E9-8DB9-742064E068A2}" name="Table4" displayName="Table4" ref="A1:L13" totalsRowShown="0" headerRowDxfId="171">
  <autoFilter ref="A1:L13" xr:uid="{764CC7BC-27AE-46E9-8DB9-742064E068A2}"/>
  <sortState xmlns:xlrd2="http://schemas.microsoft.com/office/spreadsheetml/2017/richdata2" ref="A2:L13">
    <sortCondition descending="1" ref="L1:L13"/>
  </sortState>
  <tableColumns count="12">
    <tableColumn id="1" xr3:uid="{E540762E-D8DB-43A4-AD2B-50B5971A0EA9}" name="Department" dataDxfId="170">
      <calculatedColumnFormula>DODECA_ENGINE!B2</calculatedColumnFormula>
    </tableColumn>
    <tableColumn id="2" xr3:uid="{177CC898-53FB-4E12-8997-8F98E6D283FF}" name="Dodecahedron's Face" dataDxfId="169"/>
    <tableColumn id="3" xr3:uid="{58192CDD-E7A9-4418-B6F7-A4FA451D988A}" name="O1" dataDxfId="168">
      <calculatedColumnFormula>IFERROR(AVERAGEIFS(KPI_DATABASE!$M:$M, KPI_DATABASE!$D:$D, $B2, KPI_DATABASE!$E:$E, C$1), "")</calculatedColumnFormula>
    </tableColumn>
    <tableColumn id="4" xr3:uid="{1A439F31-EB19-4E89-92D3-18C1FE24785E}" name="O2" dataDxfId="167">
      <calculatedColumnFormula>IFERROR(AVERAGEIFS(KPI_DATABASE!$M:$M, KPI_DATABASE!$D:$D, $B2, KPI_DATABASE!$E:$E, D$1), "")</calculatedColumnFormula>
    </tableColumn>
    <tableColumn id="5" xr3:uid="{920EC926-13F9-492A-AA2C-97FFAC8D4ECF}" name="O3" dataDxfId="166">
      <calculatedColumnFormula>IFERROR(AVERAGEIFS(KPI_DATABASE!$M:$M, KPI_DATABASE!$D:$D, $B2, KPI_DATABASE!$E:$E, E$1), "")</calculatedColumnFormula>
    </tableColumn>
    <tableColumn id="6" xr3:uid="{5C5D29F3-9732-4248-AE2D-11E207DF913F}" name="O4" dataDxfId="165">
      <calculatedColumnFormula>IFERROR(AVERAGEIFS(KPI_DATABASE!$M:$M, KPI_DATABASE!$D:$D, $B2, KPI_DATABASE!$E:$E, F$1), "")</calculatedColumnFormula>
    </tableColumn>
    <tableColumn id="7" xr3:uid="{68A351E1-8547-42CF-88DC-C9AC42CACA6F}" name="O5" dataDxfId="164">
      <calculatedColumnFormula>IFERROR(AVERAGEIFS(KPI_DATABASE!$M:$M, KPI_DATABASE!$D:$D, $B2, KPI_DATABASE!$E:$E, G$1), "")</calculatedColumnFormula>
    </tableColumn>
    <tableColumn id="8" xr3:uid="{D6485356-1624-48D2-82F6-51FF6D59AEC5}" name="O6" dataDxfId="163">
      <calculatedColumnFormula>IFERROR(AVERAGEIFS(KPI_DATABASE!$M:$M, KPI_DATABASE!$D:$D, $B2, KPI_DATABASE!$E:$E, H$1), "")</calculatedColumnFormula>
    </tableColumn>
    <tableColumn id="9" xr3:uid="{27A6AD1F-8E39-4A0B-8564-04A059FB5331}" name="O7" dataDxfId="162">
      <calculatedColumnFormula>IFERROR(AVERAGEIFS(KPI_DATABASE!$M:$M, KPI_DATABASE!$D:$D, $B2, KPI_DATABASE!$E:$E, I$1), "")</calculatedColumnFormula>
    </tableColumn>
    <tableColumn id="10" xr3:uid="{3892A31D-37C3-4BBA-9578-7086643CA797}" name="Department Mean (μ)" dataDxfId="161">
      <calculatedColumnFormula>AVERAGE(C2:I2)</calculatedColumnFormula>
    </tableColumn>
    <tableColumn id="11" xr3:uid="{56825622-FB9C-4229-89EA-8846BCB884BA}" name="Dept. Variance (σ²)" dataDxfId="160">
      <calculatedColumnFormula>_xlfn.VAR.P(C2:I2)</calculatedColumnFormula>
    </tableColumn>
    <tableColumn id="12" xr3:uid="{10C7A49C-776A-423C-8492-A809E6A1EEA8}" name="Department Coherence" dataDxfId="159">
      <calculatedColumnFormula>J2 - (0.3 * K2)</calculatedColumnFormula>
    </tableColumn>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3A274C-9C38-4934-9B67-553B7B6A8A7A}" name="KPI_Database" displayName="KPI_Database" ref="A1:V13" totalsRowShown="0" headerRowDxfId="158" tableBorderDxfId="157">
  <autoFilter ref="A1:V13" xr:uid="{113A274C-9C38-4934-9B67-553B7B6A8A7A}"/>
  <tableColumns count="22">
    <tableColumn id="1" xr3:uid="{1374DEFE-B456-4986-9425-938891403F75}" name="KPI_ID"/>
    <tableColumn id="2" xr3:uid="{9D2AE946-5F8A-40D4-9A6B-5F37A1A4C0D6}" name="KPI_Name" dataDxfId="156"/>
    <tableColumn id="3" xr3:uid="{0686D6BD-58E7-467E-AFB8-68ED8B7A0C08}" name="Responsible" dataDxfId="155"/>
    <tableColumn id="4" xr3:uid="{03BF6728-9385-45D6-BD88-E6BBCBC3AE8D}" name="Face_ID" dataDxfId="154"/>
    <tableColumn id="5" xr3:uid="{707EFFD0-9447-4110-88A1-1D25F577892B}" name="Primary_ Octave"/>
    <tableColumn id="6" xr3:uid="{7848DCC1-4D3B-4C57-860B-5E5EF17D82AD}" name="Direction" dataDxfId="153"/>
    <tableColumn id="7" xr3:uid="{D8BC1972-C69D-4CFD-8602-F6D25EDE3056}" name="Weight" dataDxfId="152"/>
    <tableColumn id="8" xr3:uid="{44FB29A3-C8B4-4845-A052-2DD50FD851EC}" name="Unit" dataDxfId="151"/>
    <tableColumn id="9" xr3:uid="{6B967145-6BFB-441A-9777-AE694FEFA013}" name="Value" dataDxfId="150"/>
    <tableColumn id="10" xr3:uid="{5167D2B0-756B-412C-8120-109249D01C27}" name="Target_Ideal" dataDxfId="149"/>
    <tableColumn id="11" xr3:uid="{B246BE61-C3CF-4545-8AFB-BCE0E3310CA7}" name="Target_Min" dataDxfId="148"/>
    <tableColumn id="12" xr3:uid="{7AB5F018-B4FA-4773-B927-C55CA561FCEB}" name="K_Normalized" dataDxfId="147">
      <calculatedColumnFormula>MAX(0,MIN(1, (I2-K2)/(J2-K2)))</calculatedColumnFormula>
    </tableColumn>
    <tableColumn id="13" xr3:uid="{0919CDD1-9B92-44C9-93A2-9699F8E1BC88}" name="Face_Energy" dataDxfId="146">
      <calculatedColumnFormula>L2*G2</calculatedColumnFormula>
    </tableColumn>
    <tableColumn id="16" xr3:uid="{533FAC20-1C64-4BAE-8A82-0E874AE8D080}" name="Final_Axis_Face_Energy" dataDxfId="145">
      <calculatedColumnFormula>DODECA_ENGINE!K2</calculatedColumnFormula>
    </tableColumn>
    <tableColumn id="14" xr3:uid="{F5AEB8CC-E514-4EF9-A1A6-6E7DCE9857E3}" name="Delta_Value" dataDxfId="144">
      <calculatedColumnFormula>_xlfn.XLOOKUP(KPI_DATABASE!D2,DODECA_ENGINE!$B$65:$B$76,DODECA_ENGINE!$C$65:$C$76)</calculatedColumnFormula>
    </tableColumn>
    <tableColumn id="19" xr3:uid="{7BEDDF13-AC58-49EB-A1F3-9143F0E292D6}" name="Delta_Value (Sensitive)" dataDxfId="143">
      <calculatedColumnFormula>IFERROR(_xlfn.XLOOKUP(KPI_Database[[#This Row],[Face_ID]], DODECA_ENGINE!$B$108:$B$119,DODECA_ENGINE!$E$108:$E$119), 0)</calculatedColumnFormula>
    </tableColumn>
    <tableColumn id="27" xr3:uid="{6F9D6EE8-14E9-4C99-BD0C-9402AFA746F9}" name="Healthy_Min" dataDxfId="142"/>
    <tableColumn id="26" xr3:uid="{0DF760B6-CE6F-40D8-A093-F9074E2FFCE1}" name="Healthy_Max" dataDxfId="141"/>
    <tableColumn id="25" xr3:uid="{37BF7D4E-728B-410A-97A7-D1103BB41556}" name="Absolute_Max" dataDxfId="140"/>
    <tableColumn id="17" xr3:uid="{1DEDBF8E-ACAE-4F11-9FBD-C3D00B26621A}" name="Rationale / Strategic Philosophy" dataDxfId="139"/>
    <tableColumn id="15" xr3:uid="{90B64BD0-445D-4C6F-B801-4FAD46C7FCBA}" name="Increased Sensitivity KPI Target" dataDxfId="138">
      <calculatedColumnFormula>IFERROR(IF(O2&gt;0,(((_xlfn.IFNA(INDEX(DODECA_ENGINE!$L$108:$L$117, MATCH(B2, DODECA_ENGINE!$C$108:$C$117, 0)), NA()))*KPI_Database[[#This Row],[Value]])/KPI_Database[[#This Row],[K_Normalized]]),  "Pause &amp; Rebalance. Focus on Positive Deltas"),  "Pause &amp; Rebalance. Focus on Positive Deltas")</calculatedColumnFormula>
    </tableColumn>
    <tableColumn id="18" xr3:uid="{C7C9D789-03BF-404F-A049-349FA272AB17}" name="Actionable KPI Target" dataDxfId="137">
      <calculatedColumnFormula>IFERROR(IF(P2&gt;0,(((_xlfn.IFNA(INDEX(DODECA_ENGINE!$L$108:$L$117, MATCH(B2, DODECA_ENGINE!$C$108:$C$117, 0)), NA()))*KPI_Database[[#This Row],[Value]])/KPI_Database[[#This Row],[K_Normalized]]),  "Pause &amp; Rebalance. Focus on Positive Deltas"),  "Pause &amp; Rebalance. Focus on Positive Deltas")</calculatedColumnFormula>
    </tableColumn>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B73B3C-63F5-4D6C-9E7E-59E5A707E04C}" name="Vortex_Map" displayName="Vortex_Map" ref="A1:P21" totalsRowShown="0" headerRowDxfId="136">
  <autoFilter ref="A1:P21" xr:uid="{9BB73B3C-63F5-4D6C-9E7E-59E5A707E04C}"/>
  <sortState xmlns:xlrd2="http://schemas.microsoft.com/office/spreadsheetml/2017/richdata2" ref="A2:P21">
    <sortCondition ref="A1:A21"/>
  </sortState>
  <tableColumns count="16">
    <tableColumn id="1" xr3:uid="{0E735A7B-F97F-404D-90C7-5BA1566B7BB5}" name="Vertex_ID" dataDxfId="135"/>
    <tableColumn id="2" xr3:uid="{42473D32-B5A1-461F-8E1D-44A5D61CF13F}" name="Face_1_ID" dataDxfId="134">
      <calculatedColumnFormula array="1">IFERROR("Face " &amp; _xlfn.LET(
_xlpm.Vertex, $A2,
_xlpm.Table1, $S$2:$T$11,
_xlpm.Table2, $S$12:$T$21,
_xlpm.FaceString, IFERROR(VLOOKUP(_xlpm.Vertex, _xlpm.Table1, 2, FALSE), VLOOKUP(_xlpm.Vertex, _xlpm.Table2, 2, FALSE)),
_xlpm.FaceArray, _xlfn.TEXTSPLIT(_xlpm.FaceString, ", "),
INDEX(_xlpm.FaceArray, COLUMN(A1))
), "")</calculatedColumnFormula>
    </tableColumn>
    <tableColumn id="3" xr3:uid="{8485645C-4F6A-4442-9906-335CF3BD8500}" name="Face_2_ID" dataDxfId="133">
      <calculatedColumnFormula array="1">IFERROR("Face " &amp; _xlfn.LET(
_xlpm.Vertex, $A2,
_xlpm.Table1, $S$2:$T$11,
_xlpm.Table2, $S$12:$T$21,
_xlpm.FaceString, IFERROR(VLOOKUP(_xlpm.Vertex, _xlpm.Table1, 2, FALSE), VLOOKUP(_xlpm.Vertex, _xlpm.Table2, 2, FALSE)),
_xlpm.FaceArray, _xlfn.TEXTSPLIT(_xlpm.FaceString, ", "),
INDEX(_xlpm.FaceArray, COLUMN(B1))
), "")</calculatedColumnFormula>
    </tableColumn>
    <tableColumn id="4" xr3:uid="{F85CD635-280D-4DD7-B280-8CF144075E7E}" name="Face_3_ID" dataDxfId="132">
      <calculatedColumnFormula array="1">IFERROR("Face " &amp; _xlfn.LET(
_xlpm.Vertex, $A2,
_xlpm.Table1, $S$2:$T$11,
_xlpm.Table2, $S$12:$T$21,
_xlpm.FaceString, IFERROR(VLOOKUP(_xlpm.Vertex, _xlpm.Table1, 2, FALSE), VLOOKUP(_xlpm.Vertex, _xlpm.Table2, 2, FALSE)),
_xlpm.FaceArray, _xlfn.TEXTSPLIT(_xlpm.FaceString, ", "),
INDEX(_xlpm.FaceArray, COLUMN(C1))
), "")</calculatedColumnFormula>
    </tableColumn>
    <tableColumn id="5" xr3:uid="{9EF70B2A-6D0E-48C7-932B-EC4AF35CFB01}" name="Face_1_Energy (E₁)" dataDxfId="131">
      <calculatedColumnFormula>VLOOKUP(B2, DODECA_ENGINE!$A$2:$K$13, 11, FALSE)</calculatedColumnFormula>
    </tableColumn>
    <tableColumn id="6" xr3:uid="{F7902D42-4EF0-4251-B615-F187110FB606}" name="Face_2_Energy (E₂)" dataDxfId="130">
      <calculatedColumnFormula>VLOOKUP(C2, DODECA_ENGINE!$A$2:$K$13, 11, FALSE)</calculatedColumnFormula>
    </tableColumn>
    <tableColumn id="7" xr3:uid="{F9D7CEEC-8989-4CAA-AE80-9A5B7935C8E8}" name="Face_3_Energy (E₃)" dataDxfId="129">
      <calculatedColumnFormula>VLOOKUP(D2, DODECA_ENGINE!$A$2:$K$13, 11, FALSE)</calculatedColumnFormula>
    </tableColumn>
    <tableColumn id="8" xr3:uid="{7FA1E2BA-5ACA-4009-9746-D13A87DC74BD}" name="Macro V-Mean (Avg. Energy)" dataDxfId="128">
      <calculatedColumnFormula>AVERAGE(E2:G2)</calculatedColumnFormula>
    </tableColumn>
    <tableColumn id="12" xr3:uid="{90890624-88B2-49ED-9611-89ECFB25D7C2}" name="Macro Vortex Strength(ω)" dataDxfId="127">
      <calculatedColumnFormula>(ABS(F2-E2) + ABS(G2-F2) + ABS(E2-G2)) / 3</calculatedColumnFormula>
    </tableColumn>
    <tableColumn id="18" xr3:uid="{1EF03CF9-2D75-461D-B497-21D20E7F3267}" name="Normalize_Macro_Vortex (ω)" dataDxfId="126">
      <calculatedColumnFormula>Vortex_Map[[#This Row],[Macro Vortex Strength(ω)]]/(2/3)</calculatedColumnFormula>
    </tableColumn>
    <tableColumn id="13" xr3:uid="{A3DEE6CC-9735-49C8-A761-CC37C7176951}" name="Micro V-Mean (Avg of 9 KPIs)" dataDxfId="125">
      <calculatedColumnFormula>_xlfn.XLOOKUP(Vortex_Map[[#This Row],[Vertex_ID]],$S$2:$S$21,$AM$2:$AM$21)</calculatedColumnFormula>
    </tableColumn>
    <tableColumn id="15" xr3:uid="{FF3CACAB-B24B-49F7-A704-9206FACED5BC}" name="Micro Vortex (ω)" dataDxfId="124">
      <calculatedColumnFormula>_xlfn.XLOOKUP(Vortex_Map[[#This Row],[Vertex_ID]],$S$2:$S$21,$AN$2:$AN$21)</calculatedColumnFormula>
    </tableColumn>
    <tableColumn id="20" xr3:uid="{B06470FF-01F5-452B-AB17-4DF02D81A4D4}" name="Normalized_Micro_Vortex(ω)" dataDxfId="123">
      <calculatedColumnFormula>Vortex_Map[[#This Row],[Micro Vortex (ω)]]/(2/3)</calculatedColumnFormula>
    </tableColumn>
    <tableColumn id="16" xr3:uid="{16C9C677-ED6A-4C9F-98A1-15F08B75B487}" name="Overall Vertex Coherence" dataDxfId="122">
      <calculatedColumnFormula xml:space="preserve"> (H2 * (1 - J2)) * (K2 * (1 - M2))</calculatedColumnFormula>
    </tableColumn>
    <tableColumn id="14" xr3:uid="{5E950510-48B5-43B4-AD7E-6AB594E39221}" name="Coherance-To-Variance-Ratio" dataDxfId="121">
      <calculatedColumnFormula>Vortex_Map[[#This Row],[Micro V-Mean (Avg of 9 KPIs)]]/Vortex_Map[[#This Row],[Micro Vortex (ω)]]</calculatedColumnFormula>
    </tableColumn>
    <tableColumn id="11" xr3:uid="{BEF94A38-0496-4E3D-BFA1-3FDC6962678E}" name="Departments" dataDxfId="120">
      <calculatedColumnFormula>_xlfn.XLOOKUP(Vortex_Map[[#This Row],[Face_1_ID]],DODECA_ENGINE!$A$2:$A$13,DODECA_ENGINE!$B$2:$B$13) &amp; " , " &amp; _xlfn.XLOOKUP(Vortex_Map[[#This Row],[Face_2_ID]],DODECA_ENGINE!$A$2:$A$13,DODECA_ENGINE!$B$2:$B$13) &amp; " , " &amp; _xlfn.XLOOKUP(Vortex_Map[[#This Row],[Face_3_ID]],DODECA_ENGINE!$A$2:$A$13,DODECA_ENGINE!$B$2:$B$13)</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501BDC-6950-46B8-9AAD-F7CB422588C3}" name="Edge_Tension_Map" displayName="Edge_Tension_Map" ref="A1:O31" totalsRowShown="0" headerRowDxfId="119" tableBorderDxfId="118">
  <autoFilter ref="A1:O31" xr:uid="{AF501BDC-6950-46B8-9AAD-F7CB422588C3}"/>
  <sortState xmlns:xlrd2="http://schemas.microsoft.com/office/spreadsheetml/2017/richdata2" ref="A2:O31">
    <sortCondition ref="H1:H31"/>
  </sortState>
  <tableColumns count="15">
    <tableColumn id="1" xr3:uid="{DF5BC436-C14A-4C89-8D37-B7FB2577EAED}" name="Edge_ID" dataDxfId="117"/>
    <tableColumn id="2" xr3:uid="{251ABF1B-BA73-49E0-820B-9A6BF25B8B39}" name="Face_A_ID" dataDxfId="116"/>
    <tableColumn id="3" xr3:uid="{F298F2FE-4529-48A9-B7E1-E69C2F5DB0CA}" name="Face_B_ID" dataDxfId="115"/>
    <tableColumn id="4" xr3:uid="{4A4663F1-F1DF-42AD-9ECC-1725FF4A8CB6}" name="Edge Archytype" dataDxfId="114">
      <calculatedColumnFormula>_xlfn.XLOOKUP(B2, DODECA_ENGINE!A:A, DODECA_ENGINE!B:B) &amp; " ↔ " &amp; _xlfn.XLOOKUP(C2, DODECA_ENGINE!A:A, DODECA_ENGINE!B:B)</calculatedColumnFormula>
    </tableColumn>
    <tableColumn id="5" xr3:uid="{55876E2F-0B15-40C3-A9C2-DE6F314EF299}" name="Face_A_Energy (Eₐ)" dataDxfId="113">
      <calculatedColumnFormula>_xlfn.XLOOKUP(Edge_Tension_Map[[#This Row],[Face_A_ID]],DODECA_ENGINE!$A$2:$A$13,E_Vector)</calculatedColumnFormula>
    </tableColumn>
    <tableColumn id="6" xr3:uid="{E54FE33F-B012-4EEF-B683-A032CA469CA2}" name="Face_B_Energy (Eᵦ)" dataDxfId="112">
      <calculatedColumnFormula>_xlfn.XLOOKUP(Edge_Tension_Map[[#This Row],[Face_B_ID]],DODECA_ENGINE!$A$2:$A$13,E_Vector)</calculatedColumnFormula>
    </tableColumn>
    <tableColumn id="7" xr3:uid="{D0E9874E-9C01-4888-9EDC-372F99CCC481}" name="Edge_tension" dataDxfId="111">
      <calculatedColumnFormula>ABS(E2-F2)</calculatedColumnFormula>
    </tableColumn>
    <tableColumn id="8" xr3:uid="{22336DA2-C7E9-4765-9614-3A1B8BDE8CEF}" name="Edge Breath Ratio Eₐ-Eᵦ" dataDxfId="110">
      <calculatedColumnFormula>IF(F2&gt;0, E2/F2, 1000)</calculatedColumnFormula>
    </tableColumn>
    <tableColumn id="13" xr3:uid="{B6F42447-F083-4048-800D-DABC91F099FA}" name="Edge KPI Coherence" dataDxfId="109">
      <calculatedColumnFormula>1-Edge_Tension_Map[[#This Row],[Edge_tension]]</calculatedColumnFormula>
    </tableColumn>
    <tableColumn id="9" xr3:uid="{29811873-2ACF-454D-A318-B9240F3F738F}" name="Edge KPI Name" dataDxfId="108"/>
    <tableColumn id="14" xr3:uid="{5CC40D1C-D4CE-4F5F-9C3B-75AA4F93FB1B}" name="Metric / How to Measure (The &quot;What&quot;)" dataDxfId="107"/>
    <tableColumn id="12" xr3:uid="{F741F58B-D0FD-4B34-96D8-80FCC947C2B7}" name="Calculation System (The &quot;How&quot;)" dataDxfId="106"/>
    <tableColumn id="10" xr3:uid="{23454E73-F54C-401E-8AB4-DE49EBDBC1F5}" name="Edge KPI Value" dataDxfId="105"/>
    <tableColumn id="15" xr3:uid="{05DFA4A4-B9F3-4F33-9DD3-80E4ED2487D3}" name="Elemental Nature of the Relationship" dataDxfId="104"/>
    <tableColumn id="16" xr3:uid="{AE3B24E4-5AF9-4D93-8F45-2B3094CEF4F1}" name="The Question this Edge Asks" dataDxfId="103"/>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4C44D66-72E1-42C9-9EC8-6D33B2731E4C}">
  <we:reference id="WA200004935" version="6.0.0.0" store="Omex" storeType="OMEX"/>
  <we:alternateReferences>
    <we:reference id="WA200004935" version="6.0.0.0" store="WA200004935"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_xldudf_FORMULABOT_CLASSIFY</we:customFunctionIds>
        <we:customFunctionIds>_xldudf_FORMULABOT_EXTRACT</we:customFunctionIds>
        <we:customFunctionIds>_xldudf_FORMULABOT_SENTIMENT</we:customFunctionIds>
        <we:customFunctionIds>_xldudf_FORMULABOT_INFO</we:customFunctionIds>
        <we:customFunctionIds>_xldudf_FORMULABOT_FREEFORM</we:customFunctionIds>
        <we:customFunctionIds>_xldudf_FORMULABOT_INFER</we:customFunctionIds>
      </we:customFunctionIdList>
    </a:ext>
  </we:extLst>
</we:webextension>
</file>

<file path=xl/worksheets/_rels/sheet4.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openxmlformats.org/officeDocument/2006/relationships/table" Target="../tables/table4.xml"/><Relationship Id="rId5" Type="http://schemas.openxmlformats.org/officeDocument/2006/relationships/table" Target="../tables/table3.xml"/><Relationship Id="rId10" Type="http://schemas.openxmlformats.org/officeDocument/2006/relationships/comments" Target="../comments1.xml"/><Relationship Id="rId4" Type="http://schemas.openxmlformats.org/officeDocument/2006/relationships/table" Target="../tables/table2.xml"/><Relationship Id="rId9"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9.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10.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5C3F3-9D8D-4C2D-BA0D-E4425FED7E52}">
  <dimension ref="A1:Y69"/>
  <sheetViews>
    <sheetView workbookViewId="0">
      <selection activeCell="B8" sqref="B8"/>
    </sheetView>
  </sheetViews>
  <sheetFormatPr defaultRowHeight="14.4"/>
  <cols>
    <col min="1" max="1" width="22.88671875" customWidth="1"/>
    <col min="2" max="2" width="38.21875" customWidth="1"/>
    <col min="3" max="3" width="23.6640625" bestFit="1" customWidth="1"/>
    <col min="4" max="4" width="8.88671875" customWidth="1"/>
  </cols>
  <sheetData>
    <row r="1" spans="1:25">
      <c r="A1" s="512" t="s">
        <v>0</v>
      </c>
      <c r="B1" s="512" t="s">
        <v>2158</v>
      </c>
      <c r="C1" s="512" t="s">
        <v>1</v>
      </c>
      <c r="Y1" t="s">
        <v>50</v>
      </c>
    </row>
    <row r="2" spans="1:25">
      <c r="A2" s="1" t="s">
        <v>2</v>
      </c>
      <c r="B2" s="2" t="s">
        <v>3</v>
      </c>
      <c r="C2" s="3" t="s">
        <v>81</v>
      </c>
    </row>
    <row r="3" spans="1:25">
      <c r="A3" s="1" t="s">
        <v>4</v>
      </c>
      <c r="B3" s="2" t="s">
        <v>5</v>
      </c>
      <c r="C3" s="3" t="s">
        <v>6</v>
      </c>
      <c r="Y3" t="s">
        <v>51</v>
      </c>
    </row>
    <row r="4" spans="1:25">
      <c r="A4" s="1" t="s">
        <v>7</v>
      </c>
      <c r="B4" s="2" t="s">
        <v>8</v>
      </c>
      <c r="C4" s="3" t="s">
        <v>9</v>
      </c>
    </row>
    <row r="5" spans="1:25">
      <c r="A5" s="1" t="s">
        <v>10</v>
      </c>
      <c r="B5" s="2" t="s">
        <v>11</v>
      </c>
      <c r="C5" s="3" t="s">
        <v>12</v>
      </c>
      <c r="Y5" t="s">
        <v>52</v>
      </c>
    </row>
    <row r="6" spans="1:25">
      <c r="A6" s="1" t="s">
        <v>13</v>
      </c>
      <c r="B6" s="2" t="s">
        <v>14</v>
      </c>
      <c r="C6" s="3" t="s">
        <v>15</v>
      </c>
    </row>
    <row r="7" spans="1:25">
      <c r="A7" s="1" t="s">
        <v>16</v>
      </c>
      <c r="B7" s="2" t="s">
        <v>17</v>
      </c>
      <c r="C7" s="3" t="s">
        <v>18</v>
      </c>
      <c r="Y7" s="5" t="s">
        <v>53</v>
      </c>
    </row>
    <row r="8" spans="1:25">
      <c r="A8" s="1" t="s">
        <v>19</v>
      </c>
      <c r="B8" s="2" t="s">
        <v>20</v>
      </c>
      <c r="C8" s="3" t="s">
        <v>21</v>
      </c>
    </row>
    <row r="9" spans="1:25">
      <c r="A9" s="1" t="s">
        <v>22</v>
      </c>
      <c r="B9" s="2" t="s">
        <v>23</v>
      </c>
      <c r="C9" s="3" t="s">
        <v>24</v>
      </c>
      <c r="Y9" t="s">
        <v>54</v>
      </c>
    </row>
    <row r="10" spans="1:25" ht="30.6">
      <c r="A10" s="4" t="s">
        <v>25</v>
      </c>
      <c r="B10" s="1" t="s">
        <v>26</v>
      </c>
      <c r="C10" s="3">
        <v>6</v>
      </c>
    </row>
    <row r="11" spans="1:25" ht="20.399999999999999">
      <c r="A11" s="4" t="s">
        <v>27</v>
      </c>
      <c r="B11" s="1" t="s">
        <v>28</v>
      </c>
      <c r="C11" s="3">
        <v>12</v>
      </c>
      <c r="Y11" t="s">
        <v>55</v>
      </c>
    </row>
    <row r="12" spans="1:25" ht="20.399999999999999">
      <c r="A12" s="4" t="s">
        <v>29</v>
      </c>
      <c r="B12" s="1" t="s">
        <v>30</v>
      </c>
      <c r="C12" s="3">
        <v>3</v>
      </c>
    </row>
    <row r="13" spans="1:25" ht="20.399999999999999">
      <c r="A13" s="4" t="s">
        <v>31</v>
      </c>
      <c r="B13" s="2" t="s">
        <v>32</v>
      </c>
      <c r="C13" s="3">
        <f>MAX(0, MIN(1, (C10-C12)/(C11-C12)))</f>
        <v>0.33333333333333331</v>
      </c>
    </row>
    <row r="15" spans="1:25" ht="18">
      <c r="Y15" s="9" t="s">
        <v>56</v>
      </c>
    </row>
    <row r="17" spans="25:25">
      <c r="Y17" t="s">
        <v>57</v>
      </c>
    </row>
    <row r="19" spans="25:25">
      <c r="Y19" t="s">
        <v>58</v>
      </c>
    </row>
    <row r="21" spans="25:25">
      <c r="Y21" t="s">
        <v>59</v>
      </c>
    </row>
    <row r="23" spans="25:25">
      <c r="Y23" s="5" t="s">
        <v>60</v>
      </c>
    </row>
    <row r="24" spans="25:25">
      <c r="Y24" s="10"/>
    </row>
    <row r="25" spans="25:25">
      <c r="Y25" s="11" t="s">
        <v>61</v>
      </c>
    </row>
    <row r="26" spans="25:25">
      <c r="Y26" s="10"/>
    </row>
    <row r="27" spans="25:25">
      <c r="Y27" s="10"/>
    </row>
    <row r="28" spans="25:25">
      <c r="Y28" s="12"/>
    </row>
    <row r="29" spans="25:25">
      <c r="Y29" s="12" t="s">
        <v>62</v>
      </c>
    </row>
    <row r="30" spans="25:25">
      <c r="Y30" s="12"/>
    </row>
    <row r="31" spans="25:25">
      <c r="Y31" s="12" t="s">
        <v>63</v>
      </c>
    </row>
    <row r="32" spans="25:25">
      <c r="Y32" s="10"/>
    </row>
    <row r="33" spans="25:25">
      <c r="Y33" s="11" t="s">
        <v>64</v>
      </c>
    </row>
    <row r="34" spans="25:25">
      <c r="Y34" s="10"/>
    </row>
    <row r="35" spans="25:25">
      <c r="Y35" s="10"/>
    </row>
    <row r="36" spans="25:25">
      <c r="Y36" s="12"/>
    </row>
    <row r="37" spans="25:25">
      <c r="Y37" s="12" t="s">
        <v>65</v>
      </c>
    </row>
    <row r="39" spans="25:25">
      <c r="Y39" s="5" t="s">
        <v>66</v>
      </c>
    </row>
    <row r="41" spans="25:25">
      <c r="Y41" t="s">
        <v>67</v>
      </c>
    </row>
    <row r="42" spans="25:25">
      <c r="Y42" s="10"/>
    </row>
    <row r="43" spans="25:25">
      <c r="Y43" s="11" t="s">
        <v>68</v>
      </c>
    </row>
    <row r="45" spans="25:25">
      <c r="Y45" s="5" t="s">
        <v>69</v>
      </c>
    </row>
    <row r="47" spans="25:25">
      <c r="Y47" t="s">
        <v>70</v>
      </c>
    </row>
    <row r="48" spans="25:25">
      <c r="Y48" s="10"/>
    </row>
    <row r="49" spans="25:25">
      <c r="Y49" s="11" t="s">
        <v>71</v>
      </c>
    </row>
    <row r="50" spans="25:25">
      <c r="Y50" s="10"/>
    </row>
    <row r="51" spans="25:25">
      <c r="Y51" s="11" t="s">
        <v>72</v>
      </c>
    </row>
    <row r="52" spans="25:25">
      <c r="Y52" s="10"/>
    </row>
    <row r="53" spans="25:25">
      <c r="Y53" s="10"/>
    </row>
    <row r="54" spans="25:25">
      <c r="Y54" s="12"/>
    </row>
    <row r="55" spans="25:25">
      <c r="Y55" s="12" t="s">
        <v>73</v>
      </c>
    </row>
    <row r="56" spans="25:25">
      <c r="Y56" s="12"/>
    </row>
    <row r="57" spans="25:25">
      <c r="Y57" s="12" t="s">
        <v>74</v>
      </c>
    </row>
    <row r="58" spans="25:25">
      <c r="Y58" s="12"/>
    </row>
    <row r="59" spans="25:25">
      <c r="Y59" s="12" t="s">
        <v>75</v>
      </c>
    </row>
    <row r="61" spans="25:25">
      <c r="Y61" s="5" t="s">
        <v>76</v>
      </c>
    </row>
    <row r="63" spans="25:25">
      <c r="Y63" s="5" t="s">
        <v>77</v>
      </c>
    </row>
    <row r="65" spans="25:25">
      <c r="Y65" t="s">
        <v>78</v>
      </c>
    </row>
    <row r="67" spans="25:25">
      <c r="Y67" t="s">
        <v>79</v>
      </c>
    </row>
    <row r="69" spans="25:25">
      <c r="Y69" t="s">
        <v>80</v>
      </c>
    </row>
  </sheetData>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16B06-59A2-46A3-88E4-91E103E0ECE4}">
  <dimension ref="A1:K80"/>
  <sheetViews>
    <sheetView topLeftCell="A51" zoomScale="77" workbookViewId="0">
      <selection activeCell="F34" sqref="F34:F40"/>
    </sheetView>
  </sheetViews>
  <sheetFormatPr defaultRowHeight="14.4"/>
  <cols>
    <col min="1" max="1" width="31" customWidth="1"/>
    <col min="2" max="2" width="63.44140625" customWidth="1"/>
    <col min="3" max="3" width="41.88671875" bestFit="1" customWidth="1"/>
    <col min="4" max="4" width="46.109375" bestFit="1" customWidth="1"/>
    <col min="5" max="5" width="48" bestFit="1" customWidth="1"/>
    <col min="6" max="6" width="41.33203125" style="19" customWidth="1"/>
    <col min="7" max="7" width="31.33203125" customWidth="1"/>
    <col min="8" max="8" width="30.77734375" style="74" customWidth="1"/>
  </cols>
  <sheetData>
    <row r="1" spans="1:11" s="75" customFormat="1">
      <c r="A1" s="121" t="s">
        <v>48</v>
      </c>
      <c r="B1" s="122" t="s">
        <v>2166</v>
      </c>
      <c r="C1" s="122" t="s">
        <v>2165</v>
      </c>
      <c r="D1" s="122" t="s">
        <v>220</v>
      </c>
      <c r="E1" s="121" t="s">
        <v>221</v>
      </c>
      <c r="F1" s="122" t="s">
        <v>223</v>
      </c>
      <c r="G1" s="121" t="s">
        <v>49</v>
      </c>
      <c r="H1" s="123" t="s">
        <v>224</v>
      </c>
      <c r="K1" s="76" t="s">
        <v>222</v>
      </c>
    </row>
    <row r="2" spans="1:11" ht="15.6">
      <c r="A2" s="124" t="s">
        <v>225</v>
      </c>
      <c r="B2" s="529" t="s">
        <v>103</v>
      </c>
      <c r="C2" s="529" t="s">
        <v>113</v>
      </c>
      <c r="D2" s="532" t="s">
        <v>226</v>
      </c>
      <c r="E2" s="139" t="s">
        <v>227</v>
      </c>
      <c r="F2" s="125">
        <f>_xlfn.XLOOKUP(B2,DODECA_ENGINE!$A$2:$A$13,E_Vector)</f>
        <v>0.23961225216342069</v>
      </c>
      <c r="G2" s="126">
        <f>F3/F2</f>
        <v>0.51514524541923723</v>
      </c>
      <c r="H2" s="127" t="str">
        <f>IF(G2&gt;1.2,"Abundant Inhale",IF(G2&lt;0.8,"Strong Exhale","Balanced"))</f>
        <v>Strong Exhale</v>
      </c>
    </row>
    <row r="3" spans="1:11" ht="15.6">
      <c r="A3" s="124"/>
      <c r="B3" s="529"/>
      <c r="C3" s="529"/>
      <c r="D3" s="532"/>
      <c r="E3" s="140" t="s">
        <v>228</v>
      </c>
      <c r="F3" s="125">
        <f>_xlfn.XLOOKUP(C2,DODECA_ENGINE!$A$2:$A$13,E_Vector)</f>
        <v>0.12343511244618152</v>
      </c>
      <c r="G3" s="126"/>
      <c r="H3" s="128"/>
      <c r="K3" s="71" t="s">
        <v>214</v>
      </c>
    </row>
    <row r="4" spans="1:11" ht="15.6">
      <c r="A4" s="124"/>
      <c r="B4" s="529"/>
      <c r="C4" s="529"/>
      <c r="D4" s="532"/>
      <c r="E4" s="129"/>
      <c r="F4" s="125"/>
      <c r="G4" s="126"/>
      <c r="H4" s="128"/>
      <c r="K4" s="71" t="s">
        <v>215</v>
      </c>
    </row>
    <row r="5" spans="1:11" ht="15.6">
      <c r="A5" s="130" t="s">
        <v>229</v>
      </c>
      <c r="B5" s="529" t="s">
        <v>104</v>
      </c>
      <c r="C5" s="530" t="s">
        <v>109</v>
      </c>
      <c r="D5" s="533" t="s">
        <v>232</v>
      </c>
      <c r="E5" s="139" t="s">
        <v>230</v>
      </c>
      <c r="F5" s="125">
        <f>_xlfn.XLOOKUP(B5,DODECA_ENGINE!$A$2:$A$13,E_Vector)</f>
        <v>0.40086371970020074</v>
      </c>
      <c r="G5" s="131">
        <f>F6/F5</f>
        <v>0.5192043748741233</v>
      </c>
      <c r="H5" s="132" t="str">
        <f>IF(G5&gt;1.2, "Abundant Inhale", IF(G5&lt;0.8, "Strong Exhale", "Balanced"))</f>
        <v>Strong Exhale</v>
      </c>
      <c r="K5" s="71" t="s">
        <v>216</v>
      </c>
    </row>
    <row r="6" spans="1:11" ht="15.6">
      <c r="A6" s="130"/>
      <c r="B6" s="529"/>
      <c r="C6" s="530"/>
      <c r="D6" s="533"/>
      <c r="E6" s="140" t="s">
        <v>231</v>
      </c>
      <c r="F6" s="125">
        <f>_xlfn.XLOOKUP(C5,DODECA_ENGINE!$A$2:$A$13,E_Vector)</f>
        <v>0.2081301969966585</v>
      </c>
      <c r="G6" s="126"/>
      <c r="H6" s="133"/>
      <c r="K6" s="71" t="s">
        <v>217</v>
      </c>
    </row>
    <row r="7" spans="1:11" ht="15.6">
      <c r="A7" s="124"/>
      <c r="B7" s="529"/>
      <c r="C7" s="529"/>
      <c r="D7" s="532"/>
      <c r="E7" s="129"/>
      <c r="F7" s="125"/>
      <c r="G7" s="126"/>
      <c r="H7" s="128"/>
      <c r="K7" s="71" t="s">
        <v>218</v>
      </c>
    </row>
    <row r="8" spans="1:11" ht="15.6">
      <c r="A8" s="130" t="s">
        <v>233</v>
      </c>
      <c r="B8" s="529" t="s">
        <v>105</v>
      </c>
      <c r="C8" s="530" t="s">
        <v>110</v>
      </c>
      <c r="D8" s="533" t="s">
        <v>246</v>
      </c>
      <c r="E8" s="139" t="s">
        <v>234</v>
      </c>
      <c r="F8" s="125">
        <f>_xlfn.XLOOKUP(B8,DODECA_ENGINE!$A$2:$A$13,E_Vector)</f>
        <v>0.16559188153585278</v>
      </c>
      <c r="G8" s="131">
        <f>F9/F8</f>
        <v>1.3339495649472208</v>
      </c>
      <c r="H8" s="132" t="str">
        <f>IF(G8&gt;1.2, "Abundant Inhale", IF(G8&lt;0.8, "Strong Exhale", "Balanced"))</f>
        <v>Abundant Inhale</v>
      </c>
      <c r="K8" s="71" t="s">
        <v>219</v>
      </c>
    </row>
    <row r="9" spans="1:11" ht="15.6">
      <c r="A9" s="130"/>
      <c r="B9" s="529"/>
      <c r="C9" s="530"/>
      <c r="D9" s="533"/>
      <c r="E9" s="140" t="s">
        <v>235</v>
      </c>
      <c r="F9" s="125">
        <f>_xlfn.XLOOKUP(C8,DODECA_ENGINE!$A$2:$A$13,E_Vector)</f>
        <v>0.22089121833354255</v>
      </c>
      <c r="G9" s="126"/>
      <c r="H9" s="133"/>
    </row>
    <row r="10" spans="1:11" ht="15.6">
      <c r="A10" s="124"/>
      <c r="B10" s="529"/>
      <c r="C10" s="529"/>
      <c r="D10" s="532"/>
      <c r="E10" s="129"/>
      <c r="F10" s="125"/>
      <c r="G10" s="126"/>
      <c r="H10" s="128"/>
      <c r="K10" s="72" t="s">
        <v>245</v>
      </c>
    </row>
    <row r="11" spans="1:11" ht="15.6">
      <c r="A11" s="130" t="s">
        <v>236</v>
      </c>
      <c r="B11" s="529" t="s">
        <v>106</v>
      </c>
      <c r="C11" s="530" t="s">
        <v>111</v>
      </c>
      <c r="D11" s="533" t="s">
        <v>247</v>
      </c>
      <c r="E11" s="139" t="s">
        <v>237</v>
      </c>
      <c r="F11" s="125">
        <f>_xlfn.XLOOKUP(B11,DODECA_ENGINE!$A$2:$A$13,E_Vector)</f>
        <v>0.24478839508550371</v>
      </c>
      <c r="G11" s="131">
        <f>F12/F11</f>
        <v>1.7907039880463569</v>
      </c>
      <c r="H11" s="132" t="str">
        <f>IF(G11&gt;1.2, "Abundant Inhale", IF(G11&lt;0.8, "Strong Exhale", "Balanced"))</f>
        <v>Abundant Inhale</v>
      </c>
    </row>
    <row r="12" spans="1:11" ht="15.6">
      <c r="A12" s="130"/>
      <c r="B12" s="529"/>
      <c r="C12" s="530"/>
      <c r="D12" s="533"/>
      <c r="E12" s="140" t="s">
        <v>238</v>
      </c>
      <c r="F12" s="125">
        <f>_xlfn.XLOOKUP(C11,DODECA_ENGINE!$A$2:$A$13,E_Vector)</f>
        <v>0.43834355530707869</v>
      </c>
      <c r="G12" s="126"/>
      <c r="H12" s="134"/>
      <c r="K12" s="71" t="s">
        <v>283</v>
      </c>
    </row>
    <row r="13" spans="1:11" ht="15.6">
      <c r="A13" s="134"/>
      <c r="B13" s="529"/>
      <c r="C13" s="531"/>
      <c r="D13" s="532"/>
      <c r="E13" s="141"/>
      <c r="F13" s="125"/>
      <c r="G13" s="126"/>
      <c r="H13" s="134"/>
      <c r="K13" s="143" t="s">
        <v>289</v>
      </c>
    </row>
    <row r="14" spans="1:11" ht="15.6">
      <c r="A14" s="130" t="s">
        <v>239</v>
      </c>
      <c r="B14" s="529" t="s">
        <v>107</v>
      </c>
      <c r="C14" s="530" t="s">
        <v>112</v>
      </c>
      <c r="D14" s="533" t="s">
        <v>248</v>
      </c>
      <c r="E14" s="139" t="s">
        <v>240</v>
      </c>
      <c r="F14" s="125">
        <f>_xlfn.XLOOKUP(B14,DODECA_ENGINE!$A$2:$A$13,E_Vector)</f>
        <v>4.6253795033477547E-2</v>
      </c>
      <c r="G14" s="131">
        <f>F15/F14</f>
        <v>9.0000000000000018</v>
      </c>
      <c r="H14" s="132" t="str">
        <f>IF(G14&gt;1.2, "Abundant Inhale", IF(G14&lt;0.8, "Strong Exhale", "Balanced"))</f>
        <v>Abundant Inhale</v>
      </c>
      <c r="K14" s="143" t="s">
        <v>290</v>
      </c>
    </row>
    <row r="15" spans="1:11" ht="15.6">
      <c r="A15" s="130"/>
      <c r="B15" s="529"/>
      <c r="C15" s="530"/>
      <c r="D15" s="533"/>
      <c r="E15" s="140" t="s">
        <v>241</v>
      </c>
      <c r="F15" s="125">
        <f>_xlfn.XLOOKUP(C14,DODECA_ENGINE!$A$2:$A$13,E_Vector)</f>
        <v>0.41628415530129803</v>
      </c>
      <c r="G15" s="126"/>
      <c r="H15" s="128"/>
      <c r="K15" s="71" t="s">
        <v>284</v>
      </c>
    </row>
    <row r="16" spans="1:11" ht="15.6">
      <c r="A16" s="124"/>
      <c r="B16" s="529"/>
      <c r="C16" s="529"/>
      <c r="D16" s="532"/>
      <c r="E16" s="129"/>
      <c r="F16" s="125"/>
      <c r="G16" s="126"/>
      <c r="H16" s="128"/>
      <c r="K16" s="143" t="s">
        <v>291</v>
      </c>
    </row>
    <row r="17" spans="1:11" ht="15.6">
      <c r="A17" s="130" t="s">
        <v>242</v>
      </c>
      <c r="B17" s="529" t="s">
        <v>108</v>
      </c>
      <c r="C17" s="530" t="s">
        <v>114</v>
      </c>
      <c r="D17" s="533" t="s">
        <v>249</v>
      </c>
      <c r="E17" s="139" t="s">
        <v>243</v>
      </c>
      <c r="F17" s="125">
        <f>_xlfn.XLOOKUP(B17,DODECA_ENGINE!$A$2:$A$13,E_Vector)</f>
        <v>0.24689937774340731</v>
      </c>
      <c r="G17" s="131">
        <f>F18/F17</f>
        <v>0.79516737588859954</v>
      </c>
      <c r="H17" s="132" t="str">
        <f>IF(G17&gt;1.2, "Abundant Inhale", IF(G17&lt;0.8, "Strong Exhale", "Balanced"))</f>
        <v>Strong Exhale</v>
      </c>
      <c r="K17" s="143" t="s">
        <v>292</v>
      </c>
    </row>
    <row r="18" spans="1:11" ht="15.6">
      <c r="A18" s="130"/>
      <c r="B18" s="529"/>
      <c r="C18" s="530"/>
      <c r="D18" s="138"/>
      <c r="E18" s="140" t="s">
        <v>244</v>
      </c>
      <c r="F18" s="125">
        <f>_xlfn.XLOOKUP(C17,DODECA_ENGINE!$A$2:$A$13,E_Vector)</f>
        <v>0.19632633030875329</v>
      </c>
      <c r="G18" s="131"/>
      <c r="H18" s="128"/>
      <c r="K18" s="71" t="s">
        <v>285</v>
      </c>
    </row>
    <row r="19" spans="1:11">
      <c r="A19" s="135"/>
      <c r="B19" s="135"/>
      <c r="C19" s="135"/>
      <c r="D19" s="135"/>
      <c r="E19" s="135"/>
      <c r="F19" s="136"/>
      <c r="G19" s="135"/>
      <c r="H19" s="137"/>
      <c r="K19" s="143" t="s">
        <v>293</v>
      </c>
    </row>
    <row r="20" spans="1:11">
      <c r="A20" s="135"/>
      <c r="B20" s="135"/>
      <c r="C20" s="135"/>
      <c r="D20" s="135"/>
      <c r="E20" s="135"/>
      <c r="F20" s="136"/>
      <c r="G20" s="135"/>
      <c r="H20" s="137"/>
      <c r="K20" s="143" t="s">
        <v>294</v>
      </c>
    </row>
    <row r="21" spans="1:11" ht="18">
      <c r="A21" s="553" t="s">
        <v>2167</v>
      </c>
      <c r="B21" s="553"/>
      <c r="C21" s="553"/>
      <c r="D21" s="553"/>
      <c r="E21" s="553"/>
      <c r="F21" s="553"/>
      <c r="K21" s="71" t="s">
        <v>286</v>
      </c>
    </row>
    <row r="22" spans="1:11" ht="14.4" customHeight="1">
      <c r="A22" s="554" t="s">
        <v>2168</v>
      </c>
      <c r="B22" s="554"/>
      <c r="C22" s="537" t="str">
        <f>REFRENCE_MODELS!A64</f>
        <v>Funding Pipeline (F11)</v>
      </c>
      <c r="E22" s="537" t="str">
        <f>REFRENCE_MODELS!A14</f>
        <v>Financial Capital (F1)</v>
      </c>
      <c r="G22" s="536"/>
      <c r="K22" s="143" t="s">
        <v>295</v>
      </c>
    </row>
    <row r="23" spans="1:11">
      <c r="A23" s="535" t="s">
        <v>2169</v>
      </c>
      <c r="B23" s="535" t="s">
        <v>2262</v>
      </c>
      <c r="C23" s="535" t="s">
        <v>2170</v>
      </c>
      <c r="D23" s="550" t="s">
        <v>2261</v>
      </c>
      <c r="E23" s="535" t="s">
        <v>2171</v>
      </c>
      <c r="F23" s="535" t="s">
        <v>2261</v>
      </c>
      <c r="G23" s="74"/>
      <c r="H23"/>
      <c r="J23" s="143" t="s">
        <v>296</v>
      </c>
    </row>
    <row r="24" spans="1:11">
      <c r="A24" s="538" t="s">
        <v>2043</v>
      </c>
      <c r="B24" s="545" t="s">
        <v>2263</v>
      </c>
      <c r="C24" s="534" t="s">
        <v>2172</v>
      </c>
      <c r="D24" s="549" t="str">
        <f>_xlfn.XLOOKUP($C$22,Octave_1_KPIs[Face (Domain) F. ID],Octave_1_KPIs[O1 - Survival (Focus: Existence)])</f>
        <v>Pipeline Viability &amp; Coherence</v>
      </c>
      <c r="E24" s="534" t="s">
        <v>2173</v>
      </c>
      <c r="F24" s="551" t="str">
        <f>_xlfn.XLOOKUP($E$22,Octave_1_KPIs[Face (Domain) F. ID],Octave_1_KPIs[O1 - Survival (Focus: Existence)])</f>
        <v>Months of Runway</v>
      </c>
      <c r="G24" s="74"/>
      <c r="H24"/>
      <c r="J24" s="71" t="s">
        <v>287</v>
      </c>
    </row>
    <row r="25" spans="1:11">
      <c r="A25" s="539" t="s">
        <v>2044</v>
      </c>
      <c r="B25" s="545" t="s">
        <v>2264</v>
      </c>
      <c r="C25" s="534" t="s">
        <v>2174</v>
      </c>
      <c r="D25" s="549" t="str" cm="1">
        <f t="array" ref="D25">_xlfn.XLOOKUP($C$22,Octave_1_KPIs[Face (Domain) F. ID],Octave_2_KPIs[O2 - Structure (Focus: Stability)])</f>
        <v>Financial System Integrity</v>
      </c>
      <c r="E25" s="534" t="s">
        <v>2175</v>
      </c>
      <c r="F25" s="551" t="str" cm="1">
        <f t="array" ref="F25">_xlfn.XLOOKUP($E$22,Octave_1_KPIs[Face (Domain) F. ID],Octave_2_KPIs[O2 - Structure (Focus: Stability)])</f>
        <v>Operational Efficiency</v>
      </c>
      <c r="G25" s="74"/>
      <c r="H25"/>
      <c r="J25" s="143" t="s">
        <v>297</v>
      </c>
    </row>
    <row r="26" spans="1:11">
      <c r="A26" s="540" t="s">
        <v>2045</v>
      </c>
      <c r="B26" s="545" t="s">
        <v>2265</v>
      </c>
      <c r="C26" s="534" t="s">
        <v>2176</v>
      </c>
      <c r="D26" s="549" t="str" cm="1">
        <f t="array" ref="D26">_xlfn.XLOOKUP($C$22,Octave_1_KPIs[Face (Domain) F. ID],Octave_3_KPIs[O3 - Relationships (Focus: Connection)])</f>
        <v>Investor Relationships</v>
      </c>
      <c r="E26" s="534" t="s">
        <v>2177</v>
      </c>
      <c r="F26" s="551" t="str" cm="1">
        <f t="array" ref="F26">_xlfn.XLOOKUP($E$22,Octave_1_KPIs[Face (Domain) F. ID],Octave_3_KPIs[O3 - Relationships (Focus: Connection)])</f>
        <v>Stakeholder Value Distribution</v>
      </c>
      <c r="G26" s="74"/>
      <c r="H26"/>
      <c r="J26" s="143" t="s">
        <v>298</v>
      </c>
    </row>
    <row r="27" spans="1:11">
      <c r="A27" s="541" t="s">
        <v>2046</v>
      </c>
      <c r="B27" s="545" t="s">
        <v>2266</v>
      </c>
      <c r="C27" s="534" t="s">
        <v>2178</v>
      </c>
      <c r="D27" s="549" t="str" cm="1">
        <f t="array" ref="D27">_xlfn.XLOOKUP($C$22,Octave_1_KPIs[Face (Domain) F. ID],Octave_4_KPIs[O4 - Creativity (Focus: Possibility)])</f>
        <v>Creative Capital</v>
      </c>
      <c r="E27" s="534" t="s">
        <v>2179</v>
      </c>
      <c r="F27" s="551" t="str" cm="1">
        <f t="array" ref="F27">_xlfn.XLOOKUP($E$22,Octave_1_KPIs[Face (Domain) F. ID],Octave_4_KPIs[O4 - Creativity (Focus: Possibility)])</f>
        <v>Investment in Innovation</v>
      </c>
      <c r="G27" s="74"/>
      <c r="H27"/>
      <c r="J27" s="71" t="s">
        <v>288</v>
      </c>
    </row>
    <row r="28" spans="1:11">
      <c r="A28" s="542" t="s">
        <v>2047</v>
      </c>
      <c r="B28" s="545" t="s">
        <v>2267</v>
      </c>
      <c r="C28" s="534" t="s">
        <v>2180</v>
      </c>
      <c r="D28" s="549" t="str" cm="1">
        <f t="array" ref="D28">_xlfn.XLOOKUP($C$22,Octave_1_KPIs[Face (Domain) F. ID],Octave_5_KPIs[O5 - Expression (Focus: Clarity)])</f>
        <v>Capital as Communication</v>
      </c>
      <c r="E28" s="534" t="s">
        <v>2181</v>
      </c>
      <c r="F28" s="551" t="str" cm="1">
        <f t="array" ref="F28">_xlfn.XLOOKUP($E$22,Octave_1_KPIs[Face (Domain) F. ID],Octave_5_KPIs[O5 - Expression (Focus: Clarity)])</f>
        <v>Financial Storytelling</v>
      </c>
      <c r="G28" s="74"/>
      <c r="H28"/>
      <c r="J28" s="143" t="s">
        <v>299</v>
      </c>
    </row>
    <row r="29" spans="1:11">
      <c r="A29" s="543" t="s">
        <v>2048</v>
      </c>
      <c r="B29" s="545" t="s">
        <v>2268</v>
      </c>
      <c r="C29" s="534" t="s">
        <v>2182</v>
      </c>
      <c r="D29" s="549" t="str" cm="1">
        <f t="array" ref="D29">_xlfn.XLOOKUP($C$22,Octave_1_KPIs[Face (Domain) F. ID],Octave_6_KPIs[O6 - Vision (Focus: Direction)])</f>
        <v>Legacy Capital</v>
      </c>
      <c r="E29" s="534" t="s">
        <v>2183</v>
      </c>
      <c r="F29" s="551" t="str" cm="1">
        <f t="array" ref="F29">_xlfn.XLOOKUP($E$22,Octave_1_KPIs[Face (Domain) F. ID],Octave_6_KPIs[O6 - Vision (Focus: Direction)])</f>
        <v>Long-Term Capital Stewardship</v>
      </c>
      <c r="G29" s="74"/>
      <c r="H29"/>
      <c r="J29" s="143" t="s">
        <v>300</v>
      </c>
    </row>
    <row r="30" spans="1:11">
      <c r="A30" s="544" t="s">
        <v>2049</v>
      </c>
      <c r="B30" s="547" t="s">
        <v>2269</v>
      </c>
      <c r="C30" s="534" t="s">
        <v>2184</v>
      </c>
      <c r="D30" s="549" t="str" cm="1">
        <f t="array" ref="D30">_xlfn.XLOOKUP($C$22,Octave_1_KPIs[Face (Domain) F. ID],Octave_7_KPIs[O7 - Radiance (Focus: Service)])</f>
        <v>Capital as a Field of Grace</v>
      </c>
      <c r="E30" s="534" t="s">
        <v>2185</v>
      </c>
      <c r="F30" s="551" t="str" cm="1">
        <f t="array" ref="F30">_xlfn.XLOOKUP($E$22,Octave_1_KPIs[Face (Domain) F. ID],Octave_7_KPIs[O7 - Radiance (Focus: Service)])</f>
        <v>Capital as Sacred Energy</v>
      </c>
      <c r="G30" s="74"/>
      <c r="H30"/>
    </row>
    <row r="31" spans="1:11">
      <c r="A31" s="163"/>
      <c r="B31" s="163"/>
      <c r="C31" s="163"/>
    </row>
    <row r="32" spans="1:11">
      <c r="A32" s="552" t="s">
        <v>2186</v>
      </c>
      <c r="B32" s="552"/>
      <c r="C32" s="537" t="str">
        <f>REFRENCE_MODELS!A44</f>
        <v>Brand &amp; Reputation (F7)</v>
      </c>
      <c r="E32" s="537" t="str">
        <f>REFRENCE_MODELS!A19</f>
        <v>Intellectual Capital (F2)</v>
      </c>
    </row>
    <row r="33" spans="1:10">
      <c r="A33" s="535" t="s">
        <v>2169</v>
      </c>
      <c r="B33" s="535" t="s">
        <v>2262</v>
      </c>
      <c r="C33" s="535" t="s">
        <v>2170</v>
      </c>
      <c r="D33" s="535" t="s">
        <v>2261</v>
      </c>
      <c r="E33" s="535" t="s">
        <v>2171</v>
      </c>
      <c r="F33" s="535" t="s">
        <v>2261</v>
      </c>
      <c r="G33" s="74"/>
      <c r="H33"/>
      <c r="J33" s="142"/>
    </row>
    <row r="34" spans="1:10">
      <c r="A34" s="538" t="s">
        <v>2043</v>
      </c>
      <c r="B34" s="545" t="s">
        <v>2270</v>
      </c>
      <c r="C34" s="534" t="s">
        <v>2187</v>
      </c>
      <c r="D34" s="549" t="str">
        <f>_xlfn.XLOOKUP($C$32,Octave_1_KPIs[Face (Domain) F. ID],Octave_1_KPIs[O1 - Survival (Focus: Existence)])</f>
        <v>Foundational Brand Integrity</v>
      </c>
      <c r="E34" s="534" t="s">
        <v>2188</v>
      </c>
      <c r="F34" s="551" t="str">
        <f>_xlfn.XLOOKUP($E$32,Octave_1_KPIs[Face (Domain) F. ID],Octave_1_KPIs[O1 - Survival (Focus: Existence)])</f>
        <v>IP Security &amp; Formalization</v>
      </c>
      <c r="G34" s="74"/>
      <c r="H34"/>
    </row>
    <row r="35" spans="1:10">
      <c r="A35" s="539" t="s">
        <v>2044</v>
      </c>
      <c r="B35" s="545" t="s">
        <v>2271</v>
      </c>
      <c r="C35" s="534" t="s">
        <v>2189</v>
      </c>
      <c r="D35" s="549" t="str" cm="1">
        <f t="array" ref="D35">_xlfn.XLOOKUP($C$32,Octave_1_KPIs[Face (Domain) F. ID],Octave_2_KPIs[O2 - Structure (Focus: Stability)])</f>
        <v>Brand Consistency &amp; Trust</v>
      </c>
      <c r="E35" s="534" t="s">
        <v>2190</v>
      </c>
      <c r="F35" s="551" t="str" cm="1">
        <f t="array" ref="F35">_xlfn.XLOOKUP($E$32,Octave_1_KPIs[Face (Domain) F. ID],Octave_2_KPIs[O2 - Structure (Focus: Stability)])</f>
        <v>Dev. Velocity &amp; Quality</v>
      </c>
      <c r="G35" s="74"/>
      <c r="H35"/>
    </row>
    <row r="36" spans="1:10">
      <c r="A36" s="540" t="s">
        <v>2045</v>
      </c>
      <c r="B36" s="545" t="s">
        <v>2272</v>
      </c>
      <c r="C36" s="534" t="s">
        <v>2191</v>
      </c>
      <c r="D36" s="549" t="str" cm="1">
        <f t="array" ref="D36">_xlfn.XLOOKUP($C$32,Octave_1_KPIs[Face (Domain) F. ID],Octave_3_KPIs[O3 - Relationships (Focus: Connection)])</f>
        <v>Brand Trust &amp; Authenticity</v>
      </c>
      <c r="E36" s="534" t="s">
        <v>2192</v>
      </c>
      <c r="F36" s="551" t="str" cm="1">
        <f t="array" ref="F36">_xlfn.XLOOKUP($E$32,Octave_1_KPIs[Face (Domain) F. ID],Octave_3_KPIs[O3 - Relationships (Focus: Connection)])</f>
        <v>Collaborative Knowledge</v>
      </c>
      <c r="G36" s="74"/>
      <c r="H36"/>
    </row>
    <row r="37" spans="1:10">
      <c r="A37" s="541" t="s">
        <v>2046</v>
      </c>
      <c r="B37" s="545" t="s">
        <v>2273</v>
      </c>
      <c r="C37" s="534" t="s">
        <v>2193</v>
      </c>
      <c r="D37" s="549" t="str" cm="1">
        <f t="array" ref="D37">_xlfn.XLOOKUP($C$32,Octave_1_KPIs[Face (Domain) F. ID],Octave_4_KPIs[O4 - Creativity (Focus: Possibility)])</f>
        <v>Innovative Branding</v>
      </c>
      <c r="E37" s="534" t="s">
        <v>2194</v>
      </c>
      <c r="F37" s="551" t="str" cm="1">
        <f t="array" ref="F37">_xlfn.XLOOKUP($E$32,Octave_1_KPIs[Face (Domain) F. ID],Octave_4_KPIs[O4 - Creativity (Focus: Possibility)])</f>
        <v>Embodied Innovation</v>
      </c>
      <c r="G37" s="74"/>
      <c r="H37"/>
    </row>
    <row r="38" spans="1:10">
      <c r="A38" s="542" t="s">
        <v>2047</v>
      </c>
      <c r="B38" s="545" t="s">
        <v>2274</v>
      </c>
      <c r="C38" s="534" t="s">
        <v>2195</v>
      </c>
      <c r="D38" s="549" t="str" cm="1">
        <f t="array" ref="D38">_xlfn.XLOOKUP($C$32,Octave_1_KPIs[Face (Domain) F. ID],Octave_5_KPIs[O5 - Expression (Focus: Clarity)])</f>
        <v>Authentic Brand Expression</v>
      </c>
      <c r="E38" s="534" t="s">
        <v>2196</v>
      </c>
      <c r="F38" s="551" t="str" cm="1">
        <f t="array" ref="F38">_xlfn.XLOOKUP($E$32,Octave_1_KPIs[Face (Domain) F. ID],Octave_5_KPIs[O5 - Expression (Focus: Clarity)])</f>
        <v>Knowledge Sharing &amp; Influence</v>
      </c>
      <c r="G38" s="74"/>
      <c r="H38"/>
    </row>
    <row r="39" spans="1:10">
      <c r="A39" s="543" t="s">
        <v>2048</v>
      </c>
      <c r="B39" s="545" t="s">
        <v>2275</v>
      </c>
      <c r="C39" s="534" t="s">
        <v>2197</v>
      </c>
      <c r="D39" s="549" t="str" cm="1">
        <f t="array" ref="D39">_xlfn.XLOOKUP($C$32,Octave_1_KPIs[Face (Domain) F. ID],Octave_6_KPIs[O6 - Vision (Focus: Direction)])</f>
        <v>"Legacy" Branding</v>
      </c>
      <c r="E39" s="534" t="s">
        <v>2198</v>
      </c>
      <c r="F39" s="551" t="str" cm="1">
        <f t="array" ref="F39">_xlfn.XLOOKUP($E$32,Octave_1_KPIs[Face (Domain) F. ID],Octave_6_KPIs[O6 - Vision (Focus: Direction)])</f>
        <v>Evolution of Knowledge</v>
      </c>
      <c r="G39" s="74"/>
      <c r="H39"/>
    </row>
    <row r="40" spans="1:10">
      <c r="A40" s="544" t="s">
        <v>2049</v>
      </c>
      <c r="B40" s="547" t="s">
        <v>2276</v>
      </c>
      <c r="C40" s="534" t="s">
        <v>2199</v>
      </c>
      <c r="D40" s="549" t="str" cm="1">
        <f t="array" ref="D40">_xlfn.XLOOKUP($C$32,Octave_1_KPIs[Face (Domain) F. ID],Octave_7_KPIs[O7 - Radiance (Focus: Service)])</f>
        <v>Brand as an Archetype</v>
      </c>
      <c r="E40" s="534" t="s">
        <v>2200</v>
      </c>
      <c r="F40" s="551" t="str" cm="1">
        <f t="array" ref="F40">_xlfn.XLOOKUP($E$32,Octave_1_KPIs[Face (Domain) F. ID],Octave_7_KPIs[O7 - Radiance (Focus: Service)])</f>
        <v>Knowledge as a Living Field</v>
      </c>
      <c r="G40" s="74"/>
      <c r="H40"/>
    </row>
    <row r="41" spans="1:10">
      <c r="A41" s="163"/>
      <c r="B41" s="163"/>
      <c r="C41" s="163"/>
    </row>
    <row r="42" spans="1:10">
      <c r="A42" s="552" t="s">
        <v>2201</v>
      </c>
      <c r="B42" s="552"/>
      <c r="C42" s="537" t="str">
        <f>REFRENCE_MODELS!A49</f>
        <v>Core Operations (F8)</v>
      </c>
      <c r="D42" s="16"/>
      <c r="E42" s="537" t="str">
        <f>REFRENCE_MODELS!A24</f>
        <v>Human Capital (F3)</v>
      </c>
      <c r="G42" s="5"/>
    </row>
    <row r="43" spans="1:10">
      <c r="A43" s="535" t="s">
        <v>2169</v>
      </c>
      <c r="B43" s="535" t="s">
        <v>2262</v>
      </c>
      <c r="C43" s="535" t="s">
        <v>2170</v>
      </c>
      <c r="D43" s="535" t="s">
        <v>2261</v>
      </c>
      <c r="E43" s="535" t="s">
        <v>2171</v>
      </c>
      <c r="F43" s="535" t="s">
        <v>2261</v>
      </c>
      <c r="G43" s="74"/>
      <c r="H43"/>
    </row>
    <row r="44" spans="1:10">
      <c r="A44" s="538" t="s">
        <v>2043</v>
      </c>
      <c r="B44" s="548" t="s">
        <v>2277</v>
      </c>
      <c r="C44" s="224" t="s">
        <v>2259</v>
      </c>
      <c r="D44" s="546" t="str">
        <f>_xlfn.XLOOKUP($C$42,Octave_1_KPIs[Face (Domain) F. ID],Octave_1_KPIs[O1 - Survival (Focus: Existence)])</f>
        <v>Operational Viability</v>
      </c>
      <c r="E44" s="224" t="s">
        <v>2260</v>
      </c>
      <c r="F44" s="546" t="str">
        <f>_xlfn.XLOOKUP($E$42,Octave_1_KPIs[Face (Domain) F. ID],Octave_1_KPIs[O1 - Survival (Focus: Existence)])</f>
        <v>Founder Sustainability</v>
      </c>
      <c r="G44" s="74"/>
      <c r="H44"/>
    </row>
    <row r="45" spans="1:10">
      <c r="A45" s="539" t="s">
        <v>2044</v>
      </c>
      <c r="B45" s="548" t="s">
        <v>2278</v>
      </c>
      <c r="C45" s="224" t="s">
        <v>2202</v>
      </c>
      <c r="D45" s="546" t="str" cm="1">
        <f t="array" ref="D45">_xlfn.XLOOKUP($C$42,Octave_1_KPIs[Face (Domain) F. ID],Octave_2_KPIs[O2 - Structure (Focus: Stability)])</f>
        <v>Operational Throughput</v>
      </c>
      <c r="E45" s="224" t="s">
        <v>2203</v>
      </c>
      <c r="F45" s="546" t="str" cm="1">
        <f t="array" ref="F45">_xlfn.XLOOKUP($E$42,Octave_1_KPIs[Face (Domain) F. ID],Octave_2_KPIs[O2 - Structure (Focus: Stability)])</f>
        <v>Role Clarity &amp; Team Stability</v>
      </c>
      <c r="G45" s="74"/>
      <c r="H45"/>
    </row>
    <row r="46" spans="1:10">
      <c r="A46" s="540" t="s">
        <v>2045</v>
      </c>
      <c r="B46" s="548" t="s">
        <v>2279</v>
      </c>
      <c r="C46" s="224" t="s">
        <v>2204</v>
      </c>
      <c r="D46" s="546" t="str" cm="1">
        <f t="array" ref="D46">_xlfn.XLOOKUP($C$42,Octave_1_KPIs[Face (Domain) F. ID],Octave_3_KPIs[O3 - Relationships (Focus: Connection)])</f>
        <v>Collaborative Flow</v>
      </c>
      <c r="E46" s="224" t="s">
        <v>2205</v>
      </c>
      <c r="F46" s="546" t="str" cm="1">
        <f t="array" ref="F46">_xlfn.XLOOKUP($E$42,Octave_1_KPIs[Face (Domain) F. ID],Octave_3_KPIs[O3 - Relationships (Focus: Connection)])</f>
        <v>Team Cohesion &amp; Psych./Safety</v>
      </c>
      <c r="G46" s="74"/>
      <c r="H46"/>
    </row>
    <row r="47" spans="1:10">
      <c r="A47" s="541" t="s">
        <v>2046</v>
      </c>
      <c r="B47" s="548" t="s">
        <v>2280</v>
      </c>
      <c r="C47" s="224" t="s">
        <v>2206</v>
      </c>
      <c r="D47" s="546" t="str" cm="1">
        <f t="array" ref="D47">_xlfn.XLOOKUP($C$42,Octave_1_KPIs[Face (Domain) F. ID],Octave_4_KPIs[O4 - Creativity (Focus: Possibility)])</f>
        <v>Operational Innovation</v>
      </c>
      <c r="E47" s="224" t="s">
        <v>2207</v>
      </c>
      <c r="F47" s="546" t="str" cm="1">
        <f t="array" ref="F47">_xlfn.XLOOKUP($E$42,Octave_1_KPIs[Face (Domain) F. ID],Octave_4_KPIs[O4 - Creativity (Focus: Possibility)])</f>
        <v>Creative Culture</v>
      </c>
      <c r="G47" s="74"/>
      <c r="H47"/>
    </row>
    <row r="48" spans="1:10">
      <c r="A48" s="542" t="s">
        <v>2047</v>
      </c>
      <c r="B48" s="548" t="s">
        <v>2281</v>
      </c>
      <c r="C48" s="224" t="s">
        <v>2208</v>
      </c>
      <c r="D48" s="546" t="str" cm="1">
        <f t="array" ref="D48">_xlfn.XLOOKUP($C$42,Octave_1_KPIs[Face (Domain) F. ID],Octave_5_KPIs[O5 - Expression (Focus: Clarity)])</f>
        <v>Operational Transparency</v>
      </c>
      <c r="E48" s="224" t="s">
        <v>2209</v>
      </c>
      <c r="F48" s="546" t="str" cm="1">
        <f t="array" ref="F48">_xlfn.XLOOKUP($E$42,Octave_1_KPIs[Face (Domain) F. ID],Octave_5_KPIs[O5 - Expression (Focus: Clarity)])</f>
        <v>Cultural Storytelling</v>
      </c>
      <c r="G48" s="74"/>
      <c r="H48"/>
    </row>
    <row r="49" spans="1:8">
      <c r="A49" s="543" t="s">
        <v>2048</v>
      </c>
      <c r="B49" s="548" t="s">
        <v>2282</v>
      </c>
      <c r="C49" s="224" t="s">
        <v>2210</v>
      </c>
      <c r="D49" s="546" t="str" cm="1">
        <f t="array" ref="D49">_xlfn.XLOOKUP($C$42,Octave_1_KPIs[Face (Domain) F. ID],Octave_6_KPIs[O6 - Vision (Focus: Direction)])</f>
        <v>Evolutionary Operations</v>
      </c>
      <c r="E49" s="224" t="s">
        <v>2211</v>
      </c>
      <c r="F49" s="546" t="str" cm="1">
        <f t="array" ref="F49">_xlfn.XLOOKUP($E$42,Octave_1_KPIs[Face (Domain) F. ID],Octave_6_KPIs[O6 - Vision (Focus: Direction)])</f>
        <v>Long-Term Cultural Viability</v>
      </c>
      <c r="G49" s="74"/>
      <c r="H49"/>
    </row>
    <row r="50" spans="1:8">
      <c r="A50" s="544" t="s">
        <v>2049</v>
      </c>
      <c r="B50" s="548" t="s">
        <v>2283</v>
      </c>
      <c r="C50" s="224" t="s">
        <v>2212</v>
      </c>
      <c r="D50" s="546" t="str" cm="1">
        <f t="array" ref="D50">_xlfn.XLOOKUP($C$42,Octave_1_KPIs[Face (Domain) F. ID],Octave_7_KPIs[O7 - Radiance (Focus: Service)])</f>
        <v>Operations as a Living Art</v>
      </c>
      <c r="E50" s="224" t="s">
        <v>2213</v>
      </c>
      <c r="F50" s="546" t="str" cm="1">
        <f t="array" ref="F50">_xlfn.XLOOKUP($E$42,Octave_1_KPIs[Face (Domain) F. ID],Octave_7_KPIs[O7 - Radiance (Focus: Service)])</f>
        <v>Consciousness as Capital</v>
      </c>
      <c r="G50" s="74"/>
      <c r="H50"/>
    </row>
    <row r="51" spans="1:8">
      <c r="A51" s="163"/>
      <c r="B51" s="163"/>
      <c r="C51" s="163"/>
    </row>
    <row r="52" spans="1:8">
      <c r="A52" s="552" t="s">
        <v>2214</v>
      </c>
      <c r="B52" s="552"/>
      <c r="C52" s="537" t="str">
        <f>REFRENCE_MODELS!A29</f>
        <v>Structural Capital (F4)</v>
      </c>
      <c r="D52" s="16"/>
      <c r="E52" s="537" t="str">
        <f>REFRENCE_MODELS!A54</f>
        <v>Regenerative Flow (F9)</v>
      </c>
    </row>
    <row r="53" spans="1:8">
      <c r="A53" s="535" t="s">
        <v>2169</v>
      </c>
      <c r="B53" s="535" t="s">
        <v>2262</v>
      </c>
      <c r="C53" s="535" t="s">
        <v>2170</v>
      </c>
      <c r="D53" s="535" t="s">
        <v>2261</v>
      </c>
      <c r="E53" s="535" t="s">
        <v>2171</v>
      </c>
      <c r="F53" s="535" t="s">
        <v>2261</v>
      </c>
      <c r="G53" s="74"/>
      <c r="H53"/>
    </row>
    <row r="54" spans="1:8">
      <c r="A54" s="538" t="s">
        <v>2043</v>
      </c>
      <c r="B54" s="548" t="s">
        <v>2284</v>
      </c>
      <c r="C54" s="224" t="s">
        <v>2215</v>
      </c>
      <c r="D54" s="546" t="str">
        <f>_xlfn.XLOOKUP($C$52,Octave_1_KPIs[Face (Domain) F. ID],Octave_1_KPIs[O1 - Survival (Focus: Existence)])</f>
        <v>Governance Foundation Integrity</v>
      </c>
      <c r="E54" s="224" t="s">
        <v>2216</v>
      </c>
      <c r="F54" s="546" t="str">
        <f>_xlfn.XLOOKUP($E$52,Octave_1_KPIs[Face (Domain) F. ID],Octave_1_KPIs[O1 - Survival (Focus: Existence)])</f>
        <v>Regenerative Intent &amp; Practice</v>
      </c>
      <c r="G54" s="74"/>
      <c r="H54"/>
    </row>
    <row r="55" spans="1:8">
      <c r="A55" s="539" t="s">
        <v>2044</v>
      </c>
      <c r="B55" s="548" t="s">
        <v>2285</v>
      </c>
      <c r="C55" s="224" t="s">
        <v>2217</v>
      </c>
      <c r="D55" s="546" t="str" cm="1">
        <f t="array" ref="D55">_xlfn.XLOOKUP($C$52,Octave_1_KPIs[Face (Domain) F. ID],Octave_2_KPIs[O2 - Structure (Focus: Stability)])</f>
        <v>Process Resilience</v>
      </c>
      <c r="E55" s="224" t="s">
        <v>2218</v>
      </c>
      <c r="F55" s="546" t="str" cm="1">
        <f t="array" ref="F55">_xlfn.XLOOKUP($E$52,Octave_1_KPIs[Face (Domain) F. ID],Octave_2_KPIs[O2 - Structure (Focus: Stability)])</f>
        <v>Regenerative Operations</v>
      </c>
      <c r="G55" s="74"/>
      <c r="H55"/>
    </row>
    <row r="56" spans="1:8">
      <c r="A56" s="540" t="s">
        <v>2045</v>
      </c>
      <c r="B56" s="548" t="s">
        <v>2286</v>
      </c>
      <c r="C56" s="224" t="s">
        <v>2219</v>
      </c>
      <c r="D56" s="546" t="str" cm="1">
        <f t="array" ref="D56">_xlfn.XLOOKUP($C$52,Octave_1_KPIs[Face (Domain) F. ID],Octave_3_KPIs[O3 - Relationships (Focus: Connection)])</f>
        <v>Participatory Governance</v>
      </c>
      <c r="E56" s="224" t="s">
        <v>2220</v>
      </c>
      <c r="F56" s="546" t="str" cm="1">
        <f t="array" ref="F56">_xlfn.XLOOKUP($E$52,Octave_1_KPIs[Face (Domain) F. ID],Octave_3_KPIs[O3 - Relationships (Focus: Connection)])</f>
        <v>Stakeholder Relationships</v>
      </c>
      <c r="G56" s="74"/>
      <c r="H56"/>
    </row>
    <row r="57" spans="1:8">
      <c r="A57" s="541" t="s">
        <v>2046</v>
      </c>
      <c r="B57" s="548" t="s">
        <v>2287</v>
      </c>
      <c r="C57" s="224" t="s">
        <v>2221</v>
      </c>
      <c r="D57" s="546" t="str" cm="1">
        <f t="array" ref="D57">_xlfn.XLOOKUP($C$52,Octave_1_KPIs[Face (Domain) F. ID],Octave_4_KPIs[O4 - Creativity (Focus: Possibility)])</f>
        <v>Adaptive Governance</v>
      </c>
      <c r="E57" s="224" t="s">
        <v>2222</v>
      </c>
      <c r="F57" s="546" t="str" cm="1">
        <f t="array" ref="F57">_xlfn.XLOOKUP($E$52,Octave_1_KPIs[Face (Domain) F. ID],Octave_4_KPIs[O4 - Creativity (Focus: Possibility)])</f>
        <v>Regenerative Design</v>
      </c>
      <c r="G57" s="74"/>
      <c r="H57"/>
    </row>
    <row r="58" spans="1:8">
      <c r="A58" s="542" t="s">
        <v>2047</v>
      </c>
      <c r="B58" s="548" t="s">
        <v>2288</v>
      </c>
      <c r="C58" s="224" t="s">
        <v>2223</v>
      </c>
      <c r="D58" s="546" t="str" cm="1">
        <f t="array" ref="D58">_xlfn.XLOOKUP($C$52,Octave_1_KPIs[Face (Domain) F. ID],Octave_5_KPIs[O5 - Expression (Focus: Clarity)])</f>
        <v>Governance Transparency</v>
      </c>
      <c r="E58" s="224" t="s">
        <v>2224</v>
      </c>
      <c r="F58" s="546" t="str" cm="1">
        <f t="array" ref="F58">_xlfn.XLOOKUP($E$52,Octave_1_KPIs[Face (Domain) F. ID],Octave_5_KPIs[O5 - Expression (Focus: Clarity)])</f>
        <v>Impact Storytelling</v>
      </c>
      <c r="G58" s="74"/>
      <c r="H58"/>
    </row>
    <row r="59" spans="1:8">
      <c r="A59" s="543" t="s">
        <v>2048</v>
      </c>
      <c r="B59" s="548" t="s">
        <v>2289</v>
      </c>
      <c r="C59" s="224" t="s">
        <v>2225</v>
      </c>
      <c r="D59" s="546" t="str" cm="1">
        <f t="array" ref="D59">_xlfn.XLOOKUP($C$52,Octave_1_KPIs[Face (Domain) F. ID],Octave_6_KPIs[O6 - Vision (Focus: Direction)])</f>
        <v>Evolutionary Governance</v>
      </c>
      <c r="E59" s="224" t="s">
        <v>2226</v>
      </c>
      <c r="F59" s="546" t="str" cm="1">
        <f t="array" ref="F59">_xlfn.XLOOKUP($E$52,Octave_1_KPIs[Face (Domain) F. ID],Octave_6_KPIs[O6 - Vision (Focus: Direction)])</f>
        <v>Generational Regeneration</v>
      </c>
      <c r="G59" s="74"/>
      <c r="H59"/>
    </row>
    <row r="60" spans="1:8">
      <c r="A60" s="544" t="s">
        <v>2049</v>
      </c>
      <c r="B60" s="548" t="s">
        <v>2290</v>
      </c>
      <c r="C60" s="224" t="s">
        <v>2227</v>
      </c>
      <c r="D60" s="546" t="str" cm="1">
        <f t="array" ref="D60">_xlfn.XLOOKUP($C$52,Octave_1_KPIs[Face (Domain) F. ID],Octave_7_KPIs[O7 - Radiance (Focus: Service)])</f>
        <v>Governance as Emergent Order</v>
      </c>
      <c r="E60" s="224" t="s">
        <v>2228</v>
      </c>
      <c r="F60" s="546" t="str" cm="1">
        <f t="array" ref="F60">_xlfn.XLOOKUP($E$52,Octave_1_KPIs[Face (Domain) F. ID],Octave_7_KPIs[O7 - Radiance (Focus: Service)])</f>
        <v>Creation as a Planetary Act</v>
      </c>
      <c r="G60" s="74"/>
      <c r="H60"/>
    </row>
    <row r="61" spans="1:8">
      <c r="A61" s="163"/>
      <c r="B61" s="163"/>
      <c r="C61" s="163"/>
    </row>
    <row r="62" spans="1:8">
      <c r="A62" s="552" t="s">
        <v>2229</v>
      </c>
      <c r="B62" s="552"/>
      <c r="C62" s="537" t="str">
        <f>REFRENCE_MODELS!A34</f>
        <v>Market Resonance (F5)</v>
      </c>
      <c r="D62" s="16"/>
      <c r="E62" s="537" t="str">
        <f>REFRENCE_MODELS!A59</f>
        <v>Foundational Values (F10)</v>
      </c>
    </row>
    <row r="63" spans="1:8">
      <c r="A63" s="535" t="s">
        <v>2169</v>
      </c>
      <c r="B63" s="535" t="s">
        <v>2262</v>
      </c>
      <c r="C63" s="535" t="s">
        <v>2170</v>
      </c>
      <c r="D63" s="535" t="s">
        <v>2261</v>
      </c>
      <c r="E63" s="535" t="s">
        <v>2171</v>
      </c>
      <c r="F63" s="535" t="s">
        <v>2261</v>
      </c>
      <c r="G63" s="74"/>
      <c r="H63"/>
    </row>
    <row r="64" spans="1:8">
      <c r="A64" s="538" t="s">
        <v>2043</v>
      </c>
      <c r="B64" s="548" t="s">
        <v>2291</v>
      </c>
      <c r="C64" s="224" t="s">
        <v>2230</v>
      </c>
      <c r="D64" s="546" t="str">
        <f>_xlfn.XLOOKUP($C$62,Octave_1_KPIs[Face (Domain) F. ID],Octave_1_KPIs[O1 - Survival (Focus: Existence)])</f>
        <v>Initial Message Coherence</v>
      </c>
      <c r="E64" s="224" t="s">
        <v>2231</v>
      </c>
      <c r="F64" s="546" t="str">
        <f>_xlfn.XLOOKUP($E$62,Octave_1_KPIs[Face (Domain) F. ID],Octave_1_KPIs[O1 - Survival (Focus: Existence)])</f>
        <v>Lived Values &amp; Cultural Integrity</v>
      </c>
      <c r="G64" s="74"/>
      <c r="H64"/>
    </row>
    <row r="65" spans="1:8">
      <c r="A65" s="539" t="s">
        <v>2044</v>
      </c>
      <c r="B65" s="548" t="s">
        <v>2292</v>
      </c>
      <c r="C65" s="224" t="s">
        <v>2232</v>
      </c>
      <c r="D65" s="546" t="str" cm="1">
        <f t="array" ref="D65">_xlfn.XLOOKUP($C$62,Octave_1_KPIs[Face (Domain) F. ID],Octave_2_KPIs[O2 - Structure (Focus: Stability)])</f>
        <v>Customer Experience</v>
      </c>
      <c r="E65" s="224" t="s">
        <v>2233</v>
      </c>
      <c r="F65" s="546" t="str" cm="1">
        <f t="array" ref="F65">_xlfn.XLOOKUP($E$62,Octave_1_KPIs[Face (Domain) F. ID],Octave_2_KPIs[O2 - Structure (Focus: Stability)])</f>
        <v>Formalized Cultural Systems</v>
      </c>
      <c r="G65" s="74"/>
      <c r="H65"/>
    </row>
    <row r="66" spans="1:8">
      <c r="A66" s="540" t="s">
        <v>2045</v>
      </c>
      <c r="B66" s="548" t="s">
        <v>2293</v>
      </c>
      <c r="C66" s="224" t="s">
        <v>2234</v>
      </c>
      <c r="D66" s="546" t="str" cm="1">
        <f t="array" ref="D66">_xlfn.XLOOKUP($C$62,Octave_1_KPIs[Face (Domain) F. ID],Octave_3_KPIs[O3 - Relationships (Focus: Connection)])</f>
        <v>Customer Loyalty, Love &amp; Community</v>
      </c>
      <c r="E66" s="224" t="s">
        <v>2235</v>
      </c>
      <c r="F66" s="546" t="str" cm="1">
        <f t="array" ref="F66">_xlfn.XLOOKUP($E$62,Octave_1_KPIs[Face (Domain) F. ID],Octave_3_KPIs[O3 - Relationships (Focus: Connection)])</f>
        <v>Values in Relationship</v>
      </c>
      <c r="G66" s="74"/>
      <c r="H66"/>
    </row>
    <row r="67" spans="1:8">
      <c r="A67" s="541" t="s">
        <v>2046</v>
      </c>
      <c r="B67" s="548" t="s">
        <v>2294</v>
      </c>
      <c r="C67" s="224" t="s">
        <v>2236</v>
      </c>
      <c r="D67" s="546" t="str" cm="1">
        <f t="array" ref="D67">_xlfn.XLOOKUP($C$62,Octave_1_KPIs[Face (Domain) F. ID],Octave_4_KPIs[O4 - Creativity (Focus: Possibility)])</f>
        <v>Co-Creative Marketing</v>
      </c>
      <c r="E67" s="224" t="s">
        <v>2237</v>
      </c>
      <c r="F67" s="546" t="str" cm="1">
        <f t="array" ref="F67">_xlfn.XLOOKUP($E$62,Octave_1_KPIs[Face (Domain) F. ID],Octave_4_KPIs[O4 - Creativity (Focus: Possibility)])</f>
        <v>Evolution of Values</v>
      </c>
      <c r="G67" s="74"/>
      <c r="H67"/>
    </row>
    <row r="68" spans="1:8">
      <c r="A68" s="542" t="s">
        <v>2047</v>
      </c>
      <c r="B68" s="548" t="s">
        <v>2295</v>
      </c>
      <c r="C68" s="224" t="s">
        <v>2238</v>
      </c>
      <c r="D68" s="546" t="str" cm="1">
        <f t="array" ref="D68">_xlfn.XLOOKUP($C$62,Octave_1_KPIs[Face (Domain) F. ID],Octave_5_KPIs[O5 - Expression (Focus: Clarity)])</f>
        <v>Ecosystem Signal Fidelity</v>
      </c>
      <c r="E68" s="224" t="s">
        <v>2239</v>
      </c>
      <c r="F68" s="546" t="str" cm="1">
        <f t="array" ref="F68">_xlfn.XLOOKUP($E$62,Octave_1_KPIs[Face (Domain) F. ID],Octave_5_KPIs[O5 - Expression (Focus: Clarity)])</f>
        <v>Values as a Beacon</v>
      </c>
      <c r="G68" s="74"/>
      <c r="H68"/>
    </row>
    <row r="69" spans="1:8">
      <c r="A69" s="543" t="s">
        <v>2048</v>
      </c>
      <c r="B69" s="548" t="s">
        <v>2296</v>
      </c>
      <c r="C69" s="224" t="s">
        <v>2240</v>
      </c>
      <c r="D69" s="546" t="str" cm="1">
        <f t="array" ref="D69">_xlfn.XLOOKUP($C$62,Octave_1_KPIs[Face (Domain) F. ID],Octave_6_KPIs[O6 - Vision (Focus: Direction)])</f>
        <v>Future-Shaping Narratives</v>
      </c>
      <c r="E69" s="224" t="s">
        <v>2241</v>
      </c>
      <c r="F69" s="546" t="str" cm="1">
        <f t="array" ref="F69">_xlfn.XLOOKUP($E$62,Octave_1_KPIs[Face (Domain) F. ID],Octave_6_KPIs[O6 - Vision (Focus: Direction)])</f>
        <v>Timeless Values</v>
      </c>
      <c r="G69" s="74"/>
      <c r="H69"/>
    </row>
    <row r="70" spans="1:8">
      <c r="A70" s="544" t="s">
        <v>2049</v>
      </c>
      <c r="B70" s="548" t="s">
        <v>2297</v>
      </c>
      <c r="C70" s="224" t="s">
        <v>2242</v>
      </c>
      <c r="D70" s="546" t="str" cm="1">
        <f t="array" ref="D70">_xlfn.XLOOKUP($C$62,Octave_1_KPIs[Face (Domain) F. ID],Octave_7_KPIs[O7 - Radiance (Focus: Service)])</f>
        <v>The Market as a Field of Consciousness</v>
      </c>
      <c r="E70" s="224" t="s">
        <v>2243</v>
      </c>
      <c r="F70" s="546" t="str" cm="1">
        <f t="array" ref="F70">_xlfn.XLOOKUP($E$62,Octave_1_KPIs[Face (Domain) F. ID],Octave_7_KPIs[O7 - Radiance (Focus: Service)])</f>
        <v>Values as Universal Law</v>
      </c>
      <c r="G70" s="74"/>
      <c r="H70"/>
    </row>
    <row r="71" spans="1:8">
      <c r="A71" s="163"/>
      <c r="B71" s="163"/>
      <c r="C71" s="163"/>
    </row>
    <row r="72" spans="1:8">
      <c r="A72" s="552" t="s">
        <v>2244</v>
      </c>
      <c r="B72" s="552"/>
      <c r="C72" s="537" t="str">
        <f>REFRENCE_MODELS!A39</f>
        <v>Community &amp; Partners (F6)</v>
      </c>
      <c r="D72" s="16"/>
      <c r="E72" s="537" t="str">
        <f>REFRENCE_MODELS!A69</f>
        <v>Risk &amp; Resilience (F12)</v>
      </c>
    </row>
    <row r="73" spans="1:8">
      <c r="A73" s="535" t="s">
        <v>2169</v>
      </c>
      <c r="B73" s="535" t="s">
        <v>2262</v>
      </c>
      <c r="C73" s="535" t="s">
        <v>2170</v>
      </c>
      <c r="D73" s="535" t="s">
        <v>2261</v>
      </c>
      <c r="E73" s="535" t="s">
        <v>2171</v>
      </c>
      <c r="F73" s="535" t="s">
        <v>2261</v>
      </c>
      <c r="G73" s="74"/>
      <c r="H73"/>
    </row>
    <row r="74" spans="1:8">
      <c r="A74" s="538" t="s">
        <v>2043</v>
      </c>
      <c r="B74" s="548" t="s">
        <v>2298</v>
      </c>
      <c r="C74" s="224" t="s">
        <v>2245</v>
      </c>
      <c r="D74" s="546" t="str">
        <f>_xlfn.XLOOKUP($C$72,Octave_1_KPIs[Face (Domain) F. ID],Octave_1_KPIs[O1 - Survival (Focus: Existence)])</f>
        <v>Network Foundation Strength</v>
      </c>
      <c r="E74" s="224" t="s">
        <v>2246</v>
      </c>
      <c r="F74" s="546" t="str">
        <f>_xlfn.XLOOKUP($E$72,Octave_1_KPIs[Face (Domain) F. ID],Octave_1_KPIs[O1 - Survival (Focus: Existence)])</f>
        <v>Systemic Fragility Assessment</v>
      </c>
      <c r="G74" s="74"/>
      <c r="H74"/>
    </row>
    <row r="75" spans="1:8">
      <c r="A75" s="539" t="s">
        <v>2044</v>
      </c>
      <c r="B75" s="548" t="s">
        <v>2299</v>
      </c>
      <c r="C75" s="224" t="s">
        <v>2247</v>
      </c>
      <c r="D75" s="546" t="str" cm="1">
        <f t="array" ref="D75">_xlfn.XLOOKUP($C$72,Octave_1_KPIs[Face (Domain) F. ID],Octave_2_KPIs[O2 - Structure (Focus: Stability)])</f>
        <v>Partnership Integration</v>
      </c>
      <c r="E75" s="224" t="s">
        <v>2248</v>
      </c>
      <c r="F75" s="546" t="str" cm="1">
        <f t="array" ref="F75">_xlfn.XLOOKUP($E$72,Octave_1_KPIs[Face (Domain) F. ID],Octave_2_KPIs[O2 - Structure (Focus: Stability)])</f>
        <v>Risk Management Systems</v>
      </c>
      <c r="G75" s="74"/>
      <c r="H75"/>
    </row>
    <row r="76" spans="1:8">
      <c r="A76" s="540" t="s">
        <v>2045</v>
      </c>
      <c r="B76" s="548" t="s">
        <v>2300</v>
      </c>
      <c r="C76" s="224" t="s">
        <v>2249</v>
      </c>
      <c r="D76" s="546" t="str" cm="1">
        <f t="array" ref="D76">_xlfn.XLOOKUP($C$72,Octave_1_KPIs[Face (Domain) F. ID],Octave_3_KPIs[O3 - Relationships (Focus: Connection)])</f>
        <v>Ecosystem Health</v>
      </c>
      <c r="E76" s="224" t="s">
        <v>2250</v>
      </c>
      <c r="F76" s="546" t="str" cm="1">
        <f t="array" ref="F76">_xlfn.XLOOKUP($E$72,Octave_1_KPIs[Face (Domain) F. ID],Octave_3_KPIs[O3 - Relationships (Focus: Connection)])</f>
        <v>Relational Resilience</v>
      </c>
      <c r="G76" s="74"/>
      <c r="H76"/>
    </row>
    <row r="77" spans="1:8">
      <c r="A77" s="541" t="s">
        <v>2046</v>
      </c>
      <c r="B77" s="548" t="s">
        <v>2301</v>
      </c>
      <c r="C77" s="224" t="s">
        <v>2251</v>
      </c>
      <c r="D77" s="546" t="str" cm="1">
        <f t="array" ref="D77">_xlfn.XLOOKUP($C$72,Octave_1_KPIs[Face (Domain) F. ID],Octave_4_KPIs[O4 - Creativity (Focus: Possibility)])</f>
        <v>Ecosystem Innovation</v>
      </c>
      <c r="E77" s="224" t="s">
        <v>2252</v>
      </c>
      <c r="F77" s="546" t="str" cm="1">
        <f t="array" ref="F77">_xlfn.XLOOKUP($E$72,Octave_1_KPIs[Face (Domain) F. ID],Octave_4_KPIs[O4 - Creativity (Focus: Possibility)])</f>
        <v>Innovative Resilience</v>
      </c>
      <c r="G77" s="74"/>
      <c r="H77"/>
    </row>
    <row r="78" spans="1:8">
      <c r="A78" s="542" t="s">
        <v>2047</v>
      </c>
      <c r="B78" s="548" t="s">
        <v>2302</v>
      </c>
      <c r="C78" s="224" t="s">
        <v>2253</v>
      </c>
      <c r="D78" s="546" t="str" cm="1">
        <f t="array" ref="D78">_xlfn.XLOOKUP($C$72,Octave_1_KPIs[Face (Domain) F. ID],Octave_5_KPIs[O5 - Expression (Focus: Clarity)])</f>
        <v>Ecosystem Narrative Weaving</v>
      </c>
      <c r="E78" s="224" t="s">
        <v>2254</v>
      </c>
      <c r="F78" s="546" t="str" cm="1">
        <f t="array" ref="F78">_xlfn.XLOOKUP($E$72,Octave_1_KPIs[Face (Domain) F. ID],Octave_5_KPIs[O5 - Expression (Focus: Clarity)])</f>
        <v>Resilience through Story</v>
      </c>
      <c r="G78" s="74"/>
      <c r="H78"/>
    </row>
    <row r="79" spans="1:8">
      <c r="A79" s="543" t="s">
        <v>2048</v>
      </c>
      <c r="B79" s="548" t="s">
        <v>2303</v>
      </c>
      <c r="C79" s="224" t="s">
        <v>2255</v>
      </c>
      <c r="D79" s="546" t="str" cm="1">
        <f t="array" ref="D79">_xlfn.XLOOKUP($C$72,Octave_1_KPIs[Face (Domain) F. ID],Octave_6_KPIs[O6 - Vision (Focus: Direction)])</f>
        <v>Ecosystem as a Future-Builder</v>
      </c>
      <c r="E79" s="224" t="s">
        <v>2256</v>
      </c>
      <c r="F79" s="546" t="str" cm="1">
        <f t="array" ref="F79">_xlfn.XLOOKUP($E$72,Octave_1_KPIs[Face (Domain) F. ID],Octave_6_KPIs[O6 - Vision (Focus: Direction)])</f>
        <v>"Anti-Fragile" Vision</v>
      </c>
      <c r="G79" s="74"/>
      <c r="H79"/>
    </row>
    <row r="80" spans="1:8">
      <c r="A80" s="544" t="s">
        <v>2049</v>
      </c>
      <c r="B80" s="548" t="s">
        <v>2304</v>
      </c>
      <c r="C80" s="224" t="s">
        <v>2257</v>
      </c>
      <c r="D80" s="546" t="str" cm="1">
        <f t="array" ref="D80">_xlfn.XLOOKUP($C$72,Octave_1_KPIs[Face (Domain) F. ID],Octave_7_KPIs[O7 - Radiance (Focus: Service)])</f>
        <v>The Network as a Planetary Organ</v>
      </c>
      <c r="E80" s="224" t="s">
        <v>2258</v>
      </c>
      <c r="F80" s="546" t="str" cm="1">
        <f t="array" ref="F80">_xlfn.XLOOKUP($E$72,Octave_1_KPIs[Face (Domain) F. ID],Octave_7_KPIs[O7 - Radiance (Focus: Service)])</f>
        <v>Resilience as Being</v>
      </c>
      <c r="G80" s="74"/>
      <c r="H80"/>
    </row>
  </sheetData>
  <mergeCells count="7">
    <mergeCell ref="A52:B52"/>
    <mergeCell ref="A62:B62"/>
    <mergeCell ref="A72:B72"/>
    <mergeCell ref="A21:F21"/>
    <mergeCell ref="A22:B22"/>
    <mergeCell ref="A32:B32"/>
    <mergeCell ref="A42:B42"/>
  </mergeCells>
  <phoneticPr fontId="14" type="noConversion"/>
  <pageMargins left="0.70000000000000007" right="0.70000000000000007" top="0.75" bottom="0.75" header="0.30000000000000004" footer="0.3000000000000000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27E19-FF7D-41F2-B9A8-F7F5CDF79909}">
  <dimension ref="A1:E16"/>
  <sheetViews>
    <sheetView zoomScale="134" workbookViewId="0">
      <selection activeCell="F13" sqref="F13"/>
    </sheetView>
  </sheetViews>
  <sheetFormatPr defaultRowHeight="14.4"/>
  <cols>
    <col min="1" max="1" width="29.5546875" bestFit="1" customWidth="1"/>
    <col min="2" max="2" width="33.21875" bestFit="1" customWidth="1"/>
    <col min="3" max="3" width="9.77734375" bestFit="1" customWidth="1"/>
    <col min="4" max="4" width="18.44140625" customWidth="1"/>
    <col min="5" max="5" width="16" customWidth="1"/>
  </cols>
  <sheetData>
    <row r="1" spans="1:5" ht="60" thickBot="1">
      <c r="A1" s="114" t="s">
        <v>280</v>
      </c>
      <c r="B1" s="107">
        <f>SYSTEM_COHERENCE!L15</f>
        <v>4.7991524030845834E-2</v>
      </c>
      <c r="C1" s="115" t="s">
        <v>265</v>
      </c>
      <c r="D1" s="119" t="str">
        <f>IF(B1&gt;0.7, "Radiant", IF(B1&gt;0.4, "Harmonizing", "Seedling"))</f>
        <v>Seedling</v>
      </c>
    </row>
    <row r="3" spans="1:5" ht="14.4" customHeight="1">
      <c r="A3" s="77" t="s">
        <v>266</v>
      </c>
      <c r="B3" s="77" t="s">
        <v>33</v>
      </c>
      <c r="C3" s="92" t="s">
        <v>34</v>
      </c>
      <c r="D3" s="559" t="s">
        <v>279</v>
      </c>
      <c r="E3" s="555">
        <f>SYSTEM_COHERENCE!C22</f>
        <v>1</v>
      </c>
    </row>
    <row r="4" spans="1:5" ht="14.4" customHeight="1">
      <c r="A4" s="105" t="s">
        <v>35</v>
      </c>
      <c r="B4" s="112">
        <f>SYSTEM_COHERENCE!C17</f>
        <v>0.3643941961065168</v>
      </c>
      <c r="C4" s="88" t="str">
        <f>IF(B4&gt;0.7,"Strong",IF(B4&gt;0.4,"Moderate","Weak"))</f>
        <v>Weak</v>
      </c>
      <c r="D4" s="559"/>
      <c r="E4" s="555"/>
    </row>
    <row r="5" spans="1:5" ht="14.4" customHeight="1">
      <c r="A5" s="105" t="s">
        <v>267</v>
      </c>
      <c r="B5" s="112">
        <f>SYSTEM_COHERENCE!D17</f>
        <v>0</v>
      </c>
      <c r="C5" s="88" t="str">
        <f t="shared" ref="C5:C10" si="0">IF(B5&gt;0.7,"Strong",IF(B5&gt;0.4,"Moderate","Weak"))</f>
        <v>Weak</v>
      </c>
      <c r="D5" s="559"/>
      <c r="E5" s="555"/>
    </row>
    <row r="6" spans="1:5" ht="14.4" customHeight="1">
      <c r="A6" s="105" t="s">
        <v>36</v>
      </c>
      <c r="B6" s="112">
        <f>SYSTEM_COHERENCE!E17</f>
        <v>0</v>
      </c>
      <c r="C6" s="88" t="str">
        <f t="shared" si="0"/>
        <v>Weak</v>
      </c>
      <c r="D6" s="559"/>
      <c r="E6" s="555"/>
    </row>
    <row r="7" spans="1:5">
      <c r="A7" s="105" t="s">
        <v>268</v>
      </c>
      <c r="B7" s="112">
        <f>SYSTEM_COHERENCE!F17</f>
        <v>0</v>
      </c>
      <c r="C7" s="88" t="str">
        <f t="shared" si="0"/>
        <v>Weak</v>
      </c>
      <c r="D7" s="559"/>
      <c r="E7" s="555"/>
    </row>
    <row r="8" spans="1:5">
      <c r="A8" s="105" t="s">
        <v>37</v>
      </c>
      <c r="B8" s="112">
        <f>SYSTEM_COHERENCE!G17</f>
        <v>0</v>
      </c>
      <c r="C8" s="88" t="str">
        <f t="shared" si="0"/>
        <v>Weak</v>
      </c>
      <c r="D8" s="559"/>
      <c r="E8" s="555"/>
    </row>
    <row r="9" spans="1:5">
      <c r="A9" s="105" t="s">
        <v>38</v>
      </c>
      <c r="B9" s="112">
        <f>SYSTEM_COHERENCE!H17</f>
        <v>0</v>
      </c>
      <c r="C9" s="88" t="str">
        <f t="shared" si="0"/>
        <v>Weak</v>
      </c>
      <c r="D9" s="559"/>
      <c r="E9" s="555"/>
    </row>
    <row r="10" spans="1:5">
      <c r="A10" s="116" t="s">
        <v>39</v>
      </c>
      <c r="B10" s="117">
        <f>SYSTEM_COHERENCE!I17</f>
        <v>0</v>
      </c>
      <c r="C10" s="118" t="str">
        <f t="shared" si="0"/>
        <v>Weak</v>
      </c>
      <c r="D10" s="559"/>
      <c r="E10" s="555"/>
    </row>
    <row r="12" spans="1:5" ht="34.200000000000003" customHeight="1">
      <c r="A12" s="556" t="s">
        <v>269</v>
      </c>
      <c r="B12" s="556"/>
    </row>
    <row r="13" spans="1:5">
      <c r="A13" s="557" t="s">
        <v>271</v>
      </c>
      <c r="B13" s="557"/>
      <c r="C13" s="106"/>
    </row>
    <row r="14" spans="1:5">
      <c r="A14" s="110" t="str">
        <f>DODECA_ENGINE!B80 &amp; " = " &amp; TEXT(DODECA_ENGINE!B84, "0%")</f>
        <v>Being-Action Balance = 187%</v>
      </c>
      <c r="B14" s="110" t="str">
        <f>DODECA_ENGINE!B87 &amp; " = " &amp; TEXT(DODECA_ENGINE!B104, "0%")</f>
        <v>Dissonance Index = 24%</v>
      </c>
    </row>
    <row r="15" spans="1:5">
      <c r="A15" s="557" t="s">
        <v>274</v>
      </c>
      <c r="B15" s="558"/>
    </row>
    <row r="16" spans="1:5" ht="21.6">
      <c r="A16" s="109" t="s">
        <v>270</v>
      </c>
      <c r="B16" s="111" t="str" cm="1">
        <f t="array" ref="B16">_xlfn.LET(
    _xlpm.positive_data, _xlfn._xlws.FILTER(DODECA_ENGINE!B123:J134, DODECA_ENGINE!E123:E134 &gt; 0),
    _xlpm.scores, INDEX(_xlpm.positive_data, 0, 5),
    _xlpm.max_score, MAX(_xlpm.scores),
    _xlpm.kpi_name, _xlfn.XLOOKUP(_xlpm.max_score, _xlpm.scores, INDEX(_xlpm.positive_data, 0, 1)),
    _xlpm.target, _xlfn.XLOOKUP(_xlpm.max_score, _xlpm.scores, INDEX(_xlpm.positive_data, 0, 7)),
    _xlfn.CONCAT(_xlpm.kpi_name, " achieve the target of ", _xlpm.target)
)</f>
        <v>Founder Energy Lvl achieve the target of 0.573591881535853</v>
      </c>
    </row>
  </sheetData>
  <mergeCells count="5">
    <mergeCell ref="E3:E10"/>
    <mergeCell ref="A12:B12"/>
    <mergeCell ref="A13:B13"/>
    <mergeCell ref="A15:B15"/>
    <mergeCell ref="D3:D10"/>
  </mergeCells>
  <conditionalFormatting sqref="B1">
    <cfRule type="colorScale" priority="1">
      <colorScale>
        <cfvo type="num" val="0"/>
        <cfvo type="num" val="1"/>
        <color rgb="FFFF0000"/>
        <color theme="9"/>
      </colorScale>
    </cfRule>
  </conditionalFormatting>
  <conditionalFormatting sqref="B4:B10">
    <cfRule type="colorScale" priority="2">
      <colorScale>
        <cfvo type="num" val="0"/>
        <cfvo type="num" val="1"/>
        <color rgb="FFFF0000"/>
        <color theme="9"/>
      </colorScale>
    </cfRule>
  </conditionalFormatting>
  <pageMargins left="0.70000000000000007" right="0.70000000000000007" top="0.75" bottom="0.75" header="0.30000000000000004" footer="0.3000000000000000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59077-C890-4EC7-9529-E9219CD60589}">
  <dimension ref="A1:CA128"/>
  <sheetViews>
    <sheetView topLeftCell="A44" zoomScale="86" zoomScaleNormal="100" workbookViewId="0">
      <selection activeCell="BQ14" sqref="BQ14"/>
    </sheetView>
  </sheetViews>
  <sheetFormatPr defaultRowHeight="14.4"/>
  <cols>
    <col min="1" max="1" width="28" customWidth="1"/>
    <col min="2" max="2" width="41.5546875" customWidth="1"/>
    <col min="3" max="3" width="31.21875" bestFit="1" customWidth="1"/>
    <col min="4" max="4" width="40.5546875" bestFit="1" customWidth="1"/>
    <col min="5" max="5" width="38.109375" bestFit="1" customWidth="1"/>
    <col min="6" max="6" width="29.44140625" bestFit="1" customWidth="1"/>
    <col min="7" max="7" width="26.88671875" bestFit="1" customWidth="1"/>
    <col min="8" max="8" width="19.21875" customWidth="1"/>
    <col min="9" max="9" width="20" customWidth="1"/>
    <col min="10" max="10" width="18.44140625" customWidth="1"/>
    <col min="11" max="11" width="22.88671875" customWidth="1"/>
    <col min="12" max="12" width="26.5546875" customWidth="1"/>
    <col min="13" max="13" width="28.44140625" style="19" bestFit="1" customWidth="1"/>
    <col min="14" max="14" width="33.77734375" bestFit="1" customWidth="1"/>
    <col min="15" max="15" width="11" bestFit="1" customWidth="1"/>
    <col min="16" max="16" width="40.109375" bestFit="1" customWidth="1"/>
    <col min="17" max="17" width="34.21875" bestFit="1" customWidth="1"/>
    <col min="18" max="18" width="18.5546875" bestFit="1" customWidth="1"/>
    <col min="19" max="19" width="19.33203125" customWidth="1"/>
    <col min="20" max="20" width="19.77734375" bestFit="1" customWidth="1"/>
    <col min="21" max="21" width="18.5546875" bestFit="1" customWidth="1"/>
    <col min="22" max="22" width="26.21875" customWidth="1"/>
    <col min="23" max="23" width="32.77734375" bestFit="1" customWidth="1"/>
    <col min="24" max="24" width="30.6640625" bestFit="1" customWidth="1"/>
    <col min="25" max="25" width="38.88671875" bestFit="1" customWidth="1"/>
    <col min="26" max="26" width="14.33203125" bestFit="1" customWidth="1"/>
    <col min="27" max="27" width="48.5546875" bestFit="1" customWidth="1"/>
    <col min="28" max="28" width="45.44140625" bestFit="1" customWidth="1"/>
    <col min="29" max="29" width="15" bestFit="1" customWidth="1"/>
    <col min="30" max="30" width="18.5546875" bestFit="1" customWidth="1"/>
    <col min="31" max="31" width="19" bestFit="1" customWidth="1"/>
    <col min="32" max="32" width="19.44140625" bestFit="1" customWidth="1"/>
    <col min="33" max="33" width="20.88671875" bestFit="1" customWidth="1"/>
    <col min="34" max="34" width="28.77734375" customWidth="1"/>
    <col min="35" max="35" width="35.6640625" bestFit="1" customWidth="1"/>
    <col min="36" max="36" width="33.6640625" bestFit="1" customWidth="1"/>
    <col min="37" max="37" width="11.33203125" bestFit="1" customWidth="1"/>
    <col min="38" max="38" width="35.21875" bestFit="1" customWidth="1"/>
    <col min="39" max="39" width="14.109375" bestFit="1" customWidth="1"/>
    <col min="40" max="40" width="17.21875" bestFit="1" customWidth="1"/>
    <col min="41" max="41" width="18" bestFit="1" customWidth="1"/>
    <col min="42" max="42" width="18.33203125" bestFit="1" customWidth="1"/>
    <col min="43" max="43" width="19.5546875" bestFit="1" customWidth="1"/>
    <col min="44" max="44" width="39.109375" customWidth="1"/>
    <col min="45" max="45" width="26.21875" customWidth="1"/>
    <col min="46" max="46" width="24.6640625" bestFit="1" customWidth="1"/>
    <col min="47" max="47" width="31.44140625" bestFit="1" customWidth="1"/>
    <col min="48" max="48" width="11.33203125" bestFit="1" customWidth="1"/>
    <col min="49" max="50" width="37.77734375" bestFit="1" customWidth="1"/>
    <col min="51" max="51" width="13.21875" bestFit="1" customWidth="1"/>
    <col min="52" max="52" width="13.88671875" bestFit="1" customWidth="1"/>
    <col min="53" max="53" width="14.33203125" bestFit="1" customWidth="1"/>
    <col min="54" max="54" width="15.33203125" bestFit="1" customWidth="1"/>
    <col min="55" max="55" width="39.109375" customWidth="1"/>
    <col min="56" max="56" width="24.6640625" bestFit="1" customWidth="1"/>
    <col min="57" max="57" width="29.5546875" bestFit="1" customWidth="1"/>
    <col min="58" max="58" width="29.44140625" bestFit="1" customWidth="1"/>
    <col min="59" max="59" width="11.33203125" bestFit="1" customWidth="1"/>
    <col min="60" max="60" width="34.88671875" bestFit="1" customWidth="1"/>
    <col min="61" max="61" width="12" bestFit="1" customWidth="1"/>
    <col min="62" max="62" width="13.109375" bestFit="1" customWidth="1"/>
    <col min="63" max="63" width="13.88671875" bestFit="1" customWidth="1"/>
    <col min="64" max="64" width="14.33203125" bestFit="1" customWidth="1"/>
    <col min="65" max="65" width="15.109375" bestFit="1" customWidth="1"/>
    <col min="66" max="66" width="39.109375" customWidth="1"/>
    <col min="67" max="68" width="24.6640625" bestFit="1" customWidth="1"/>
    <col min="69" max="69" width="34.6640625" bestFit="1" customWidth="1"/>
    <col min="70" max="70" width="11.44140625" bestFit="1" customWidth="1"/>
    <col min="71" max="71" width="100.44140625" bestFit="1" customWidth="1"/>
    <col min="72" max="72" width="33.77734375" bestFit="1" customWidth="1"/>
    <col min="73" max="73" width="12.21875" bestFit="1" customWidth="1"/>
    <col min="74" max="74" width="13.5546875" bestFit="1" customWidth="1"/>
    <col min="75" max="75" width="14.109375" bestFit="1" customWidth="1"/>
    <col min="76" max="76" width="14.6640625" bestFit="1" customWidth="1"/>
    <col min="77" max="77" width="15.6640625" bestFit="1" customWidth="1"/>
    <col min="78" max="79" width="24.6640625" bestFit="1" customWidth="1"/>
  </cols>
  <sheetData>
    <row r="1" spans="1:79" ht="52.8" customHeight="1">
      <c r="A1" s="568" t="s">
        <v>525</v>
      </c>
      <c r="B1" s="568"/>
      <c r="C1" s="568"/>
      <c r="D1" s="568"/>
      <c r="E1" s="568"/>
      <c r="F1" s="568"/>
      <c r="G1" s="568"/>
      <c r="H1" s="261"/>
      <c r="I1" s="261"/>
      <c r="J1" s="261"/>
      <c r="K1" s="261"/>
      <c r="L1" s="261"/>
      <c r="M1" s="508"/>
      <c r="N1" s="261"/>
      <c r="O1" s="261"/>
      <c r="P1" s="261"/>
      <c r="Q1" s="261"/>
      <c r="R1" s="261"/>
      <c r="S1" s="261"/>
    </row>
    <row r="2" spans="1:79" ht="25.2" customHeight="1" thickBot="1">
      <c r="A2" s="262" t="s">
        <v>489</v>
      </c>
      <c r="B2" s="263" t="s">
        <v>25</v>
      </c>
      <c r="C2" s="263" t="s">
        <v>520</v>
      </c>
      <c r="D2" s="263" t="s">
        <v>490</v>
      </c>
      <c r="E2" s="264" t="s">
        <v>519</v>
      </c>
      <c r="F2" s="264" t="s">
        <v>521</v>
      </c>
      <c r="G2" s="264" t="s">
        <v>522</v>
      </c>
      <c r="H2" s="261"/>
      <c r="I2" s="261"/>
      <c r="J2" s="261"/>
      <c r="K2" s="261"/>
      <c r="L2" s="261"/>
      <c r="M2" s="508"/>
      <c r="N2" s="261"/>
      <c r="O2" s="261"/>
      <c r="P2" s="261"/>
      <c r="Q2" s="261"/>
      <c r="R2" s="261"/>
      <c r="S2" s="261"/>
    </row>
    <row r="3" spans="1:79" ht="42" customHeight="1">
      <c r="A3" s="265" t="s">
        <v>863</v>
      </c>
      <c r="B3" s="266">
        <v>0.3</v>
      </c>
      <c r="C3" s="569" t="s">
        <v>864</v>
      </c>
      <c r="D3" s="268" t="s">
        <v>491</v>
      </c>
      <c r="E3" s="569" t="s">
        <v>865</v>
      </c>
      <c r="F3" s="570" t="s">
        <v>866</v>
      </c>
      <c r="G3" s="571" t="s">
        <v>867</v>
      </c>
      <c r="H3" s="261"/>
      <c r="I3" s="261"/>
      <c r="J3" s="261"/>
      <c r="K3" s="261"/>
      <c r="L3" s="261"/>
      <c r="M3" s="508"/>
      <c r="N3" s="261"/>
      <c r="O3" s="261"/>
      <c r="P3" s="261"/>
      <c r="Q3" s="261"/>
      <c r="R3" s="261"/>
      <c r="S3" s="261"/>
    </row>
    <row r="4" spans="1:79" ht="44.4" customHeight="1">
      <c r="A4" s="271" t="s">
        <v>868</v>
      </c>
      <c r="B4" s="266">
        <v>0.25</v>
      </c>
      <c r="C4" s="569"/>
      <c r="D4" s="268" t="s">
        <v>492</v>
      </c>
      <c r="E4" s="569"/>
      <c r="F4" s="570"/>
      <c r="G4" s="571"/>
      <c r="H4" s="261"/>
      <c r="I4" s="261"/>
      <c r="J4" s="261"/>
      <c r="K4" s="261"/>
      <c r="L4" s="261"/>
      <c r="M4" s="508"/>
      <c r="N4" s="261"/>
      <c r="O4" s="261"/>
      <c r="P4" s="261"/>
      <c r="Q4" s="261"/>
      <c r="R4" s="261"/>
      <c r="S4" s="261"/>
    </row>
    <row r="5" spans="1:79" ht="42.6" customHeight="1">
      <c r="A5" s="271" t="s">
        <v>869</v>
      </c>
      <c r="B5" s="266">
        <v>0.25</v>
      </c>
      <c r="C5" s="569"/>
      <c r="D5" s="268" t="s">
        <v>493</v>
      </c>
      <c r="E5" s="569"/>
      <c r="F5" s="570"/>
      <c r="G5" s="571"/>
      <c r="H5" s="261"/>
      <c r="J5" s="261"/>
      <c r="K5" s="261"/>
      <c r="L5" s="261"/>
      <c r="M5" s="508"/>
      <c r="N5" s="261"/>
      <c r="O5" s="261"/>
      <c r="P5" s="261"/>
      <c r="Q5" s="261"/>
      <c r="R5" s="261"/>
      <c r="S5" s="261"/>
    </row>
    <row r="6" spans="1:79" ht="69.599999999999994" customHeight="1">
      <c r="A6" s="271" t="s">
        <v>870</v>
      </c>
      <c r="B6" s="266">
        <v>0.6</v>
      </c>
      <c r="C6" s="267" t="s">
        <v>518</v>
      </c>
      <c r="D6" s="268" t="s">
        <v>494</v>
      </c>
      <c r="E6" s="272" t="s">
        <v>871</v>
      </c>
      <c r="F6" s="273" t="s">
        <v>872</v>
      </c>
      <c r="G6" s="270" t="s">
        <v>873</v>
      </c>
      <c r="H6" s="261"/>
      <c r="J6" s="261"/>
      <c r="K6" s="261"/>
      <c r="L6" s="261"/>
      <c r="M6" s="508"/>
      <c r="N6" s="261"/>
      <c r="O6" s="261"/>
      <c r="P6" s="261"/>
      <c r="Q6" s="261"/>
      <c r="R6" s="261"/>
      <c r="S6" s="261"/>
    </row>
    <row r="7" spans="1:79" ht="41.4">
      <c r="A7" s="271" t="s">
        <v>874</v>
      </c>
      <c r="B7" s="266">
        <v>0.5</v>
      </c>
      <c r="C7" s="267" t="s">
        <v>875</v>
      </c>
      <c r="D7" s="268" t="s">
        <v>495</v>
      </c>
      <c r="E7" s="267" t="s">
        <v>876</v>
      </c>
      <c r="F7" s="269" t="s">
        <v>523</v>
      </c>
      <c r="G7" s="270" t="s">
        <v>877</v>
      </c>
      <c r="H7" s="261"/>
      <c r="J7" s="261"/>
      <c r="K7" s="261"/>
      <c r="L7" s="261"/>
      <c r="M7" s="508"/>
      <c r="N7" s="261"/>
      <c r="O7" s="261"/>
      <c r="P7" s="261"/>
      <c r="Q7" s="261"/>
      <c r="R7" s="261"/>
      <c r="S7" s="261"/>
    </row>
    <row r="8" spans="1:79" ht="61.2">
      <c r="A8" s="271" t="s">
        <v>878</v>
      </c>
      <c r="B8" s="266">
        <v>0.7</v>
      </c>
      <c r="C8" s="267" t="s">
        <v>879</v>
      </c>
      <c r="D8" s="268" t="s">
        <v>496</v>
      </c>
      <c r="E8" s="267" t="s">
        <v>524</v>
      </c>
      <c r="F8" s="269" t="s">
        <v>880</v>
      </c>
      <c r="G8" s="270" t="s">
        <v>881</v>
      </c>
      <c r="H8" s="261"/>
      <c r="J8" s="261"/>
      <c r="K8" s="261"/>
      <c r="L8" s="261"/>
      <c r="M8" s="508"/>
      <c r="N8" s="261"/>
      <c r="O8" s="261"/>
      <c r="P8" s="261"/>
      <c r="Q8" s="261"/>
      <c r="R8" s="261"/>
      <c r="S8" s="261"/>
    </row>
    <row r="9" spans="1:79" ht="61.2">
      <c r="A9" s="271" t="s">
        <v>882</v>
      </c>
      <c r="B9" s="266">
        <v>0.9</v>
      </c>
      <c r="C9" s="267" t="s">
        <v>883</v>
      </c>
      <c r="D9" s="268" t="s">
        <v>497</v>
      </c>
      <c r="E9" s="267" t="s">
        <v>884</v>
      </c>
      <c r="F9" s="269" t="s">
        <v>885</v>
      </c>
      <c r="G9" s="270" t="s">
        <v>886</v>
      </c>
      <c r="H9" s="261"/>
      <c r="J9" s="261"/>
      <c r="K9" s="261"/>
      <c r="L9" s="261"/>
      <c r="M9" s="508"/>
      <c r="N9" s="261"/>
      <c r="O9" s="261"/>
      <c r="P9" s="261"/>
      <c r="Q9" s="261"/>
      <c r="R9" s="261"/>
      <c r="S9" s="261"/>
    </row>
    <row r="10" spans="1:79" ht="81.599999999999994">
      <c r="A10" s="274" t="s">
        <v>887</v>
      </c>
      <c r="B10" s="275">
        <v>4</v>
      </c>
      <c r="C10" s="276" t="s">
        <v>888</v>
      </c>
      <c r="D10" s="268" t="s">
        <v>498</v>
      </c>
      <c r="E10" s="276" t="s">
        <v>889</v>
      </c>
      <c r="F10" s="277" t="s">
        <v>890</v>
      </c>
      <c r="G10" s="278" t="s">
        <v>891</v>
      </c>
      <c r="H10" s="261"/>
      <c r="I10" s="261"/>
      <c r="J10" s="279" t="s">
        <v>515</v>
      </c>
      <c r="K10" s="261"/>
      <c r="L10" s="261"/>
      <c r="M10" s="508"/>
      <c r="N10" s="261"/>
      <c r="O10" s="261"/>
      <c r="P10" s="261"/>
      <c r="Q10" s="261"/>
      <c r="R10" s="261"/>
      <c r="S10" s="261"/>
    </row>
    <row r="11" spans="1:79" ht="14.4" customHeight="1">
      <c r="A11" s="566" t="s">
        <v>526</v>
      </c>
      <c r="B11" s="567"/>
      <c r="C11" s="567"/>
      <c r="D11" s="567"/>
      <c r="E11" s="567"/>
      <c r="F11" s="567"/>
      <c r="G11" s="567"/>
      <c r="H11" s="567"/>
      <c r="I11" s="567"/>
      <c r="J11" s="567"/>
      <c r="K11" s="567"/>
      <c r="L11" s="567"/>
      <c r="M11" s="567"/>
      <c r="N11" s="567"/>
      <c r="O11" s="567"/>
      <c r="P11" s="567"/>
      <c r="Q11" s="567"/>
      <c r="R11" s="567"/>
      <c r="S11" s="567"/>
      <c r="T11" s="567"/>
      <c r="U11" s="567"/>
      <c r="V11" s="567"/>
      <c r="W11" s="567"/>
      <c r="X11" s="567"/>
      <c r="Y11" s="567"/>
      <c r="Z11" s="567"/>
      <c r="AA11" s="567"/>
      <c r="AB11" s="567"/>
      <c r="AC11" s="567"/>
      <c r="AD11" s="567"/>
      <c r="AE11" s="567"/>
      <c r="AF11" s="567"/>
      <c r="AG11" s="567"/>
      <c r="AH11" s="567"/>
      <c r="AI11" s="567"/>
      <c r="AJ11" s="567"/>
      <c r="AK11" s="567"/>
      <c r="AL11" s="567"/>
      <c r="AM11" s="567"/>
      <c r="AN11" s="567"/>
      <c r="AO11" s="567"/>
      <c r="AP11" s="567"/>
      <c r="AQ11" s="567"/>
      <c r="AR11" s="567"/>
      <c r="AS11" s="567"/>
      <c r="AT11" s="567"/>
      <c r="AU11" s="567"/>
      <c r="AV11" s="567"/>
      <c r="AW11" s="567"/>
      <c r="AX11" s="567"/>
      <c r="AY11" s="567"/>
      <c r="AZ11" s="567"/>
      <c r="BA11" s="567"/>
      <c r="BB11" s="567"/>
      <c r="BC11" s="567"/>
      <c r="BD11" s="567"/>
      <c r="BE11" s="567"/>
      <c r="BF11" s="567"/>
      <c r="BG11" s="567"/>
      <c r="BH11" s="567"/>
      <c r="BI11" s="567"/>
      <c r="BJ11" s="567"/>
      <c r="BK11" s="567"/>
      <c r="BL11" s="567"/>
      <c r="BM11" s="567"/>
      <c r="BN11" s="567"/>
      <c r="BO11" s="567"/>
      <c r="BP11" s="567"/>
      <c r="BQ11" s="567"/>
      <c r="BR11" s="567"/>
      <c r="BS11" s="567"/>
      <c r="BT11" s="567"/>
      <c r="BU11" s="567"/>
      <c r="BV11" s="567"/>
      <c r="BW11" s="567"/>
      <c r="BX11" s="567"/>
      <c r="BY11" s="567"/>
      <c r="BZ11" s="567"/>
    </row>
    <row r="12" spans="1:79" ht="37.200000000000003" customHeight="1">
      <c r="A12" s="566"/>
      <c r="B12" s="567"/>
      <c r="C12" s="567"/>
      <c r="D12" s="567"/>
      <c r="E12" s="567"/>
      <c r="F12" s="567"/>
      <c r="G12" s="567"/>
      <c r="H12" s="567"/>
      <c r="I12" s="567"/>
      <c r="J12" s="567"/>
      <c r="K12" s="567"/>
      <c r="L12" s="567"/>
      <c r="M12" s="567"/>
      <c r="N12" s="567"/>
      <c r="O12" s="567"/>
      <c r="P12" s="567"/>
      <c r="Q12" s="567"/>
      <c r="R12" s="567"/>
      <c r="S12" s="567"/>
      <c r="T12" s="567"/>
      <c r="U12" s="567"/>
      <c r="V12" s="567"/>
      <c r="W12" s="567"/>
      <c r="X12" s="567"/>
      <c r="Y12" s="567"/>
      <c r="Z12" s="567"/>
      <c r="AA12" s="567"/>
      <c r="AB12" s="567"/>
      <c r="AC12" s="567"/>
      <c r="AD12" s="567"/>
      <c r="AE12" s="567"/>
      <c r="AF12" s="567"/>
      <c r="AG12" s="567"/>
      <c r="AH12" s="567"/>
      <c r="AI12" s="567"/>
      <c r="AJ12" s="567"/>
      <c r="AK12" s="567"/>
      <c r="AL12" s="567"/>
      <c r="AM12" s="567"/>
      <c r="AN12" s="567"/>
      <c r="AO12" s="567"/>
      <c r="AP12" s="567"/>
      <c r="AQ12" s="567"/>
      <c r="AR12" s="567"/>
      <c r="AS12" s="567"/>
      <c r="AT12" s="567"/>
      <c r="AU12" s="567"/>
      <c r="AV12" s="567"/>
      <c r="AW12" s="567"/>
      <c r="AX12" s="567"/>
      <c r="AY12" s="567"/>
      <c r="AZ12" s="567"/>
      <c r="BA12" s="567"/>
      <c r="BB12" s="567"/>
      <c r="BC12" s="567"/>
      <c r="BD12" s="567"/>
      <c r="BE12" s="567"/>
      <c r="BF12" s="567"/>
      <c r="BG12" s="567"/>
      <c r="BH12" s="567"/>
      <c r="BI12" s="567"/>
      <c r="BJ12" s="567"/>
      <c r="BK12" s="567"/>
      <c r="BL12" s="567"/>
      <c r="BM12" s="567"/>
      <c r="BN12" s="567"/>
      <c r="BO12" s="567"/>
      <c r="BP12" s="567"/>
      <c r="BQ12" s="567"/>
      <c r="BR12" s="567"/>
      <c r="BS12" s="567"/>
      <c r="BT12" s="567"/>
      <c r="BU12" s="567"/>
      <c r="BV12" s="567"/>
      <c r="BW12" s="567"/>
      <c r="BX12" s="567"/>
      <c r="BY12" s="567"/>
      <c r="BZ12" s="567"/>
    </row>
    <row r="13" spans="1:79" s="19" customFormat="1" ht="20.399999999999999" customHeight="1">
      <c r="A13" s="439" t="s">
        <v>499</v>
      </c>
      <c r="B13" s="440" t="s">
        <v>2043</v>
      </c>
      <c r="C13" s="445" t="s">
        <v>766</v>
      </c>
      <c r="D13" s="445" t="s">
        <v>591</v>
      </c>
      <c r="E13" s="445" t="s">
        <v>574</v>
      </c>
      <c r="F13" s="445" t="s">
        <v>16</v>
      </c>
      <c r="G13" s="445" t="s">
        <v>25</v>
      </c>
      <c r="H13" s="445" t="s">
        <v>29</v>
      </c>
      <c r="I13" s="445" t="s">
        <v>453</v>
      </c>
      <c r="J13" s="445" t="s">
        <v>451</v>
      </c>
      <c r="K13" s="445" t="s">
        <v>452</v>
      </c>
      <c r="L13" s="445" t="s">
        <v>575</v>
      </c>
      <c r="M13" s="444" t="s">
        <v>585</v>
      </c>
      <c r="N13" s="443" t="s">
        <v>2044</v>
      </c>
      <c r="O13" s="442" t="s">
        <v>766</v>
      </c>
      <c r="P13" s="442" t="s">
        <v>767</v>
      </c>
      <c r="Q13" s="442" t="s">
        <v>574</v>
      </c>
      <c r="R13" s="442" t="s">
        <v>16</v>
      </c>
      <c r="S13" s="444" t="s">
        <v>29</v>
      </c>
      <c r="T13" s="444" t="s">
        <v>453</v>
      </c>
      <c r="U13" s="444" t="s">
        <v>451</v>
      </c>
      <c r="V13" s="444" t="s">
        <v>452</v>
      </c>
      <c r="W13" s="444" t="s">
        <v>575</v>
      </c>
      <c r="X13" s="444" t="s">
        <v>585</v>
      </c>
      <c r="Y13" s="446" t="s">
        <v>2045</v>
      </c>
      <c r="Z13" s="447" t="s">
        <v>766</v>
      </c>
      <c r="AA13" s="447" t="s">
        <v>767</v>
      </c>
      <c r="AB13" s="447" t="s">
        <v>574</v>
      </c>
      <c r="AC13" s="447" t="s">
        <v>16</v>
      </c>
      <c r="AD13" s="444" t="s">
        <v>29</v>
      </c>
      <c r="AE13" s="444" t="s">
        <v>453</v>
      </c>
      <c r="AF13" s="444" t="s">
        <v>451</v>
      </c>
      <c r="AG13" s="444" t="s">
        <v>452</v>
      </c>
      <c r="AH13" s="448" t="s">
        <v>984</v>
      </c>
      <c r="AI13" s="444" t="s">
        <v>1947</v>
      </c>
      <c r="AJ13" s="446" t="s">
        <v>2046</v>
      </c>
      <c r="AK13" s="447" t="s">
        <v>766</v>
      </c>
      <c r="AL13" s="447" t="s">
        <v>767</v>
      </c>
      <c r="AM13" s="447" t="s">
        <v>574</v>
      </c>
      <c r="AN13" s="447" t="s">
        <v>16</v>
      </c>
      <c r="AO13" s="444" t="s">
        <v>29</v>
      </c>
      <c r="AP13" s="444" t="s">
        <v>453</v>
      </c>
      <c r="AQ13" s="444" t="s">
        <v>451</v>
      </c>
      <c r="AR13" s="444" t="s">
        <v>452</v>
      </c>
      <c r="AS13" s="448" t="s">
        <v>984</v>
      </c>
      <c r="AT13" s="444" t="s">
        <v>585</v>
      </c>
      <c r="AU13" s="446" t="s">
        <v>2047</v>
      </c>
      <c r="AV13" s="447" t="s">
        <v>766</v>
      </c>
      <c r="AW13" s="447" t="s">
        <v>767</v>
      </c>
      <c r="AX13" s="447" t="s">
        <v>574</v>
      </c>
      <c r="AY13" s="447" t="s">
        <v>16</v>
      </c>
      <c r="AZ13" s="444" t="s">
        <v>29</v>
      </c>
      <c r="BA13" s="444" t="s">
        <v>453</v>
      </c>
      <c r="BB13" s="444" t="s">
        <v>451</v>
      </c>
      <c r="BC13" s="444" t="s">
        <v>452</v>
      </c>
      <c r="BD13" s="448" t="s">
        <v>984</v>
      </c>
      <c r="BE13" s="444" t="s">
        <v>585</v>
      </c>
      <c r="BF13" s="446" t="s">
        <v>2048</v>
      </c>
      <c r="BG13" s="447" t="s">
        <v>766</v>
      </c>
      <c r="BH13" s="447" t="s">
        <v>767</v>
      </c>
      <c r="BI13" s="447" t="s">
        <v>574</v>
      </c>
      <c r="BJ13" s="447" t="s">
        <v>16</v>
      </c>
      <c r="BK13" s="444" t="s">
        <v>29</v>
      </c>
      <c r="BL13" s="444" t="s">
        <v>453</v>
      </c>
      <c r="BM13" s="444" t="s">
        <v>451</v>
      </c>
      <c r="BN13" s="444" t="s">
        <v>452</v>
      </c>
      <c r="BO13" s="449" t="s">
        <v>984</v>
      </c>
      <c r="BP13" s="444" t="s">
        <v>585</v>
      </c>
      <c r="BQ13" s="441" t="s">
        <v>2049</v>
      </c>
      <c r="BR13" s="447" t="s">
        <v>766</v>
      </c>
      <c r="BS13" s="447" t="s">
        <v>767</v>
      </c>
      <c r="BT13" s="447" t="s">
        <v>574</v>
      </c>
      <c r="BU13" s="447" t="s">
        <v>16</v>
      </c>
      <c r="BV13" s="444" t="s">
        <v>29</v>
      </c>
      <c r="BW13" s="444" t="s">
        <v>453</v>
      </c>
      <c r="BX13" s="444" t="s">
        <v>451</v>
      </c>
      <c r="BY13" s="444" t="s">
        <v>452</v>
      </c>
      <c r="BZ13" s="449" t="s">
        <v>984</v>
      </c>
      <c r="CA13" s="444" t="s">
        <v>585</v>
      </c>
    </row>
    <row r="14" spans="1:79">
      <c r="A14" s="505" t="s">
        <v>2145</v>
      </c>
      <c r="B14" s="280" t="s">
        <v>6</v>
      </c>
      <c r="C14" s="281" t="s">
        <v>577</v>
      </c>
      <c r="D14" s="282" t="s">
        <v>592</v>
      </c>
      <c r="E14" s="283" t="s">
        <v>568</v>
      </c>
      <c r="F14" s="411" t="s">
        <v>43</v>
      </c>
      <c r="G14" s="285">
        <v>1000</v>
      </c>
      <c r="H14" s="285">
        <v>0</v>
      </c>
      <c r="I14" s="285">
        <v>2400</v>
      </c>
      <c r="J14" s="284" t="s">
        <v>581</v>
      </c>
      <c r="K14" s="284" t="s">
        <v>581</v>
      </c>
      <c r="L14" s="284" t="s">
        <v>576</v>
      </c>
      <c r="M14" s="509">
        <f>MAX(0,MIN(1,(G14-H14)/(Octave_1_KPIs[[#This Row],[Healthy_Min]]-Octave_1_KPIs[[#This Row],[Target_Min]])))</f>
        <v>0.41666666666666669</v>
      </c>
      <c r="N14" s="286" t="s">
        <v>768</v>
      </c>
      <c r="O14" s="281" t="s">
        <v>577</v>
      </c>
      <c r="P14" s="288" t="s">
        <v>770</v>
      </c>
      <c r="Q14" s="289" t="s">
        <v>769</v>
      </c>
      <c r="R14" s="290" t="s">
        <v>43</v>
      </c>
      <c r="S14" s="318">
        <v>1</v>
      </c>
      <c r="T14" s="287">
        <v>4.5</v>
      </c>
      <c r="U14" s="291" t="s">
        <v>581</v>
      </c>
      <c r="V14" s="291" t="s">
        <v>581</v>
      </c>
      <c r="W14" s="287" t="s">
        <v>771</v>
      </c>
      <c r="X14" s="292">
        <v>0</v>
      </c>
      <c r="Y14" s="293" t="s">
        <v>1038</v>
      </c>
      <c r="Z14" s="281" t="s">
        <v>577</v>
      </c>
      <c r="AA14" s="294" t="s">
        <v>1039</v>
      </c>
      <c r="AB14" s="295" t="s">
        <v>985</v>
      </c>
      <c r="AC14" s="296" t="s">
        <v>47</v>
      </c>
      <c r="AD14" s="297" t="s">
        <v>1068</v>
      </c>
      <c r="AE14" s="297" t="s">
        <v>1069</v>
      </c>
      <c r="AF14" s="297" t="s">
        <v>1071</v>
      </c>
      <c r="AG14" s="297" t="s">
        <v>1070</v>
      </c>
      <c r="AH14" s="298" t="s">
        <v>986</v>
      </c>
      <c r="AI14" s="292">
        <v>0</v>
      </c>
      <c r="AJ14" s="299" t="s">
        <v>1182</v>
      </c>
      <c r="AK14" s="281" t="s">
        <v>577</v>
      </c>
      <c r="AL14" s="301" t="s">
        <v>1184</v>
      </c>
      <c r="AM14" s="302" t="s">
        <v>1183</v>
      </c>
      <c r="AN14" s="303" t="s">
        <v>43</v>
      </c>
      <c r="AO14" s="304">
        <v>0.01</v>
      </c>
      <c r="AP14" s="305">
        <v>0.15</v>
      </c>
      <c r="AQ14" s="291" t="s">
        <v>581</v>
      </c>
      <c r="AR14" s="291" t="s">
        <v>581</v>
      </c>
      <c r="AS14" s="306" t="s">
        <v>1185</v>
      </c>
      <c r="AT14" s="292">
        <v>0</v>
      </c>
      <c r="AU14" s="299" t="s">
        <v>1372</v>
      </c>
      <c r="AV14" s="281" t="s">
        <v>577</v>
      </c>
      <c r="AW14" s="301" t="s">
        <v>1374</v>
      </c>
      <c r="AX14" s="302" t="s">
        <v>1373</v>
      </c>
      <c r="AY14" s="303" t="s">
        <v>43</v>
      </c>
      <c r="AZ14" s="307">
        <v>1</v>
      </c>
      <c r="BA14" s="300">
        <v>5</v>
      </c>
      <c r="BB14" s="291" t="s">
        <v>581</v>
      </c>
      <c r="BC14" s="291" t="s">
        <v>581</v>
      </c>
      <c r="BD14" s="306" t="s">
        <v>1375</v>
      </c>
      <c r="BE14" s="308">
        <v>0</v>
      </c>
      <c r="BF14" s="309" t="s">
        <v>1536</v>
      </c>
      <c r="BG14" s="281" t="s">
        <v>577</v>
      </c>
      <c r="BH14" s="301" t="s">
        <v>1538</v>
      </c>
      <c r="BI14" s="310" t="s">
        <v>1537</v>
      </c>
      <c r="BJ14" s="311" t="s">
        <v>43</v>
      </c>
      <c r="BK14" s="307">
        <v>1</v>
      </c>
      <c r="BL14" s="312">
        <v>1</v>
      </c>
      <c r="BM14" s="291" t="s">
        <v>581</v>
      </c>
      <c r="BN14" s="291" t="s">
        <v>581</v>
      </c>
      <c r="BO14" s="313" t="s">
        <v>1539</v>
      </c>
      <c r="BP14" s="308">
        <v>0</v>
      </c>
      <c r="BQ14" s="299" t="s">
        <v>1755</v>
      </c>
      <c r="BR14" s="281" t="s">
        <v>577</v>
      </c>
      <c r="BS14" s="301" t="s">
        <v>1757</v>
      </c>
      <c r="BT14" s="310" t="s">
        <v>1756</v>
      </c>
      <c r="BU14" s="311" t="s">
        <v>43</v>
      </c>
      <c r="BV14" s="307">
        <v>0</v>
      </c>
      <c r="BW14" s="312">
        <v>1</v>
      </c>
      <c r="BX14" s="291" t="s">
        <v>581</v>
      </c>
      <c r="BY14" s="291" t="s">
        <v>581</v>
      </c>
      <c r="BZ14" s="313" t="s">
        <v>1758</v>
      </c>
      <c r="CA14" s="308">
        <v>0</v>
      </c>
    </row>
    <row r="15" spans="1:79">
      <c r="A15" s="506" t="s">
        <v>2145</v>
      </c>
      <c r="B15" s="314" t="s">
        <v>6</v>
      </c>
      <c r="C15" s="281" t="s">
        <v>578</v>
      </c>
      <c r="D15" s="315" t="s">
        <v>593</v>
      </c>
      <c r="E15" s="289" t="s">
        <v>571</v>
      </c>
      <c r="F15" s="290" t="s">
        <v>582</v>
      </c>
      <c r="G15" s="450">
        <v>40</v>
      </c>
      <c r="H15" s="316">
        <v>1000</v>
      </c>
      <c r="I15" s="316">
        <v>200</v>
      </c>
      <c r="J15" s="316">
        <v>100</v>
      </c>
      <c r="K15" s="287" t="s">
        <v>581</v>
      </c>
      <c r="L15" s="287" t="s">
        <v>583</v>
      </c>
      <c r="M15" s="509">
        <f>MAX(0, MIN(1, 1 - ((Octave_1_KPIs[[#This Row],[Value]] - Octave_1_KPIs[[#This Row],[Healthy_Min]]) / (Octave_1_KPIs[[#This Row],[Target_Min]] - Octave_1_KPIs[[#This Row],[Healthy_Min]]))))</f>
        <v>1</v>
      </c>
      <c r="N15" s="286" t="s">
        <v>768</v>
      </c>
      <c r="O15" s="281" t="s">
        <v>578</v>
      </c>
      <c r="P15" s="288" t="s">
        <v>773</v>
      </c>
      <c r="Q15" s="289" t="s">
        <v>772</v>
      </c>
      <c r="R15" s="290" t="s">
        <v>582</v>
      </c>
      <c r="S15" s="415">
        <v>0.5</v>
      </c>
      <c r="T15" s="317">
        <v>0.1</v>
      </c>
      <c r="U15" s="287" t="s">
        <v>581</v>
      </c>
      <c r="V15" s="287" t="s">
        <v>581</v>
      </c>
      <c r="W15" s="287" t="s">
        <v>774</v>
      </c>
      <c r="X15" s="308">
        <v>0</v>
      </c>
      <c r="Y15" s="293" t="s">
        <v>1038</v>
      </c>
      <c r="Z15" s="281" t="s">
        <v>578</v>
      </c>
      <c r="AA15" s="294" t="s">
        <v>1072</v>
      </c>
      <c r="AB15" s="295" t="s">
        <v>1040</v>
      </c>
      <c r="AC15" s="296" t="s">
        <v>43</v>
      </c>
      <c r="AD15" s="318">
        <v>1</v>
      </c>
      <c r="AE15" s="318">
        <v>4.5</v>
      </c>
      <c r="AF15" s="287" t="s">
        <v>581</v>
      </c>
      <c r="AG15" s="287" t="s">
        <v>581</v>
      </c>
      <c r="AH15" s="298" t="s">
        <v>1041</v>
      </c>
      <c r="AI15" s="308">
        <v>0</v>
      </c>
      <c r="AJ15" s="299" t="s">
        <v>1182</v>
      </c>
      <c r="AK15" s="281" t="s">
        <v>578</v>
      </c>
      <c r="AL15" s="301" t="s">
        <v>1187</v>
      </c>
      <c r="AM15" s="302" t="s">
        <v>1186</v>
      </c>
      <c r="AN15" s="303" t="s">
        <v>43</v>
      </c>
      <c r="AO15" s="307">
        <v>1</v>
      </c>
      <c r="AP15" s="300">
        <v>4.5</v>
      </c>
      <c r="AQ15" s="287" t="s">
        <v>581</v>
      </c>
      <c r="AR15" s="287" t="s">
        <v>581</v>
      </c>
      <c r="AS15" s="306" t="s">
        <v>1188</v>
      </c>
      <c r="AT15" s="308">
        <v>0</v>
      </c>
      <c r="AU15" s="299" t="s">
        <v>1372</v>
      </c>
      <c r="AV15" s="281" t="s">
        <v>578</v>
      </c>
      <c r="AW15" s="301" t="s">
        <v>1377</v>
      </c>
      <c r="AX15" s="302" t="s">
        <v>1376</v>
      </c>
      <c r="AY15" s="303" t="s">
        <v>43</v>
      </c>
      <c r="AZ15" s="307">
        <v>1</v>
      </c>
      <c r="BA15" s="300">
        <v>4.5</v>
      </c>
      <c r="BB15" s="287" t="s">
        <v>581</v>
      </c>
      <c r="BC15" s="287" t="s">
        <v>581</v>
      </c>
      <c r="BD15" s="306" t="s">
        <v>1378</v>
      </c>
      <c r="BE15" s="308">
        <v>0</v>
      </c>
      <c r="BF15" s="309" t="s">
        <v>1536</v>
      </c>
      <c r="BG15" s="281" t="s">
        <v>578</v>
      </c>
      <c r="BH15" s="301" t="s">
        <v>1541</v>
      </c>
      <c r="BI15" s="310" t="s">
        <v>1540</v>
      </c>
      <c r="BJ15" s="311" t="s">
        <v>43</v>
      </c>
      <c r="BK15" s="304">
        <v>0.01</v>
      </c>
      <c r="BL15" s="305">
        <v>0.1</v>
      </c>
      <c r="BM15" s="287" t="s">
        <v>581</v>
      </c>
      <c r="BN15" s="287" t="s">
        <v>581</v>
      </c>
      <c r="BO15" s="313" t="s">
        <v>1542</v>
      </c>
      <c r="BP15" s="308">
        <v>0</v>
      </c>
      <c r="BQ15" s="299" t="s">
        <v>1755</v>
      </c>
      <c r="BR15" s="281" t="s">
        <v>578</v>
      </c>
      <c r="BS15" s="301" t="s">
        <v>1760</v>
      </c>
      <c r="BT15" s="310" t="s">
        <v>1759</v>
      </c>
      <c r="BU15" s="311" t="s">
        <v>43</v>
      </c>
      <c r="BV15" s="307">
        <v>1</v>
      </c>
      <c r="BW15" s="300">
        <v>4.8</v>
      </c>
      <c r="BX15" s="287" t="s">
        <v>581</v>
      </c>
      <c r="BY15" s="287" t="s">
        <v>581</v>
      </c>
      <c r="BZ15" s="313" t="s">
        <v>1761</v>
      </c>
      <c r="CA15" s="308">
        <v>0</v>
      </c>
    </row>
    <row r="16" spans="1:79">
      <c r="A16" s="506" t="s">
        <v>2145</v>
      </c>
      <c r="B16" s="314" t="s">
        <v>6</v>
      </c>
      <c r="C16" s="281" t="s">
        <v>775</v>
      </c>
      <c r="D16" s="315" t="s">
        <v>594</v>
      </c>
      <c r="E16" s="289" t="s">
        <v>569</v>
      </c>
      <c r="F16" s="290" t="s">
        <v>47</v>
      </c>
      <c r="G16" s="287">
        <v>0.4</v>
      </c>
      <c r="H16" s="287">
        <v>0</v>
      </c>
      <c r="I16" s="287">
        <v>1</v>
      </c>
      <c r="J16" s="287">
        <v>4</v>
      </c>
      <c r="K16" s="287">
        <v>10</v>
      </c>
      <c r="L16" s="287" t="s">
        <v>584</v>
      </c>
      <c r="M16" s="510">
        <f>IF(AND(Octave_1_KPIs[[#This Row],[Value]] &gt;= Octave_1_KPIs[[#This Row],[Healthy_Min]], Octave_1_KPIs[[#This Row],[Value]] &lt;= Octave_1_KPIs[[#This Row],[Healthy_Max]]), 1, IF(Octave_1_KPIs[[#This Row],[Value]] &lt; Octave_1_KPIs[[#This Row],[Healthy_Min]], MAX(0, (Octave_1_KPIs[[#This Row],[Value]] - Octave_1_KPIs[[#This Row],[Target_Min]]) / (Octave_1_KPIs[[#This Row],[Healthy_Min]] - Octave_1_KPIs[[#This Row],[Target_Min]])), MAX(0, 1 - (Octave_1_KPIs[[#This Row],[Value]] - Octave_1_KPIs[[#This Row],[Healthy_Max]]) / (Octave_1_KPIs[[#This Row],[Absolute_Max]] - Octave_1_KPIs[[#This Row],[Healthy_Max]]))))</f>
        <v>0.4</v>
      </c>
      <c r="N16" s="286" t="s">
        <v>768</v>
      </c>
      <c r="O16" s="281" t="s">
        <v>775</v>
      </c>
      <c r="P16" s="288" t="s">
        <v>776</v>
      </c>
      <c r="Q16" s="289" t="s">
        <v>360</v>
      </c>
      <c r="R16" s="290" t="s">
        <v>43</v>
      </c>
      <c r="S16" s="318">
        <v>1</v>
      </c>
      <c r="T16" s="287">
        <v>3</v>
      </c>
      <c r="U16" s="287" t="s">
        <v>581</v>
      </c>
      <c r="V16" s="287" t="s">
        <v>581</v>
      </c>
      <c r="W16" s="287" t="s">
        <v>777</v>
      </c>
      <c r="X16" s="308">
        <v>0</v>
      </c>
      <c r="Y16" s="293" t="s">
        <v>1038</v>
      </c>
      <c r="Z16" s="281" t="s">
        <v>775</v>
      </c>
      <c r="AA16" s="294" t="s">
        <v>987</v>
      </c>
      <c r="AB16" s="295" t="s">
        <v>1073</v>
      </c>
      <c r="AC16" s="296" t="s">
        <v>43</v>
      </c>
      <c r="AD16" s="319">
        <v>0</v>
      </c>
      <c r="AE16" s="319">
        <v>0.15</v>
      </c>
      <c r="AF16" s="287" t="s">
        <v>581</v>
      </c>
      <c r="AG16" s="287" t="s">
        <v>581</v>
      </c>
      <c r="AH16" s="298" t="s">
        <v>1074</v>
      </c>
      <c r="AI16" s="308">
        <v>0</v>
      </c>
      <c r="AJ16" s="299" t="s">
        <v>1182</v>
      </c>
      <c r="AK16" s="281" t="s">
        <v>775</v>
      </c>
      <c r="AL16" s="301" t="s">
        <v>1190</v>
      </c>
      <c r="AM16" s="302" t="s">
        <v>1189</v>
      </c>
      <c r="AN16" s="303" t="s">
        <v>43</v>
      </c>
      <c r="AO16" s="307">
        <v>0.5</v>
      </c>
      <c r="AP16" s="300">
        <v>3</v>
      </c>
      <c r="AQ16" s="287" t="s">
        <v>581</v>
      </c>
      <c r="AR16" s="287" t="s">
        <v>581</v>
      </c>
      <c r="AS16" s="306" t="s">
        <v>1191</v>
      </c>
      <c r="AT16" s="308">
        <v>0</v>
      </c>
      <c r="AU16" s="299" t="s">
        <v>1372</v>
      </c>
      <c r="AV16" s="281" t="s">
        <v>775</v>
      </c>
      <c r="AW16" s="301" t="s">
        <v>1380</v>
      </c>
      <c r="AX16" s="302" t="s">
        <v>1379</v>
      </c>
      <c r="AY16" s="303" t="s">
        <v>43</v>
      </c>
      <c r="AZ16" s="307">
        <v>1</v>
      </c>
      <c r="BA16" s="300">
        <v>4.8</v>
      </c>
      <c r="BB16" s="287" t="s">
        <v>581</v>
      </c>
      <c r="BC16" s="287" t="s">
        <v>581</v>
      </c>
      <c r="BD16" s="306" t="s">
        <v>1381</v>
      </c>
      <c r="BE16" s="308">
        <v>0</v>
      </c>
      <c r="BF16" s="309" t="s">
        <v>1536</v>
      </c>
      <c r="BG16" s="281" t="s">
        <v>775</v>
      </c>
      <c r="BH16" s="301" t="s">
        <v>1544</v>
      </c>
      <c r="BI16" s="310" t="s">
        <v>1543</v>
      </c>
      <c r="BJ16" s="311" t="s">
        <v>43</v>
      </c>
      <c r="BK16" s="307">
        <v>1</v>
      </c>
      <c r="BL16" s="300">
        <v>5</v>
      </c>
      <c r="BM16" s="287" t="s">
        <v>581</v>
      </c>
      <c r="BN16" s="287" t="s">
        <v>581</v>
      </c>
      <c r="BO16" s="313" t="s">
        <v>1631</v>
      </c>
      <c r="BP16" s="308">
        <v>0</v>
      </c>
      <c r="BQ16" s="299" t="s">
        <v>1755</v>
      </c>
      <c r="BR16" s="281" t="s">
        <v>775</v>
      </c>
      <c r="BS16" s="301" t="s">
        <v>1763</v>
      </c>
      <c r="BT16" s="310" t="s">
        <v>1762</v>
      </c>
      <c r="BU16" s="311" t="s">
        <v>47</v>
      </c>
      <c r="BV16" s="307">
        <v>0</v>
      </c>
      <c r="BW16" s="300">
        <v>1</v>
      </c>
      <c r="BX16" s="307">
        <v>1</v>
      </c>
      <c r="BY16" s="307">
        <v>2</v>
      </c>
      <c r="BZ16" s="313" t="s">
        <v>1764</v>
      </c>
      <c r="CA16" s="308">
        <v>0</v>
      </c>
    </row>
    <row r="17" spans="1:79">
      <c r="A17" s="506" t="s">
        <v>2145</v>
      </c>
      <c r="B17" s="314" t="s">
        <v>6</v>
      </c>
      <c r="C17" s="281" t="s">
        <v>579</v>
      </c>
      <c r="D17" s="315" t="s">
        <v>595</v>
      </c>
      <c r="E17" s="289" t="s">
        <v>572</v>
      </c>
      <c r="F17" s="290" t="s">
        <v>43</v>
      </c>
      <c r="G17" s="287">
        <v>1.5</v>
      </c>
      <c r="H17" s="287">
        <v>1</v>
      </c>
      <c r="I17" s="287">
        <v>4.5</v>
      </c>
      <c r="J17" s="287" t="s">
        <v>581</v>
      </c>
      <c r="K17" s="287" t="s">
        <v>581</v>
      </c>
      <c r="L17" s="287" t="s">
        <v>586</v>
      </c>
      <c r="M17" s="510">
        <f>MAX(0,MIN(1,(G17-H17)/(Octave_1_KPIs[[#This Row],[Healthy_Min]]-Octave_1_KPIs[[#This Row],[Target_Min]])))</f>
        <v>0.14285714285714285</v>
      </c>
      <c r="N17" s="286" t="s">
        <v>768</v>
      </c>
      <c r="O17" s="281" t="s">
        <v>579</v>
      </c>
      <c r="P17" s="288" t="s">
        <v>779</v>
      </c>
      <c r="Q17" s="289" t="s">
        <v>778</v>
      </c>
      <c r="R17" s="290" t="s">
        <v>43</v>
      </c>
      <c r="S17" s="318">
        <v>1</v>
      </c>
      <c r="T17" s="287">
        <v>4.5</v>
      </c>
      <c r="U17" s="287" t="s">
        <v>581</v>
      </c>
      <c r="V17" s="287" t="s">
        <v>581</v>
      </c>
      <c r="W17" s="287" t="s">
        <v>780</v>
      </c>
      <c r="X17" s="308">
        <v>0</v>
      </c>
      <c r="Y17" s="293" t="s">
        <v>1038</v>
      </c>
      <c r="Z17" s="281" t="s">
        <v>579</v>
      </c>
      <c r="AA17" s="294" t="s">
        <v>989</v>
      </c>
      <c r="AB17" s="295" t="s">
        <v>988</v>
      </c>
      <c r="AC17" s="296" t="s">
        <v>43</v>
      </c>
      <c r="AD17" s="318">
        <v>1</v>
      </c>
      <c r="AE17" s="318">
        <v>4.5</v>
      </c>
      <c r="AF17" s="287" t="s">
        <v>581</v>
      </c>
      <c r="AG17" s="287" t="s">
        <v>581</v>
      </c>
      <c r="AH17" s="298" t="s">
        <v>990</v>
      </c>
      <c r="AI17" s="308">
        <v>0</v>
      </c>
      <c r="AJ17" s="299" t="s">
        <v>1182</v>
      </c>
      <c r="AK17" s="281" t="s">
        <v>579</v>
      </c>
      <c r="AL17" s="301" t="s">
        <v>1193</v>
      </c>
      <c r="AM17" s="302" t="s">
        <v>1192</v>
      </c>
      <c r="AN17" s="303" t="s">
        <v>43</v>
      </c>
      <c r="AO17" s="307">
        <v>1</v>
      </c>
      <c r="AP17" s="300">
        <v>4.8</v>
      </c>
      <c r="AQ17" s="287" t="s">
        <v>581</v>
      </c>
      <c r="AR17" s="287" t="s">
        <v>581</v>
      </c>
      <c r="AS17" s="306" t="s">
        <v>1194</v>
      </c>
      <c r="AT17" s="308">
        <v>0</v>
      </c>
      <c r="AU17" s="299" t="s">
        <v>1372</v>
      </c>
      <c r="AV17" s="281" t="s">
        <v>579</v>
      </c>
      <c r="AW17" s="301" t="s">
        <v>1383</v>
      </c>
      <c r="AX17" s="302" t="s">
        <v>1382</v>
      </c>
      <c r="AY17" s="303" t="s">
        <v>43</v>
      </c>
      <c r="AZ17" s="307">
        <v>1</v>
      </c>
      <c r="BA17" s="300">
        <v>4.8</v>
      </c>
      <c r="BB17" s="287" t="s">
        <v>581</v>
      </c>
      <c r="BC17" s="287" t="s">
        <v>581</v>
      </c>
      <c r="BD17" s="306" t="s">
        <v>1384</v>
      </c>
      <c r="BE17" s="308">
        <v>0</v>
      </c>
      <c r="BF17" s="309" t="s">
        <v>1536</v>
      </c>
      <c r="BG17" s="281" t="s">
        <v>579</v>
      </c>
      <c r="BH17" s="301" t="s">
        <v>1546</v>
      </c>
      <c r="BI17" s="310" t="s">
        <v>1545</v>
      </c>
      <c r="BJ17" s="311" t="s">
        <v>43</v>
      </c>
      <c r="BK17" s="307">
        <v>1</v>
      </c>
      <c r="BL17" s="300">
        <v>4.8</v>
      </c>
      <c r="BM17" s="287" t="s">
        <v>581</v>
      </c>
      <c r="BN17" s="287" t="s">
        <v>581</v>
      </c>
      <c r="BO17" s="313" t="s">
        <v>1547</v>
      </c>
      <c r="BP17" s="308">
        <v>0</v>
      </c>
      <c r="BQ17" s="299" t="s">
        <v>1755</v>
      </c>
      <c r="BR17" s="281" t="s">
        <v>579</v>
      </c>
      <c r="BS17" s="301" t="s">
        <v>1766</v>
      </c>
      <c r="BT17" s="310" t="s">
        <v>1765</v>
      </c>
      <c r="BU17" s="311" t="s">
        <v>43</v>
      </c>
      <c r="BV17" s="307">
        <v>1</v>
      </c>
      <c r="BW17" s="300">
        <v>5</v>
      </c>
      <c r="BX17" s="287" t="s">
        <v>581</v>
      </c>
      <c r="BY17" s="287" t="s">
        <v>581</v>
      </c>
      <c r="BZ17" s="313" t="s">
        <v>1767</v>
      </c>
      <c r="CA17" s="308">
        <v>0</v>
      </c>
    </row>
    <row r="18" spans="1:79">
      <c r="A18" s="506" t="s">
        <v>2145</v>
      </c>
      <c r="B18" s="314" t="s">
        <v>6</v>
      </c>
      <c r="C18" s="281" t="s">
        <v>580</v>
      </c>
      <c r="D18" s="315" t="s">
        <v>596</v>
      </c>
      <c r="E18" s="289" t="s">
        <v>573</v>
      </c>
      <c r="F18" s="290" t="s">
        <v>43</v>
      </c>
      <c r="G18" s="287">
        <v>2.5</v>
      </c>
      <c r="H18" s="287">
        <v>1</v>
      </c>
      <c r="I18" s="287">
        <v>4.5</v>
      </c>
      <c r="J18" s="287" t="s">
        <v>581</v>
      </c>
      <c r="K18" s="287" t="s">
        <v>581</v>
      </c>
      <c r="L18" s="287" t="s">
        <v>587</v>
      </c>
      <c r="M18" s="510">
        <f>MAX(0,MIN(1,(G18-H18)/(Octave_1_KPIs[[#This Row],[Healthy_Min]]-Octave_1_KPIs[[#This Row],[Target_Min]])))</f>
        <v>0.42857142857142855</v>
      </c>
      <c r="N18" s="286" t="s">
        <v>768</v>
      </c>
      <c r="O18" s="281" t="s">
        <v>580</v>
      </c>
      <c r="P18" s="288" t="s">
        <v>782</v>
      </c>
      <c r="Q18" s="289" t="s">
        <v>781</v>
      </c>
      <c r="R18" s="290" t="s">
        <v>43</v>
      </c>
      <c r="S18" s="415">
        <v>0</v>
      </c>
      <c r="T18" s="317">
        <v>0.1</v>
      </c>
      <c r="U18" s="287" t="s">
        <v>581</v>
      </c>
      <c r="V18" s="287" t="s">
        <v>581</v>
      </c>
      <c r="W18" s="287" t="s">
        <v>783</v>
      </c>
      <c r="X18" s="308">
        <v>0</v>
      </c>
      <c r="Y18" s="293" t="s">
        <v>1038</v>
      </c>
      <c r="Z18" s="281" t="s">
        <v>580</v>
      </c>
      <c r="AA18" s="294" t="s">
        <v>992</v>
      </c>
      <c r="AB18" s="295" t="s">
        <v>991</v>
      </c>
      <c r="AC18" s="296" t="s">
        <v>43</v>
      </c>
      <c r="AD18" s="318">
        <v>1</v>
      </c>
      <c r="AE18" s="318">
        <v>4.5</v>
      </c>
      <c r="AF18" s="287" t="s">
        <v>581</v>
      </c>
      <c r="AG18" s="287" t="s">
        <v>581</v>
      </c>
      <c r="AH18" s="298" t="s">
        <v>993</v>
      </c>
      <c r="AI18" s="308">
        <v>0</v>
      </c>
      <c r="AJ18" s="299" t="s">
        <v>1182</v>
      </c>
      <c r="AK18" s="281" t="s">
        <v>580</v>
      </c>
      <c r="AL18" s="301" t="s">
        <v>1196</v>
      </c>
      <c r="AM18" s="302" t="s">
        <v>1195</v>
      </c>
      <c r="AN18" s="303" t="s">
        <v>43</v>
      </c>
      <c r="AO18" s="307">
        <v>1</v>
      </c>
      <c r="AP18" s="300">
        <v>4.5</v>
      </c>
      <c r="AQ18" s="287" t="s">
        <v>581</v>
      </c>
      <c r="AR18" s="287" t="s">
        <v>581</v>
      </c>
      <c r="AS18" s="306" t="s">
        <v>1197</v>
      </c>
      <c r="AT18" s="308">
        <v>0</v>
      </c>
      <c r="AU18" s="299" t="s">
        <v>1372</v>
      </c>
      <c r="AV18" s="281" t="s">
        <v>580</v>
      </c>
      <c r="AW18" s="301" t="s">
        <v>1386</v>
      </c>
      <c r="AX18" s="302" t="s">
        <v>1385</v>
      </c>
      <c r="AY18" s="303" t="s">
        <v>43</v>
      </c>
      <c r="AZ18" s="307">
        <v>1</v>
      </c>
      <c r="BA18" s="300">
        <v>5</v>
      </c>
      <c r="BB18" s="287" t="s">
        <v>581</v>
      </c>
      <c r="BC18" s="287" t="s">
        <v>581</v>
      </c>
      <c r="BD18" s="306" t="s">
        <v>1387</v>
      </c>
      <c r="BE18" s="308">
        <v>0</v>
      </c>
      <c r="BF18" s="309" t="s">
        <v>1536</v>
      </c>
      <c r="BG18" s="281" t="s">
        <v>580</v>
      </c>
      <c r="BH18" s="301" t="s">
        <v>1549</v>
      </c>
      <c r="BI18" s="310" t="s">
        <v>1548</v>
      </c>
      <c r="BJ18" s="311" t="s">
        <v>43</v>
      </c>
      <c r="BK18" s="307">
        <v>1</v>
      </c>
      <c r="BL18" s="300">
        <v>5</v>
      </c>
      <c r="BM18" s="287" t="s">
        <v>581</v>
      </c>
      <c r="BN18" s="287" t="s">
        <v>581</v>
      </c>
      <c r="BO18" s="313" t="s">
        <v>1550</v>
      </c>
      <c r="BP18" s="308">
        <v>0</v>
      </c>
      <c r="BQ18" s="299" t="s">
        <v>1755</v>
      </c>
      <c r="BR18" s="281" t="s">
        <v>580</v>
      </c>
      <c r="BS18" s="301" t="s">
        <v>1769</v>
      </c>
      <c r="BT18" s="310" t="s">
        <v>1768</v>
      </c>
      <c r="BU18" s="311" t="s">
        <v>43</v>
      </c>
      <c r="BV18" s="307">
        <v>1</v>
      </c>
      <c r="BW18" s="300">
        <v>5</v>
      </c>
      <c r="BX18" s="287" t="s">
        <v>581</v>
      </c>
      <c r="BY18" s="287" t="s">
        <v>581</v>
      </c>
      <c r="BZ18" s="313" t="s">
        <v>1849</v>
      </c>
      <c r="CA18" s="308">
        <v>0</v>
      </c>
    </row>
    <row r="19" spans="1:79">
      <c r="A19" s="506" t="s">
        <v>2146</v>
      </c>
      <c r="B19" s="320" t="s">
        <v>590</v>
      </c>
      <c r="C19" s="281" t="s">
        <v>577</v>
      </c>
      <c r="D19" s="321" t="s">
        <v>597</v>
      </c>
      <c r="E19" s="322" t="s">
        <v>500</v>
      </c>
      <c r="F19" s="412" t="s">
        <v>43</v>
      </c>
      <c r="G19" s="323">
        <v>0.5</v>
      </c>
      <c r="H19" s="323">
        <v>0</v>
      </c>
      <c r="I19" s="323">
        <v>1</v>
      </c>
      <c r="J19" s="323" t="s">
        <v>581</v>
      </c>
      <c r="K19" s="323" t="s">
        <v>581</v>
      </c>
      <c r="L19" s="324" t="s">
        <v>602</v>
      </c>
      <c r="M19" s="510">
        <f>MAX(0,MIN(1,(G19-H19)/(Octave_1_KPIs[[#This Row],[Healthy_Min]]-Octave_1_KPIs[[#This Row],[Target_Min]])))</f>
        <v>0.5</v>
      </c>
      <c r="N19" s="325" t="s">
        <v>784</v>
      </c>
      <c r="O19" s="281" t="s">
        <v>577</v>
      </c>
      <c r="P19" s="327" t="s">
        <v>786</v>
      </c>
      <c r="Q19" s="328" t="s">
        <v>785</v>
      </c>
      <c r="R19" s="329" t="s">
        <v>582</v>
      </c>
      <c r="S19" s="335" t="s">
        <v>892</v>
      </c>
      <c r="T19" s="330" t="s">
        <v>895</v>
      </c>
      <c r="U19" s="326" t="s">
        <v>581</v>
      </c>
      <c r="V19" s="326" t="s">
        <v>581</v>
      </c>
      <c r="W19" s="326" t="s">
        <v>787</v>
      </c>
      <c r="X19" s="308">
        <v>0</v>
      </c>
      <c r="Y19" s="331" t="s">
        <v>994</v>
      </c>
      <c r="Z19" s="281" t="s">
        <v>577</v>
      </c>
      <c r="AA19" s="332" t="s">
        <v>995</v>
      </c>
      <c r="AB19" s="333" t="s">
        <v>1042</v>
      </c>
      <c r="AC19" s="334" t="s">
        <v>47</v>
      </c>
      <c r="AD19" s="335">
        <v>0</v>
      </c>
      <c r="AE19" s="335">
        <v>1</v>
      </c>
      <c r="AF19" s="335">
        <v>3</v>
      </c>
      <c r="AG19" s="335">
        <v>5</v>
      </c>
      <c r="AH19" s="336" t="s">
        <v>1075</v>
      </c>
      <c r="AI19" s="308">
        <v>0</v>
      </c>
      <c r="AJ19" s="331" t="s">
        <v>1198</v>
      </c>
      <c r="AK19" s="281" t="s">
        <v>577</v>
      </c>
      <c r="AL19" s="332" t="s">
        <v>1200</v>
      </c>
      <c r="AM19" s="333" t="s">
        <v>1199</v>
      </c>
      <c r="AN19" s="334" t="s">
        <v>47</v>
      </c>
      <c r="AO19" s="335">
        <v>0</v>
      </c>
      <c r="AP19" s="337">
        <v>1</v>
      </c>
      <c r="AQ19" s="337">
        <v>3</v>
      </c>
      <c r="AR19" s="335">
        <v>5</v>
      </c>
      <c r="AS19" s="338" t="s">
        <v>1201</v>
      </c>
      <c r="AT19" s="308">
        <v>0</v>
      </c>
      <c r="AU19" s="331" t="s">
        <v>1388</v>
      </c>
      <c r="AV19" s="281" t="s">
        <v>577</v>
      </c>
      <c r="AW19" s="332" t="s">
        <v>1390</v>
      </c>
      <c r="AX19" s="339" t="s">
        <v>1389</v>
      </c>
      <c r="AY19" s="340" t="s">
        <v>47</v>
      </c>
      <c r="AZ19" s="335">
        <v>0</v>
      </c>
      <c r="BA19" s="337">
        <v>1</v>
      </c>
      <c r="BB19" s="335">
        <v>3</v>
      </c>
      <c r="BC19" s="335">
        <v>5</v>
      </c>
      <c r="BD19" s="341" t="s">
        <v>1391</v>
      </c>
      <c r="BE19" s="308">
        <v>0</v>
      </c>
      <c r="BF19" s="342" t="s">
        <v>1551</v>
      </c>
      <c r="BG19" s="281" t="s">
        <v>577</v>
      </c>
      <c r="BH19" s="343" t="s">
        <v>1553</v>
      </c>
      <c r="BI19" s="344" t="s">
        <v>1552</v>
      </c>
      <c r="BJ19" s="345" t="s">
        <v>43</v>
      </c>
      <c r="BK19" s="335">
        <v>0</v>
      </c>
      <c r="BL19" s="346">
        <v>1</v>
      </c>
      <c r="BM19" s="326" t="s">
        <v>581</v>
      </c>
      <c r="BN19" s="326" t="s">
        <v>581</v>
      </c>
      <c r="BO19" s="347" t="s">
        <v>1554</v>
      </c>
      <c r="BP19" s="308">
        <v>0</v>
      </c>
      <c r="BQ19" s="331" t="s">
        <v>1770</v>
      </c>
      <c r="BR19" s="281" t="s">
        <v>577</v>
      </c>
      <c r="BS19" s="332" t="s">
        <v>1772</v>
      </c>
      <c r="BT19" s="348" t="s">
        <v>1771</v>
      </c>
      <c r="BU19" s="349" t="s">
        <v>43</v>
      </c>
      <c r="BV19" s="335">
        <v>1</v>
      </c>
      <c r="BW19" s="337">
        <v>4.8</v>
      </c>
      <c r="BX19" s="326" t="s">
        <v>581</v>
      </c>
      <c r="BY19" s="326" t="s">
        <v>581</v>
      </c>
      <c r="BZ19" s="350" t="s">
        <v>1773</v>
      </c>
      <c r="CA19" s="308">
        <v>0</v>
      </c>
    </row>
    <row r="20" spans="1:79">
      <c r="A20" s="506" t="s">
        <v>2146</v>
      </c>
      <c r="B20" s="320" t="s">
        <v>590</v>
      </c>
      <c r="C20" s="281" t="s">
        <v>578</v>
      </c>
      <c r="D20" s="321" t="s">
        <v>598</v>
      </c>
      <c r="E20" s="322" t="s">
        <v>607</v>
      </c>
      <c r="F20" s="412" t="s">
        <v>43</v>
      </c>
      <c r="G20" s="351">
        <v>0.1</v>
      </c>
      <c r="H20" s="351">
        <v>0</v>
      </c>
      <c r="I20" s="351">
        <v>0.1</v>
      </c>
      <c r="J20" s="323" t="s">
        <v>581</v>
      </c>
      <c r="K20" s="323" t="s">
        <v>581</v>
      </c>
      <c r="L20" s="324" t="s">
        <v>603</v>
      </c>
      <c r="M20" s="510">
        <f>MAX(0,MIN(1,(G20-H20)/(Octave_1_KPIs[[#This Row],[Healthy_Min]]-Octave_1_KPIs[[#This Row],[Target_Min]])))</f>
        <v>1</v>
      </c>
      <c r="N20" s="325" t="s">
        <v>784</v>
      </c>
      <c r="O20" s="281" t="s">
        <v>578</v>
      </c>
      <c r="P20" s="327" t="s">
        <v>789</v>
      </c>
      <c r="Q20" s="328" t="s">
        <v>788</v>
      </c>
      <c r="R20" s="329" t="s">
        <v>582</v>
      </c>
      <c r="S20" s="416" t="s">
        <v>893</v>
      </c>
      <c r="T20" s="352" t="s">
        <v>896</v>
      </c>
      <c r="U20" s="326" t="s">
        <v>581</v>
      </c>
      <c r="V20" s="326" t="s">
        <v>581</v>
      </c>
      <c r="W20" s="326" t="s">
        <v>790</v>
      </c>
      <c r="X20" s="308">
        <v>0</v>
      </c>
      <c r="Y20" s="331" t="s">
        <v>994</v>
      </c>
      <c r="Z20" s="281" t="s">
        <v>578</v>
      </c>
      <c r="AA20" s="332" t="s">
        <v>996</v>
      </c>
      <c r="AB20" s="333" t="s">
        <v>1043</v>
      </c>
      <c r="AC20" s="334" t="s">
        <v>43</v>
      </c>
      <c r="AD20" s="335">
        <v>1</v>
      </c>
      <c r="AE20" s="335">
        <v>4.5</v>
      </c>
      <c r="AF20" s="326" t="s">
        <v>581</v>
      </c>
      <c r="AG20" s="326" t="s">
        <v>581</v>
      </c>
      <c r="AH20" s="336" t="s">
        <v>1044</v>
      </c>
      <c r="AI20" s="308">
        <v>0</v>
      </c>
      <c r="AJ20" s="331" t="s">
        <v>1198</v>
      </c>
      <c r="AK20" s="281" t="s">
        <v>578</v>
      </c>
      <c r="AL20" s="332" t="s">
        <v>1203</v>
      </c>
      <c r="AM20" s="333" t="s">
        <v>1202</v>
      </c>
      <c r="AN20" s="334" t="s">
        <v>582</v>
      </c>
      <c r="AO20" s="335" t="s">
        <v>1275</v>
      </c>
      <c r="AP20" s="337" t="s">
        <v>1079</v>
      </c>
      <c r="AQ20" s="326" t="s">
        <v>581</v>
      </c>
      <c r="AR20" s="326" t="s">
        <v>581</v>
      </c>
      <c r="AS20" s="338" t="s">
        <v>1204</v>
      </c>
      <c r="AT20" s="308">
        <v>0</v>
      </c>
      <c r="AU20" s="331" t="s">
        <v>1388</v>
      </c>
      <c r="AV20" s="281" t="s">
        <v>578</v>
      </c>
      <c r="AW20" s="332" t="s">
        <v>1393</v>
      </c>
      <c r="AX20" s="339" t="s">
        <v>1392</v>
      </c>
      <c r="AY20" s="340" t="s">
        <v>43</v>
      </c>
      <c r="AZ20" s="335" t="s">
        <v>895</v>
      </c>
      <c r="BA20" s="337" t="s">
        <v>892</v>
      </c>
      <c r="BB20" s="326" t="s">
        <v>581</v>
      </c>
      <c r="BC20" s="326" t="s">
        <v>581</v>
      </c>
      <c r="BD20" s="341" t="s">
        <v>1394</v>
      </c>
      <c r="BE20" s="308">
        <v>0</v>
      </c>
      <c r="BF20" s="342" t="s">
        <v>1551</v>
      </c>
      <c r="BG20" s="281" t="s">
        <v>578</v>
      </c>
      <c r="BH20" s="343" t="s">
        <v>1556</v>
      </c>
      <c r="BI20" s="344" t="s">
        <v>1555</v>
      </c>
      <c r="BJ20" s="345" t="s">
        <v>43</v>
      </c>
      <c r="BK20" s="335">
        <v>1</v>
      </c>
      <c r="BL20" s="337">
        <v>4.5</v>
      </c>
      <c r="BM20" s="326" t="s">
        <v>581</v>
      </c>
      <c r="BN20" s="326" t="s">
        <v>581</v>
      </c>
      <c r="BO20" s="347" t="s">
        <v>1557</v>
      </c>
      <c r="BP20" s="308">
        <v>0</v>
      </c>
      <c r="BQ20" s="331" t="s">
        <v>1770</v>
      </c>
      <c r="BR20" s="281" t="s">
        <v>578</v>
      </c>
      <c r="BS20" s="332" t="s">
        <v>1775</v>
      </c>
      <c r="BT20" s="348" t="s">
        <v>1774</v>
      </c>
      <c r="BU20" s="349" t="s">
        <v>43</v>
      </c>
      <c r="BV20" s="335">
        <v>1</v>
      </c>
      <c r="BW20" s="337">
        <v>4.5</v>
      </c>
      <c r="BX20" s="326" t="s">
        <v>581</v>
      </c>
      <c r="BY20" s="326" t="s">
        <v>581</v>
      </c>
      <c r="BZ20" s="350" t="s">
        <v>1776</v>
      </c>
      <c r="CA20" s="308">
        <v>0</v>
      </c>
    </row>
    <row r="21" spans="1:79">
      <c r="A21" s="506" t="s">
        <v>2146</v>
      </c>
      <c r="B21" s="320" t="s">
        <v>590</v>
      </c>
      <c r="C21" s="281" t="s">
        <v>775</v>
      </c>
      <c r="D21" s="321" t="s">
        <v>599</v>
      </c>
      <c r="E21" s="322" t="s">
        <v>608</v>
      </c>
      <c r="F21" s="412" t="s">
        <v>47</v>
      </c>
      <c r="G21" s="323">
        <v>21</v>
      </c>
      <c r="H21" s="323">
        <v>0</v>
      </c>
      <c r="I21" s="323">
        <v>10</v>
      </c>
      <c r="J21" s="323">
        <v>15</v>
      </c>
      <c r="K21" s="323">
        <v>25</v>
      </c>
      <c r="L21" s="324" t="s">
        <v>604</v>
      </c>
      <c r="M21" s="510">
        <f>IF(AND(Octave_1_KPIs[[#This Row],[Value]] &gt;= Octave_1_KPIs[[#This Row],[Healthy_Min]], Octave_1_KPIs[[#This Row],[Value]] &lt;= Octave_1_KPIs[[#This Row],[Healthy_Max]]), 1, IF(Octave_1_KPIs[[#This Row],[Value]] &lt; Octave_1_KPIs[[#This Row],[Healthy_Min]], MAX(0, (Octave_1_KPIs[[#This Row],[Value]] - Octave_1_KPIs[[#This Row],[Target_Min]]) / (Octave_1_KPIs[[#This Row],[Healthy_Min]] - Octave_1_KPIs[[#This Row],[Target_Min]])), MAX(0, 1 - (Octave_1_KPIs[[#This Row],[Value]] - Octave_1_KPIs[[#This Row],[Healthy_Max]]) / (Octave_1_KPIs[[#This Row],[Absolute_Max]] - Octave_1_KPIs[[#This Row],[Healthy_Max]]))))</f>
        <v>0.4</v>
      </c>
      <c r="N21" s="325" t="s">
        <v>784</v>
      </c>
      <c r="O21" s="281" t="s">
        <v>775</v>
      </c>
      <c r="P21" s="327" t="s">
        <v>792</v>
      </c>
      <c r="Q21" s="328" t="s">
        <v>791</v>
      </c>
      <c r="R21" s="329" t="s">
        <v>47</v>
      </c>
      <c r="S21" s="335">
        <v>0</v>
      </c>
      <c r="T21" s="330">
        <v>1</v>
      </c>
      <c r="U21" s="335">
        <v>3</v>
      </c>
      <c r="V21" s="335">
        <v>5</v>
      </c>
      <c r="W21" s="326" t="s">
        <v>793</v>
      </c>
      <c r="X21" s="308">
        <v>0</v>
      </c>
      <c r="Y21" s="331" t="s">
        <v>994</v>
      </c>
      <c r="Z21" s="281" t="s">
        <v>775</v>
      </c>
      <c r="AA21" s="332" t="s">
        <v>998</v>
      </c>
      <c r="AB21" s="333" t="s">
        <v>997</v>
      </c>
      <c r="AC21" s="334" t="s">
        <v>47</v>
      </c>
      <c r="AD21" s="335">
        <v>1</v>
      </c>
      <c r="AE21" s="335">
        <v>2</v>
      </c>
      <c r="AF21" s="335">
        <v>4</v>
      </c>
      <c r="AG21" s="326">
        <v>8</v>
      </c>
      <c r="AH21" s="336" t="s">
        <v>999</v>
      </c>
      <c r="AI21" s="308">
        <v>0</v>
      </c>
      <c r="AJ21" s="331" t="s">
        <v>1198</v>
      </c>
      <c r="AK21" s="281" t="s">
        <v>775</v>
      </c>
      <c r="AL21" s="332" t="s">
        <v>1205</v>
      </c>
      <c r="AM21" s="333" t="s">
        <v>501</v>
      </c>
      <c r="AN21" s="334" t="s">
        <v>47</v>
      </c>
      <c r="AO21" s="335">
        <v>0</v>
      </c>
      <c r="AP21" s="337">
        <v>1</v>
      </c>
      <c r="AQ21" s="337">
        <v>2</v>
      </c>
      <c r="AR21" s="335">
        <v>4</v>
      </c>
      <c r="AS21" s="338" t="s">
        <v>1206</v>
      </c>
      <c r="AT21" s="308">
        <v>0</v>
      </c>
      <c r="AU21" s="331" t="s">
        <v>1388</v>
      </c>
      <c r="AV21" s="281" t="s">
        <v>775</v>
      </c>
      <c r="AW21" s="332" t="s">
        <v>1396</v>
      </c>
      <c r="AX21" s="339" t="s">
        <v>1395</v>
      </c>
      <c r="AY21" s="340" t="s">
        <v>47</v>
      </c>
      <c r="AZ21" s="335">
        <v>0</v>
      </c>
      <c r="BA21" s="337">
        <v>1</v>
      </c>
      <c r="BB21" s="335">
        <v>4</v>
      </c>
      <c r="BC21" s="335">
        <v>8</v>
      </c>
      <c r="BD21" s="341" t="s">
        <v>1397</v>
      </c>
      <c r="BE21" s="308">
        <v>0</v>
      </c>
      <c r="BF21" s="342" t="s">
        <v>1551</v>
      </c>
      <c r="BG21" s="281" t="s">
        <v>775</v>
      </c>
      <c r="BH21" s="343" t="s">
        <v>1559</v>
      </c>
      <c r="BI21" s="344" t="s">
        <v>1558</v>
      </c>
      <c r="BJ21" s="345" t="s">
        <v>47</v>
      </c>
      <c r="BK21" s="335">
        <v>0</v>
      </c>
      <c r="BL21" s="337">
        <v>1</v>
      </c>
      <c r="BM21" s="335">
        <v>2</v>
      </c>
      <c r="BN21" s="335">
        <v>3</v>
      </c>
      <c r="BO21" s="347" t="s">
        <v>1560</v>
      </c>
      <c r="BP21" s="308">
        <v>0</v>
      </c>
      <c r="BQ21" s="331" t="s">
        <v>1770</v>
      </c>
      <c r="BR21" s="281" t="s">
        <v>775</v>
      </c>
      <c r="BS21" s="332" t="s">
        <v>1778</v>
      </c>
      <c r="BT21" s="348" t="s">
        <v>1777</v>
      </c>
      <c r="BU21" s="349" t="s">
        <v>43</v>
      </c>
      <c r="BV21" s="353">
        <v>0</v>
      </c>
      <c r="BW21" s="354">
        <v>1</v>
      </c>
      <c r="BX21" s="326" t="s">
        <v>581</v>
      </c>
      <c r="BY21" s="326" t="s">
        <v>581</v>
      </c>
      <c r="BZ21" s="350" t="s">
        <v>1779</v>
      </c>
      <c r="CA21" s="308">
        <v>0</v>
      </c>
    </row>
    <row r="22" spans="1:79">
      <c r="A22" s="506" t="s">
        <v>2146</v>
      </c>
      <c r="B22" s="320" t="s">
        <v>590</v>
      </c>
      <c r="C22" s="281" t="s">
        <v>579</v>
      </c>
      <c r="D22" s="321" t="s">
        <v>600</v>
      </c>
      <c r="E22" s="322" t="s">
        <v>609</v>
      </c>
      <c r="F22" s="412" t="s">
        <v>43</v>
      </c>
      <c r="G22" s="323">
        <v>2</v>
      </c>
      <c r="H22" s="323">
        <v>1</v>
      </c>
      <c r="I22" s="323">
        <v>4.5</v>
      </c>
      <c r="J22" s="323" t="s">
        <v>581</v>
      </c>
      <c r="K22" s="323" t="s">
        <v>581</v>
      </c>
      <c r="L22" s="324" t="s">
        <v>605</v>
      </c>
      <c r="M22" s="510">
        <f>MAX(0,MIN(1,(G22-H22)/(Octave_1_KPIs[[#This Row],[Healthy_Min]]-Octave_1_KPIs[[#This Row],[Target_Min]])))</f>
        <v>0.2857142857142857</v>
      </c>
      <c r="N22" s="325" t="s">
        <v>784</v>
      </c>
      <c r="O22" s="281" t="s">
        <v>579</v>
      </c>
      <c r="P22" s="327" t="s">
        <v>795</v>
      </c>
      <c r="Q22" s="328" t="s">
        <v>794</v>
      </c>
      <c r="R22" s="329" t="s">
        <v>43</v>
      </c>
      <c r="S22" s="335">
        <v>1</v>
      </c>
      <c r="T22" s="330">
        <v>4.5</v>
      </c>
      <c r="U22" s="326" t="s">
        <v>581</v>
      </c>
      <c r="V22" s="326" t="s">
        <v>581</v>
      </c>
      <c r="W22" s="326" t="s">
        <v>796</v>
      </c>
      <c r="X22" s="308">
        <v>0</v>
      </c>
      <c r="Y22" s="331" t="s">
        <v>994</v>
      </c>
      <c r="Z22" s="281" t="s">
        <v>579</v>
      </c>
      <c r="AA22" s="332" t="s">
        <v>1001</v>
      </c>
      <c r="AB22" s="333" t="s">
        <v>1000</v>
      </c>
      <c r="AC22" s="334" t="s">
        <v>43</v>
      </c>
      <c r="AD22" s="335">
        <v>1</v>
      </c>
      <c r="AE22" s="335">
        <v>5</v>
      </c>
      <c r="AF22" s="326" t="s">
        <v>581</v>
      </c>
      <c r="AG22" s="326" t="s">
        <v>581</v>
      </c>
      <c r="AH22" s="336" t="s">
        <v>1002</v>
      </c>
      <c r="AI22" s="308">
        <v>0</v>
      </c>
      <c r="AJ22" s="331" t="s">
        <v>1198</v>
      </c>
      <c r="AK22" s="281" t="s">
        <v>579</v>
      </c>
      <c r="AL22" s="332" t="s">
        <v>1208</v>
      </c>
      <c r="AM22" s="333" t="s">
        <v>1207</v>
      </c>
      <c r="AN22" s="334" t="s">
        <v>43</v>
      </c>
      <c r="AO22" s="335">
        <v>1</v>
      </c>
      <c r="AP22" s="337">
        <v>4.5</v>
      </c>
      <c r="AQ22" s="326" t="s">
        <v>581</v>
      </c>
      <c r="AR22" s="326" t="s">
        <v>581</v>
      </c>
      <c r="AS22" s="338" t="s">
        <v>1209</v>
      </c>
      <c r="AT22" s="308">
        <v>0</v>
      </c>
      <c r="AU22" s="331" t="s">
        <v>1388</v>
      </c>
      <c r="AV22" s="281" t="s">
        <v>579</v>
      </c>
      <c r="AW22" s="332" t="s">
        <v>1399</v>
      </c>
      <c r="AX22" s="339" t="s">
        <v>1398</v>
      </c>
      <c r="AY22" s="340" t="s">
        <v>43</v>
      </c>
      <c r="AZ22" s="335">
        <v>1</v>
      </c>
      <c r="BA22" s="337">
        <v>4.8</v>
      </c>
      <c r="BB22" s="326" t="s">
        <v>581</v>
      </c>
      <c r="BC22" s="326" t="s">
        <v>581</v>
      </c>
      <c r="BD22" s="341" t="s">
        <v>1400</v>
      </c>
      <c r="BE22" s="308">
        <v>0</v>
      </c>
      <c r="BF22" s="342" t="s">
        <v>1551</v>
      </c>
      <c r="BG22" s="281" t="s">
        <v>579</v>
      </c>
      <c r="BH22" s="343" t="s">
        <v>1562</v>
      </c>
      <c r="BI22" s="344" t="s">
        <v>1561</v>
      </c>
      <c r="BJ22" s="345" t="s">
        <v>43</v>
      </c>
      <c r="BK22" s="335">
        <v>1</v>
      </c>
      <c r="BL22" s="337">
        <v>4.8</v>
      </c>
      <c r="BM22" s="326" t="s">
        <v>581</v>
      </c>
      <c r="BN22" s="326" t="s">
        <v>581</v>
      </c>
      <c r="BO22" s="347" t="s">
        <v>1563</v>
      </c>
      <c r="BP22" s="308">
        <v>0</v>
      </c>
      <c r="BQ22" s="331" t="s">
        <v>1770</v>
      </c>
      <c r="BR22" s="281" t="s">
        <v>579</v>
      </c>
      <c r="BS22" s="332" t="s">
        <v>1781</v>
      </c>
      <c r="BT22" s="348" t="s">
        <v>1780</v>
      </c>
      <c r="BU22" s="349" t="s">
        <v>43</v>
      </c>
      <c r="BV22" s="335">
        <v>1</v>
      </c>
      <c r="BW22" s="337">
        <v>5</v>
      </c>
      <c r="BX22" s="326" t="s">
        <v>581</v>
      </c>
      <c r="BY22" s="326" t="s">
        <v>581</v>
      </c>
      <c r="BZ22" s="350" t="s">
        <v>1782</v>
      </c>
      <c r="CA22" s="308">
        <v>0</v>
      </c>
    </row>
    <row r="23" spans="1:79">
      <c r="A23" s="506" t="s">
        <v>2146</v>
      </c>
      <c r="B23" s="320" t="s">
        <v>590</v>
      </c>
      <c r="C23" s="281" t="s">
        <v>580</v>
      </c>
      <c r="D23" s="321" t="s">
        <v>601</v>
      </c>
      <c r="E23" s="322" t="s">
        <v>358</v>
      </c>
      <c r="F23" s="412" t="s">
        <v>43</v>
      </c>
      <c r="G23" s="323">
        <v>4.5</v>
      </c>
      <c r="H23" s="323">
        <v>1</v>
      </c>
      <c r="I23" s="323">
        <v>4.5</v>
      </c>
      <c r="J23" s="323" t="s">
        <v>581</v>
      </c>
      <c r="K23" s="323" t="s">
        <v>581</v>
      </c>
      <c r="L23" s="324" t="s">
        <v>606</v>
      </c>
      <c r="M23" s="510">
        <f>MAX(0,MIN(1,(G23-H23)/(Octave_1_KPIs[[#This Row],[Healthy_Min]]-Octave_1_KPIs[[#This Row],[Target_Min]])))</f>
        <v>1</v>
      </c>
      <c r="N23" s="325" t="s">
        <v>784</v>
      </c>
      <c r="O23" s="281" t="s">
        <v>580</v>
      </c>
      <c r="P23" s="327" t="s">
        <v>798</v>
      </c>
      <c r="Q23" s="328" t="s">
        <v>797</v>
      </c>
      <c r="R23" s="329" t="s">
        <v>43</v>
      </c>
      <c r="S23" s="335">
        <v>1</v>
      </c>
      <c r="T23" s="330">
        <v>4.5</v>
      </c>
      <c r="U23" s="326" t="s">
        <v>581</v>
      </c>
      <c r="V23" s="326" t="s">
        <v>581</v>
      </c>
      <c r="W23" s="326" t="s">
        <v>799</v>
      </c>
      <c r="X23" s="308">
        <v>0</v>
      </c>
      <c r="Y23" s="331" t="s">
        <v>994</v>
      </c>
      <c r="Z23" s="281" t="s">
        <v>580</v>
      </c>
      <c r="AA23" s="332" t="s">
        <v>1004</v>
      </c>
      <c r="AB23" s="333" t="s">
        <v>1003</v>
      </c>
      <c r="AC23" s="334" t="s">
        <v>43</v>
      </c>
      <c r="AD23" s="335">
        <v>1</v>
      </c>
      <c r="AE23" s="335">
        <v>5</v>
      </c>
      <c r="AF23" s="335">
        <v>4</v>
      </c>
      <c r="AG23" s="335">
        <v>5</v>
      </c>
      <c r="AH23" s="336" t="s">
        <v>1005</v>
      </c>
      <c r="AI23" s="308">
        <v>0</v>
      </c>
      <c r="AJ23" s="331" t="s">
        <v>1198</v>
      </c>
      <c r="AK23" s="281" t="s">
        <v>580</v>
      </c>
      <c r="AL23" s="332" t="s">
        <v>1211</v>
      </c>
      <c r="AM23" s="333" t="s">
        <v>1210</v>
      </c>
      <c r="AN23" s="334" t="s">
        <v>43</v>
      </c>
      <c r="AO23" s="335">
        <v>1</v>
      </c>
      <c r="AP23" s="337">
        <v>4.8</v>
      </c>
      <c r="AQ23" s="326" t="s">
        <v>581</v>
      </c>
      <c r="AR23" s="326" t="s">
        <v>581</v>
      </c>
      <c r="AS23" s="338" t="s">
        <v>1212</v>
      </c>
      <c r="AT23" s="308">
        <v>0</v>
      </c>
      <c r="AU23" s="331" t="s">
        <v>1388</v>
      </c>
      <c r="AV23" s="281" t="s">
        <v>580</v>
      </c>
      <c r="AW23" s="332" t="s">
        <v>1402</v>
      </c>
      <c r="AX23" s="339" t="s">
        <v>1401</v>
      </c>
      <c r="AY23" s="340" t="s">
        <v>43</v>
      </c>
      <c r="AZ23" s="335">
        <v>1</v>
      </c>
      <c r="BA23" s="337">
        <v>4</v>
      </c>
      <c r="BB23" s="326" t="s">
        <v>581</v>
      </c>
      <c r="BC23" s="326" t="s">
        <v>581</v>
      </c>
      <c r="BD23" s="341" t="s">
        <v>1403</v>
      </c>
      <c r="BE23" s="308">
        <v>0</v>
      </c>
      <c r="BF23" s="342" t="s">
        <v>1551</v>
      </c>
      <c r="BG23" s="281" t="s">
        <v>580</v>
      </c>
      <c r="BH23" s="343" t="s">
        <v>1565</v>
      </c>
      <c r="BI23" s="344" t="s">
        <v>1564</v>
      </c>
      <c r="BJ23" s="345" t="s">
        <v>43</v>
      </c>
      <c r="BK23" s="335">
        <v>1</v>
      </c>
      <c r="BL23" s="337">
        <v>5</v>
      </c>
      <c r="BM23" s="326" t="s">
        <v>581</v>
      </c>
      <c r="BN23" s="326" t="s">
        <v>581</v>
      </c>
      <c r="BO23" s="347" t="s">
        <v>1566</v>
      </c>
      <c r="BP23" s="308">
        <v>0</v>
      </c>
      <c r="BQ23" s="331" t="s">
        <v>1770</v>
      </c>
      <c r="BR23" s="281" t="s">
        <v>580</v>
      </c>
      <c r="BS23" s="332" t="s">
        <v>1784</v>
      </c>
      <c r="BT23" s="348" t="s">
        <v>1783</v>
      </c>
      <c r="BU23" s="349" t="s">
        <v>43</v>
      </c>
      <c r="BV23" s="335">
        <v>1</v>
      </c>
      <c r="BW23" s="337">
        <v>5</v>
      </c>
      <c r="BX23" s="326" t="s">
        <v>581</v>
      </c>
      <c r="BY23" s="326" t="s">
        <v>581</v>
      </c>
      <c r="BZ23" s="350" t="s">
        <v>1785</v>
      </c>
      <c r="CA23" s="308">
        <v>0</v>
      </c>
    </row>
    <row r="24" spans="1:79">
      <c r="A24" s="506" t="s">
        <v>2147</v>
      </c>
      <c r="B24" s="355" t="s">
        <v>618</v>
      </c>
      <c r="C24" s="281" t="s">
        <v>577</v>
      </c>
      <c r="D24" s="315" t="s">
        <v>613</v>
      </c>
      <c r="E24" s="289" t="s">
        <v>610</v>
      </c>
      <c r="F24" s="290" t="s">
        <v>47</v>
      </c>
      <c r="G24" s="287">
        <v>8</v>
      </c>
      <c r="H24" s="287">
        <v>4</v>
      </c>
      <c r="I24" s="287">
        <v>7</v>
      </c>
      <c r="J24" s="287">
        <v>8.5</v>
      </c>
      <c r="K24" s="287">
        <v>10</v>
      </c>
      <c r="L24" s="287" t="s">
        <v>625</v>
      </c>
      <c r="M24" s="510">
        <f>IF(AND(Octave_1_KPIs[[#This Row],[Value]] &gt;= Octave_1_KPIs[[#This Row],[Healthy_Min]], Octave_1_KPIs[[#This Row],[Value]] &lt;= Octave_1_KPIs[[#This Row],[Healthy_Max]]), 1, IF(Octave_1_KPIs[[#This Row],[Value]] &lt; Octave_1_KPIs[[#This Row],[Healthy_Min]], MAX(0, (Octave_1_KPIs[[#This Row],[Value]] - Octave_1_KPIs[[#This Row],[Target_Min]]) / (Octave_1_KPIs[[#This Row],[Healthy_Min]] - Octave_1_KPIs[[#This Row],[Target_Min]])), MAX(0, 1 - (Octave_1_KPIs[[#This Row],[Value]] - Octave_1_KPIs[[#This Row],[Healthy_Max]]) / (Octave_1_KPIs[[#This Row],[Absolute_Max]] - Octave_1_KPIs[[#This Row],[Healthy_Max]]))))</f>
        <v>1</v>
      </c>
      <c r="N24" s="286" t="s">
        <v>800</v>
      </c>
      <c r="O24" s="281" t="s">
        <v>577</v>
      </c>
      <c r="P24" s="288" t="s">
        <v>802</v>
      </c>
      <c r="Q24" s="289" t="s">
        <v>801</v>
      </c>
      <c r="R24" s="290" t="s">
        <v>43</v>
      </c>
      <c r="S24" s="318">
        <v>1</v>
      </c>
      <c r="T24" s="287">
        <v>4.5</v>
      </c>
      <c r="U24" s="287" t="s">
        <v>581</v>
      </c>
      <c r="V24" s="287" t="s">
        <v>581</v>
      </c>
      <c r="W24" s="287" t="s">
        <v>803</v>
      </c>
      <c r="X24" s="308">
        <v>0</v>
      </c>
      <c r="Y24" s="293" t="s">
        <v>1076</v>
      </c>
      <c r="Z24" s="281" t="s">
        <v>577</v>
      </c>
      <c r="AA24" s="294" t="s">
        <v>1045</v>
      </c>
      <c r="AB24" s="295" t="s">
        <v>1006</v>
      </c>
      <c r="AC24" s="296" t="s">
        <v>43</v>
      </c>
      <c r="AD24" s="318">
        <v>1</v>
      </c>
      <c r="AE24" s="318">
        <v>4.5</v>
      </c>
      <c r="AF24" s="287" t="s">
        <v>581</v>
      </c>
      <c r="AG24" s="287" t="s">
        <v>581</v>
      </c>
      <c r="AH24" s="298" t="s">
        <v>1007</v>
      </c>
      <c r="AI24" s="308">
        <v>0</v>
      </c>
      <c r="AJ24" s="299" t="s">
        <v>1213</v>
      </c>
      <c r="AK24" s="281" t="s">
        <v>577</v>
      </c>
      <c r="AL24" s="301" t="s">
        <v>1215</v>
      </c>
      <c r="AM24" s="302" t="s">
        <v>1214</v>
      </c>
      <c r="AN24" s="303" t="s">
        <v>43</v>
      </c>
      <c r="AO24" s="307">
        <v>1</v>
      </c>
      <c r="AP24" s="300">
        <v>4.8</v>
      </c>
      <c r="AQ24" s="287" t="s">
        <v>581</v>
      </c>
      <c r="AR24" s="287" t="s">
        <v>581</v>
      </c>
      <c r="AS24" s="306" t="s">
        <v>1216</v>
      </c>
      <c r="AT24" s="308">
        <v>0</v>
      </c>
      <c r="AU24" s="299" t="s">
        <v>1404</v>
      </c>
      <c r="AV24" s="281" t="s">
        <v>577</v>
      </c>
      <c r="AW24" s="301" t="s">
        <v>1406</v>
      </c>
      <c r="AX24" s="302" t="s">
        <v>1405</v>
      </c>
      <c r="AY24" s="303" t="s">
        <v>43</v>
      </c>
      <c r="AZ24" s="304">
        <v>0.75</v>
      </c>
      <c r="BA24" s="305">
        <v>0.95</v>
      </c>
      <c r="BB24" s="287" t="s">
        <v>581</v>
      </c>
      <c r="BC24" s="287" t="s">
        <v>581</v>
      </c>
      <c r="BD24" s="306" t="s">
        <v>1407</v>
      </c>
      <c r="BE24" s="308">
        <v>0</v>
      </c>
      <c r="BF24" s="309" t="s">
        <v>1567</v>
      </c>
      <c r="BG24" s="281" t="s">
        <v>577</v>
      </c>
      <c r="BH24" s="301" t="s">
        <v>1569</v>
      </c>
      <c r="BI24" s="310" t="s">
        <v>1568</v>
      </c>
      <c r="BJ24" s="311" t="s">
        <v>43</v>
      </c>
      <c r="BK24" s="307">
        <v>1</v>
      </c>
      <c r="BL24" s="300">
        <v>4.5</v>
      </c>
      <c r="BM24" s="287" t="s">
        <v>581</v>
      </c>
      <c r="BN24" s="287" t="s">
        <v>581</v>
      </c>
      <c r="BO24" s="313" t="s">
        <v>1570</v>
      </c>
      <c r="BP24" s="308">
        <v>0</v>
      </c>
      <c r="BQ24" s="299" t="s">
        <v>1786</v>
      </c>
      <c r="BR24" s="281" t="s">
        <v>577</v>
      </c>
      <c r="BS24" s="301" t="s">
        <v>1788</v>
      </c>
      <c r="BT24" s="310" t="s">
        <v>1787</v>
      </c>
      <c r="BU24" s="311" t="s">
        <v>43</v>
      </c>
      <c r="BV24" s="307">
        <v>0</v>
      </c>
      <c r="BW24" s="312">
        <v>1</v>
      </c>
      <c r="BX24" s="287" t="s">
        <v>581</v>
      </c>
      <c r="BY24" s="287" t="s">
        <v>581</v>
      </c>
      <c r="BZ24" s="313" t="s">
        <v>1789</v>
      </c>
      <c r="CA24" s="308">
        <v>0</v>
      </c>
    </row>
    <row r="25" spans="1:79">
      <c r="A25" s="506" t="s">
        <v>2147</v>
      </c>
      <c r="B25" s="355" t="s">
        <v>618</v>
      </c>
      <c r="C25" s="281" t="s">
        <v>578</v>
      </c>
      <c r="D25" s="315" t="s">
        <v>614</v>
      </c>
      <c r="E25" s="289" t="s">
        <v>611</v>
      </c>
      <c r="F25" s="290" t="s">
        <v>47</v>
      </c>
      <c r="G25" s="287">
        <v>7.5</v>
      </c>
      <c r="H25" s="287">
        <v>5</v>
      </c>
      <c r="I25" s="287">
        <v>7</v>
      </c>
      <c r="J25" s="287">
        <v>8.5</v>
      </c>
      <c r="K25" s="287">
        <v>10</v>
      </c>
      <c r="L25" s="287" t="s">
        <v>624</v>
      </c>
      <c r="M25" s="510">
        <f>IF(AND(Octave_1_KPIs[[#This Row],[Value]] &gt;= Octave_1_KPIs[[#This Row],[Healthy_Min]], Octave_1_KPIs[[#This Row],[Value]] &lt;= Octave_1_KPIs[[#This Row],[Healthy_Max]]), 1, IF(Octave_1_KPIs[[#This Row],[Value]] &lt; Octave_1_KPIs[[#This Row],[Healthy_Min]], MAX(0, (Octave_1_KPIs[[#This Row],[Value]] - Octave_1_KPIs[[#This Row],[Target_Min]]) / (Octave_1_KPIs[[#This Row],[Healthy_Min]] - Octave_1_KPIs[[#This Row],[Target_Min]])), MAX(0, 1 - (Octave_1_KPIs[[#This Row],[Value]] - Octave_1_KPIs[[#This Row],[Healthy_Max]]) / (Octave_1_KPIs[[#This Row],[Absolute_Max]] - Octave_1_KPIs[[#This Row],[Healthy_Max]]))))</f>
        <v>1</v>
      </c>
      <c r="N25" s="286" t="s">
        <v>800</v>
      </c>
      <c r="O25" s="281" t="s">
        <v>578</v>
      </c>
      <c r="P25" s="288" t="s">
        <v>805</v>
      </c>
      <c r="Q25" s="289" t="s">
        <v>804</v>
      </c>
      <c r="R25" s="290" t="s">
        <v>43</v>
      </c>
      <c r="S25" s="318">
        <v>1</v>
      </c>
      <c r="T25" s="287">
        <v>4.5</v>
      </c>
      <c r="U25" s="287" t="s">
        <v>581</v>
      </c>
      <c r="V25" s="287" t="s">
        <v>581</v>
      </c>
      <c r="W25" s="287" t="s">
        <v>806</v>
      </c>
      <c r="X25" s="308">
        <v>0</v>
      </c>
      <c r="Y25" s="293" t="s">
        <v>1076</v>
      </c>
      <c r="Z25" s="281" t="s">
        <v>578</v>
      </c>
      <c r="AA25" s="294" t="s">
        <v>1046</v>
      </c>
      <c r="AB25" s="295" t="s">
        <v>1008</v>
      </c>
      <c r="AC25" s="296" t="s">
        <v>43</v>
      </c>
      <c r="AD25" s="318">
        <v>0</v>
      </c>
      <c r="AE25" s="318">
        <v>70</v>
      </c>
      <c r="AF25" s="287" t="s">
        <v>581</v>
      </c>
      <c r="AG25" s="287" t="s">
        <v>581</v>
      </c>
      <c r="AH25" s="298" t="s">
        <v>1009</v>
      </c>
      <c r="AI25" s="308">
        <v>0</v>
      </c>
      <c r="AJ25" s="299" t="s">
        <v>1213</v>
      </c>
      <c r="AK25" s="281" t="s">
        <v>578</v>
      </c>
      <c r="AL25" s="301" t="s">
        <v>1218</v>
      </c>
      <c r="AM25" s="302" t="s">
        <v>1217</v>
      </c>
      <c r="AN25" s="303" t="s">
        <v>43</v>
      </c>
      <c r="AO25" s="307">
        <v>1</v>
      </c>
      <c r="AP25" s="300">
        <v>4.5</v>
      </c>
      <c r="AQ25" s="287" t="s">
        <v>581</v>
      </c>
      <c r="AR25" s="287" t="s">
        <v>581</v>
      </c>
      <c r="AS25" s="306" t="s">
        <v>1219</v>
      </c>
      <c r="AT25" s="308">
        <v>0</v>
      </c>
      <c r="AU25" s="299" t="s">
        <v>1404</v>
      </c>
      <c r="AV25" s="281" t="s">
        <v>578</v>
      </c>
      <c r="AW25" s="301" t="s">
        <v>1409</v>
      </c>
      <c r="AX25" s="302" t="s">
        <v>1408</v>
      </c>
      <c r="AY25" s="303" t="s">
        <v>43</v>
      </c>
      <c r="AZ25" s="307">
        <v>0</v>
      </c>
      <c r="BA25" s="300">
        <v>70</v>
      </c>
      <c r="BB25" s="287" t="s">
        <v>581</v>
      </c>
      <c r="BC25" s="287" t="s">
        <v>581</v>
      </c>
      <c r="BD25" s="306" t="s">
        <v>1410</v>
      </c>
      <c r="BE25" s="308">
        <v>0</v>
      </c>
      <c r="BF25" s="309" t="s">
        <v>1567</v>
      </c>
      <c r="BG25" s="281" t="s">
        <v>578</v>
      </c>
      <c r="BH25" s="301" t="s">
        <v>1572</v>
      </c>
      <c r="BI25" s="310" t="s">
        <v>1571</v>
      </c>
      <c r="BJ25" s="311" t="s">
        <v>43</v>
      </c>
      <c r="BK25" s="307">
        <v>1</v>
      </c>
      <c r="BL25" s="300">
        <v>4.5</v>
      </c>
      <c r="BM25" s="287" t="s">
        <v>581</v>
      </c>
      <c r="BN25" s="287" t="s">
        <v>581</v>
      </c>
      <c r="BO25" s="313" t="s">
        <v>1573</v>
      </c>
      <c r="BP25" s="308">
        <v>0</v>
      </c>
      <c r="BQ25" s="299" t="s">
        <v>1786</v>
      </c>
      <c r="BR25" s="281" t="s">
        <v>578</v>
      </c>
      <c r="BS25" s="301" t="s">
        <v>1791</v>
      </c>
      <c r="BT25" s="310" t="s">
        <v>1790</v>
      </c>
      <c r="BU25" s="311" t="s">
        <v>43</v>
      </c>
      <c r="BV25" s="307">
        <v>1</v>
      </c>
      <c r="BW25" s="300">
        <v>4.8</v>
      </c>
      <c r="BX25" s="287" t="s">
        <v>581</v>
      </c>
      <c r="BY25" s="287" t="s">
        <v>581</v>
      </c>
      <c r="BZ25" s="313" t="s">
        <v>1792</v>
      </c>
      <c r="CA25" s="308">
        <v>0</v>
      </c>
    </row>
    <row r="26" spans="1:79">
      <c r="A26" s="506" t="s">
        <v>2147</v>
      </c>
      <c r="B26" s="355" t="s">
        <v>618</v>
      </c>
      <c r="C26" s="281" t="s">
        <v>775</v>
      </c>
      <c r="D26" s="315" t="s">
        <v>615</v>
      </c>
      <c r="E26" s="289" t="s">
        <v>619</v>
      </c>
      <c r="F26" s="290" t="s">
        <v>47</v>
      </c>
      <c r="G26" s="287">
        <v>7</v>
      </c>
      <c r="H26" s="287">
        <v>0</v>
      </c>
      <c r="I26" s="287">
        <v>2</v>
      </c>
      <c r="J26" s="287">
        <v>5</v>
      </c>
      <c r="K26" s="287">
        <v>10</v>
      </c>
      <c r="L26" s="287" t="s">
        <v>623</v>
      </c>
      <c r="M26" s="510">
        <f>IF(AND(Octave_1_KPIs[[#This Row],[Value]] &gt;= Octave_1_KPIs[[#This Row],[Healthy_Min]], Octave_1_KPIs[[#This Row],[Value]] &lt;= Octave_1_KPIs[[#This Row],[Healthy_Max]]), 1, IF(Octave_1_KPIs[[#This Row],[Value]] &lt; Octave_1_KPIs[[#This Row],[Healthy_Min]], MAX(0, (Octave_1_KPIs[[#This Row],[Value]] - Octave_1_KPIs[[#This Row],[Target_Min]]) / (Octave_1_KPIs[[#This Row],[Healthy_Min]] - Octave_1_KPIs[[#This Row],[Target_Min]])), MAX(0, 1 - (Octave_1_KPIs[[#This Row],[Value]] - Octave_1_KPIs[[#This Row],[Healthy_Max]]) / (Octave_1_KPIs[[#This Row],[Absolute_Max]] - Octave_1_KPIs[[#This Row],[Healthy_Max]]))))</f>
        <v>0.6</v>
      </c>
      <c r="N26" s="286" t="s">
        <v>800</v>
      </c>
      <c r="O26" s="281" t="s">
        <v>775</v>
      </c>
      <c r="P26" s="288" t="s">
        <v>808</v>
      </c>
      <c r="Q26" s="289" t="s">
        <v>807</v>
      </c>
      <c r="R26" s="290" t="s">
        <v>43</v>
      </c>
      <c r="S26" s="415">
        <v>0.7</v>
      </c>
      <c r="T26" s="317">
        <v>0.95</v>
      </c>
      <c r="U26" s="287" t="s">
        <v>581</v>
      </c>
      <c r="V26" s="287" t="s">
        <v>581</v>
      </c>
      <c r="W26" s="287" t="s">
        <v>809</v>
      </c>
      <c r="X26" s="308">
        <v>0</v>
      </c>
      <c r="Y26" s="293" t="s">
        <v>1076</v>
      </c>
      <c r="Z26" s="281" t="s">
        <v>775</v>
      </c>
      <c r="AA26" s="294" t="s">
        <v>1077</v>
      </c>
      <c r="AB26" s="295" t="s">
        <v>1078</v>
      </c>
      <c r="AC26" s="296" t="s">
        <v>43</v>
      </c>
      <c r="AD26" s="318" t="s">
        <v>1079</v>
      </c>
      <c r="AE26" s="318" t="s">
        <v>1080</v>
      </c>
      <c r="AF26" s="287" t="s">
        <v>581</v>
      </c>
      <c r="AG26" s="287" t="s">
        <v>581</v>
      </c>
      <c r="AH26" s="298" t="s">
        <v>1047</v>
      </c>
      <c r="AI26" s="308">
        <v>0</v>
      </c>
      <c r="AJ26" s="299" t="s">
        <v>1213</v>
      </c>
      <c r="AK26" s="281" t="s">
        <v>775</v>
      </c>
      <c r="AL26" s="301" t="s">
        <v>1221</v>
      </c>
      <c r="AM26" s="302" t="s">
        <v>1220</v>
      </c>
      <c r="AN26" s="303" t="s">
        <v>47</v>
      </c>
      <c r="AO26" s="307">
        <v>0</v>
      </c>
      <c r="AP26" s="300">
        <v>1</v>
      </c>
      <c r="AQ26" s="300">
        <v>2</v>
      </c>
      <c r="AR26" s="307">
        <v>4</v>
      </c>
      <c r="AS26" s="306" t="s">
        <v>1222</v>
      </c>
      <c r="AT26" s="308">
        <v>0</v>
      </c>
      <c r="AU26" s="299" t="s">
        <v>1404</v>
      </c>
      <c r="AV26" s="281" t="s">
        <v>775</v>
      </c>
      <c r="AW26" s="301" t="s">
        <v>1412</v>
      </c>
      <c r="AX26" s="302" t="s">
        <v>1411</v>
      </c>
      <c r="AY26" s="303" t="s">
        <v>47</v>
      </c>
      <c r="AZ26" s="307">
        <v>0</v>
      </c>
      <c r="BA26" s="300">
        <v>2</v>
      </c>
      <c r="BB26" s="307">
        <v>5</v>
      </c>
      <c r="BC26" s="307">
        <v>10</v>
      </c>
      <c r="BD26" s="306" t="s">
        <v>1413</v>
      </c>
      <c r="BE26" s="308">
        <v>0</v>
      </c>
      <c r="BF26" s="309" t="s">
        <v>1567</v>
      </c>
      <c r="BG26" s="281" t="s">
        <v>775</v>
      </c>
      <c r="BH26" s="301" t="s">
        <v>1575</v>
      </c>
      <c r="BI26" s="310" t="s">
        <v>1574</v>
      </c>
      <c r="BJ26" s="311" t="s">
        <v>47</v>
      </c>
      <c r="BK26" s="307">
        <v>0</v>
      </c>
      <c r="BL26" s="300">
        <v>1</v>
      </c>
      <c r="BM26" s="307">
        <v>2</v>
      </c>
      <c r="BN26" s="307">
        <v>3</v>
      </c>
      <c r="BO26" s="313" t="s">
        <v>1576</v>
      </c>
      <c r="BP26" s="308">
        <v>0</v>
      </c>
      <c r="BQ26" s="299" t="s">
        <v>1786</v>
      </c>
      <c r="BR26" s="281" t="s">
        <v>775</v>
      </c>
      <c r="BS26" s="301" t="s">
        <v>1794</v>
      </c>
      <c r="BT26" s="310" t="s">
        <v>1793</v>
      </c>
      <c r="BU26" s="311" t="s">
        <v>43</v>
      </c>
      <c r="BV26" s="307">
        <v>1</v>
      </c>
      <c r="BW26" s="300">
        <v>4.5</v>
      </c>
      <c r="BX26" s="287" t="s">
        <v>581</v>
      </c>
      <c r="BY26" s="287" t="s">
        <v>581</v>
      </c>
      <c r="BZ26" s="313" t="s">
        <v>1795</v>
      </c>
      <c r="CA26" s="308">
        <v>0</v>
      </c>
    </row>
    <row r="27" spans="1:79">
      <c r="A27" s="506" t="s">
        <v>2147</v>
      </c>
      <c r="B27" s="355" t="s">
        <v>618</v>
      </c>
      <c r="C27" s="281" t="s">
        <v>579</v>
      </c>
      <c r="D27" s="315" t="s">
        <v>616</v>
      </c>
      <c r="E27" s="289" t="s">
        <v>620</v>
      </c>
      <c r="F27" s="290" t="s">
        <v>43</v>
      </c>
      <c r="G27" s="287">
        <v>0.5</v>
      </c>
      <c r="H27" s="287">
        <v>0</v>
      </c>
      <c r="I27" s="287">
        <v>1</v>
      </c>
      <c r="J27" s="287" t="s">
        <v>581</v>
      </c>
      <c r="K27" s="287" t="s">
        <v>581</v>
      </c>
      <c r="L27" s="287" t="s">
        <v>622</v>
      </c>
      <c r="M27" s="510">
        <f>MAX(0,MIN(1,(G27-H27)/(Octave_1_KPIs[[#This Row],[Healthy_Min]]-Octave_1_KPIs[[#This Row],[Target_Min]])))</f>
        <v>0.5</v>
      </c>
      <c r="N27" s="286" t="s">
        <v>800</v>
      </c>
      <c r="O27" s="281" t="s">
        <v>579</v>
      </c>
      <c r="P27" s="288" t="s">
        <v>811</v>
      </c>
      <c r="Q27" s="289" t="s">
        <v>810</v>
      </c>
      <c r="R27" s="290" t="s">
        <v>43</v>
      </c>
      <c r="S27" s="318">
        <v>1</v>
      </c>
      <c r="T27" s="287">
        <v>4.5</v>
      </c>
      <c r="U27" s="287" t="s">
        <v>581</v>
      </c>
      <c r="V27" s="287" t="s">
        <v>581</v>
      </c>
      <c r="W27" s="287" t="s">
        <v>812</v>
      </c>
      <c r="X27" s="308">
        <v>0</v>
      </c>
      <c r="Y27" s="293" t="s">
        <v>1076</v>
      </c>
      <c r="Z27" s="281" t="s">
        <v>579</v>
      </c>
      <c r="AA27" s="294" t="s">
        <v>1011</v>
      </c>
      <c r="AB27" s="295" t="s">
        <v>1010</v>
      </c>
      <c r="AC27" s="296" t="s">
        <v>43</v>
      </c>
      <c r="AD27" s="318">
        <v>1</v>
      </c>
      <c r="AE27" s="318">
        <v>4.5</v>
      </c>
      <c r="AF27" s="287" t="s">
        <v>581</v>
      </c>
      <c r="AG27" s="287" t="s">
        <v>581</v>
      </c>
      <c r="AH27" s="298" t="s">
        <v>1012</v>
      </c>
      <c r="AI27" s="308">
        <v>0</v>
      </c>
      <c r="AJ27" s="299" t="s">
        <v>1213</v>
      </c>
      <c r="AK27" s="281" t="s">
        <v>579</v>
      </c>
      <c r="AL27" s="301" t="s">
        <v>1224</v>
      </c>
      <c r="AM27" s="302" t="s">
        <v>1223</v>
      </c>
      <c r="AN27" s="303" t="s">
        <v>43</v>
      </c>
      <c r="AO27" s="307">
        <v>1</v>
      </c>
      <c r="AP27" s="300">
        <v>4.5</v>
      </c>
      <c r="AQ27" s="287" t="s">
        <v>581</v>
      </c>
      <c r="AR27" s="287" t="s">
        <v>581</v>
      </c>
      <c r="AS27" s="306" t="s">
        <v>1225</v>
      </c>
      <c r="AT27" s="308">
        <v>0</v>
      </c>
      <c r="AU27" s="299" t="s">
        <v>1404</v>
      </c>
      <c r="AV27" s="281" t="s">
        <v>579</v>
      </c>
      <c r="AW27" s="301" t="s">
        <v>1415</v>
      </c>
      <c r="AX27" s="302" t="s">
        <v>1414</v>
      </c>
      <c r="AY27" s="303" t="s">
        <v>43</v>
      </c>
      <c r="AZ27" s="307">
        <v>1</v>
      </c>
      <c r="BA27" s="300">
        <v>4.5</v>
      </c>
      <c r="BB27" s="287" t="s">
        <v>581</v>
      </c>
      <c r="BC27" s="287" t="s">
        <v>581</v>
      </c>
      <c r="BD27" s="306" t="s">
        <v>1416</v>
      </c>
      <c r="BE27" s="308">
        <v>0</v>
      </c>
      <c r="BF27" s="309" t="s">
        <v>1567</v>
      </c>
      <c r="BG27" s="281" t="s">
        <v>579</v>
      </c>
      <c r="BH27" s="301" t="s">
        <v>1578</v>
      </c>
      <c r="BI27" s="310" t="s">
        <v>1577</v>
      </c>
      <c r="BJ27" s="311" t="s">
        <v>43</v>
      </c>
      <c r="BK27" s="307">
        <v>1</v>
      </c>
      <c r="BL27" s="300">
        <v>4.8</v>
      </c>
      <c r="BM27" s="287" t="s">
        <v>581</v>
      </c>
      <c r="BN27" s="287" t="s">
        <v>581</v>
      </c>
      <c r="BO27" s="313" t="s">
        <v>1579</v>
      </c>
      <c r="BP27" s="308">
        <v>0</v>
      </c>
      <c r="BQ27" s="299" t="s">
        <v>1786</v>
      </c>
      <c r="BR27" s="281" t="s">
        <v>579</v>
      </c>
      <c r="BS27" s="301" t="s">
        <v>1797</v>
      </c>
      <c r="BT27" s="310" t="s">
        <v>1796</v>
      </c>
      <c r="BU27" s="311" t="s">
        <v>43</v>
      </c>
      <c r="BV27" s="307">
        <v>1</v>
      </c>
      <c r="BW27" s="300">
        <v>4.5</v>
      </c>
      <c r="BX27" s="287" t="s">
        <v>581</v>
      </c>
      <c r="BY27" s="287" t="s">
        <v>581</v>
      </c>
      <c r="BZ27" s="313" t="s">
        <v>1798</v>
      </c>
      <c r="CA27" s="308">
        <v>0</v>
      </c>
    </row>
    <row r="28" spans="1:79">
      <c r="A28" s="506" t="s">
        <v>2147</v>
      </c>
      <c r="B28" s="355" t="s">
        <v>618</v>
      </c>
      <c r="C28" s="281" t="s">
        <v>580</v>
      </c>
      <c r="D28" s="315" t="s">
        <v>617</v>
      </c>
      <c r="E28" s="289" t="s">
        <v>612</v>
      </c>
      <c r="F28" s="290" t="s">
        <v>43</v>
      </c>
      <c r="G28" s="287">
        <v>4</v>
      </c>
      <c r="H28" s="287">
        <v>1</v>
      </c>
      <c r="I28" s="287">
        <v>4.5</v>
      </c>
      <c r="J28" s="287" t="s">
        <v>581</v>
      </c>
      <c r="K28" s="287" t="s">
        <v>581</v>
      </c>
      <c r="L28" s="287" t="s">
        <v>621</v>
      </c>
      <c r="M28" s="510">
        <f>MAX(0,MIN(1,(G28-H28)/(Octave_1_KPIs[[#This Row],[Healthy_Min]]-Octave_1_KPIs[[#This Row],[Target_Min]])))</f>
        <v>0.8571428571428571</v>
      </c>
      <c r="N28" s="286" t="s">
        <v>800</v>
      </c>
      <c r="O28" s="281" t="s">
        <v>580</v>
      </c>
      <c r="P28" s="288" t="s">
        <v>814</v>
      </c>
      <c r="Q28" s="289" t="s">
        <v>813</v>
      </c>
      <c r="R28" s="290" t="s">
        <v>43</v>
      </c>
      <c r="S28" s="318">
        <v>1</v>
      </c>
      <c r="T28" s="287">
        <v>4.5</v>
      </c>
      <c r="U28" s="287" t="s">
        <v>581</v>
      </c>
      <c r="V28" s="287" t="s">
        <v>581</v>
      </c>
      <c r="W28" s="287" t="s">
        <v>815</v>
      </c>
      <c r="X28" s="308">
        <v>0</v>
      </c>
      <c r="Y28" s="293" t="s">
        <v>1076</v>
      </c>
      <c r="Z28" s="281" t="s">
        <v>580</v>
      </c>
      <c r="AA28" s="294" t="s">
        <v>1014</v>
      </c>
      <c r="AB28" s="295" t="s">
        <v>1013</v>
      </c>
      <c r="AC28" s="296" t="s">
        <v>43</v>
      </c>
      <c r="AD28" s="318">
        <v>5</v>
      </c>
      <c r="AE28" s="318">
        <v>9.8000000000000007</v>
      </c>
      <c r="AF28" s="287" t="s">
        <v>581</v>
      </c>
      <c r="AG28" s="287" t="s">
        <v>581</v>
      </c>
      <c r="AH28" s="298" t="s">
        <v>1015</v>
      </c>
      <c r="AI28" s="308">
        <v>0</v>
      </c>
      <c r="AJ28" s="299" t="s">
        <v>1213</v>
      </c>
      <c r="AK28" s="281" t="s">
        <v>580</v>
      </c>
      <c r="AL28" s="301" t="s">
        <v>1227</v>
      </c>
      <c r="AM28" s="302" t="s">
        <v>1226</v>
      </c>
      <c r="AN28" s="303" t="s">
        <v>43</v>
      </c>
      <c r="AO28" s="307">
        <v>1</v>
      </c>
      <c r="AP28" s="300">
        <v>5</v>
      </c>
      <c r="AQ28" s="287" t="s">
        <v>581</v>
      </c>
      <c r="AR28" s="287" t="s">
        <v>581</v>
      </c>
      <c r="AS28" s="306" t="s">
        <v>1228</v>
      </c>
      <c r="AT28" s="308">
        <v>0</v>
      </c>
      <c r="AU28" s="299" t="s">
        <v>1404</v>
      </c>
      <c r="AV28" s="281" t="s">
        <v>580</v>
      </c>
      <c r="AW28" s="301" t="s">
        <v>1418</v>
      </c>
      <c r="AX28" s="302" t="s">
        <v>1417</v>
      </c>
      <c r="AY28" s="303" t="s">
        <v>43</v>
      </c>
      <c r="AZ28" s="307">
        <v>1</v>
      </c>
      <c r="BA28" s="300">
        <v>4.5</v>
      </c>
      <c r="BB28" s="287" t="s">
        <v>581</v>
      </c>
      <c r="BC28" s="287" t="s">
        <v>581</v>
      </c>
      <c r="BD28" s="306" t="s">
        <v>1419</v>
      </c>
      <c r="BE28" s="308">
        <v>0</v>
      </c>
      <c r="BF28" s="309" t="s">
        <v>1567</v>
      </c>
      <c r="BG28" s="281" t="s">
        <v>580</v>
      </c>
      <c r="BH28" s="301" t="s">
        <v>1581</v>
      </c>
      <c r="BI28" s="310" t="s">
        <v>1580</v>
      </c>
      <c r="BJ28" s="311" t="s">
        <v>43</v>
      </c>
      <c r="BK28" s="307">
        <v>1</v>
      </c>
      <c r="BL28" s="300">
        <v>5</v>
      </c>
      <c r="BM28" s="287" t="s">
        <v>581</v>
      </c>
      <c r="BN28" s="287" t="s">
        <v>581</v>
      </c>
      <c r="BO28" s="313" t="s">
        <v>1582</v>
      </c>
      <c r="BP28" s="308">
        <v>0</v>
      </c>
      <c r="BQ28" s="299" t="s">
        <v>1786</v>
      </c>
      <c r="BR28" s="281" t="s">
        <v>580</v>
      </c>
      <c r="BS28" s="301" t="s">
        <v>1800</v>
      </c>
      <c r="BT28" s="310" t="s">
        <v>1799</v>
      </c>
      <c r="BU28" s="311" t="s">
        <v>43</v>
      </c>
      <c r="BV28" s="307">
        <v>1</v>
      </c>
      <c r="BW28" s="300">
        <v>5</v>
      </c>
      <c r="BX28" s="287" t="s">
        <v>581</v>
      </c>
      <c r="BY28" s="287" t="s">
        <v>581</v>
      </c>
      <c r="BZ28" s="313" t="s">
        <v>1801</v>
      </c>
      <c r="CA28" s="308">
        <v>0</v>
      </c>
    </row>
    <row r="29" spans="1:79">
      <c r="A29" s="506" t="s">
        <v>2148</v>
      </c>
      <c r="B29" s="320" t="s">
        <v>626</v>
      </c>
      <c r="C29" s="281" t="s">
        <v>577</v>
      </c>
      <c r="D29" s="321" t="s">
        <v>629</v>
      </c>
      <c r="E29" s="322" t="s">
        <v>634</v>
      </c>
      <c r="F29" s="412" t="s">
        <v>43</v>
      </c>
      <c r="G29" s="351">
        <v>1</v>
      </c>
      <c r="H29" s="356">
        <v>0</v>
      </c>
      <c r="I29" s="356">
        <v>1</v>
      </c>
      <c r="J29" s="323" t="s">
        <v>581</v>
      </c>
      <c r="K29" s="323" t="s">
        <v>581</v>
      </c>
      <c r="L29" s="323" t="s">
        <v>752</v>
      </c>
      <c r="M29" s="510">
        <f>MAX(0,MIN(1,(G29-H29)/(Octave_1_KPIs[[#This Row],[Healthy_Min]]-Octave_1_KPIs[[#This Row],[Target_Min]])))</f>
        <v>1</v>
      </c>
      <c r="N29" s="325" t="s">
        <v>816</v>
      </c>
      <c r="O29" s="281" t="s">
        <v>577</v>
      </c>
      <c r="P29" s="327" t="s">
        <v>818</v>
      </c>
      <c r="Q29" s="328" t="s">
        <v>817</v>
      </c>
      <c r="R29" s="329" t="s">
        <v>43</v>
      </c>
      <c r="S29" s="335">
        <v>1</v>
      </c>
      <c r="T29" s="330">
        <v>4.5</v>
      </c>
      <c r="U29" s="326" t="s">
        <v>581</v>
      </c>
      <c r="V29" s="326" t="s">
        <v>581</v>
      </c>
      <c r="W29" s="326" t="s">
        <v>819</v>
      </c>
      <c r="X29" s="308">
        <v>0</v>
      </c>
      <c r="Y29" s="331" t="s">
        <v>1016</v>
      </c>
      <c r="Z29" s="281" t="s">
        <v>577</v>
      </c>
      <c r="AA29" s="332" t="s">
        <v>1082</v>
      </c>
      <c r="AB29" s="333" t="s">
        <v>1018</v>
      </c>
      <c r="AC29" s="334" t="s">
        <v>43</v>
      </c>
      <c r="AD29" s="335">
        <v>1</v>
      </c>
      <c r="AE29" s="335">
        <v>4.5</v>
      </c>
      <c r="AF29" s="326" t="s">
        <v>581</v>
      </c>
      <c r="AG29" s="326" t="s">
        <v>581</v>
      </c>
      <c r="AH29" s="336" t="s">
        <v>1017</v>
      </c>
      <c r="AI29" s="308">
        <v>0</v>
      </c>
      <c r="AJ29" s="331" t="s">
        <v>1229</v>
      </c>
      <c r="AK29" s="281" t="s">
        <v>577</v>
      </c>
      <c r="AL29" s="332" t="s">
        <v>1231</v>
      </c>
      <c r="AM29" s="333" t="s">
        <v>1230</v>
      </c>
      <c r="AN29" s="334" t="s">
        <v>43</v>
      </c>
      <c r="AO29" s="335">
        <v>1</v>
      </c>
      <c r="AP29" s="337">
        <v>4.5</v>
      </c>
      <c r="AQ29" s="326" t="s">
        <v>581</v>
      </c>
      <c r="AR29" s="326" t="s">
        <v>581</v>
      </c>
      <c r="AS29" s="338" t="s">
        <v>1232</v>
      </c>
      <c r="AT29" s="308">
        <v>0</v>
      </c>
      <c r="AU29" s="331" t="s">
        <v>1420</v>
      </c>
      <c r="AV29" s="281" t="s">
        <v>577</v>
      </c>
      <c r="AW29" s="332" t="s">
        <v>1422</v>
      </c>
      <c r="AX29" s="333" t="s">
        <v>1421</v>
      </c>
      <c r="AY29" s="334" t="s">
        <v>43</v>
      </c>
      <c r="AZ29" s="353">
        <v>0.1</v>
      </c>
      <c r="BA29" s="354">
        <v>0.75</v>
      </c>
      <c r="BB29" s="326" t="s">
        <v>581</v>
      </c>
      <c r="BC29" s="326" t="s">
        <v>581</v>
      </c>
      <c r="BD29" s="338" t="s">
        <v>1423</v>
      </c>
      <c r="BE29" s="308">
        <v>0</v>
      </c>
      <c r="BF29" s="342" t="s">
        <v>1583</v>
      </c>
      <c r="BG29" s="281" t="s">
        <v>577</v>
      </c>
      <c r="BH29" s="343" t="s">
        <v>1585</v>
      </c>
      <c r="BI29" s="344" t="s">
        <v>1584</v>
      </c>
      <c r="BJ29" s="345" t="s">
        <v>43</v>
      </c>
      <c r="BK29" s="335">
        <v>1</v>
      </c>
      <c r="BL29" s="337">
        <v>5</v>
      </c>
      <c r="BM29" s="326" t="s">
        <v>581</v>
      </c>
      <c r="BN29" s="326" t="s">
        <v>581</v>
      </c>
      <c r="BO29" s="347" t="s">
        <v>1586</v>
      </c>
      <c r="BP29" s="308">
        <v>0</v>
      </c>
      <c r="BQ29" s="331" t="s">
        <v>1802</v>
      </c>
      <c r="BR29" s="281" t="s">
        <v>577</v>
      </c>
      <c r="BS29" s="332" t="s">
        <v>1804</v>
      </c>
      <c r="BT29" s="348" t="s">
        <v>1803</v>
      </c>
      <c r="BU29" s="349" t="s">
        <v>43</v>
      </c>
      <c r="BV29" s="335">
        <v>1</v>
      </c>
      <c r="BW29" s="337">
        <v>5</v>
      </c>
      <c r="BX29" s="326" t="s">
        <v>581</v>
      </c>
      <c r="BY29" s="326" t="s">
        <v>581</v>
      </c>
      <c r="BZ29" s="350" t="s">
        <v>1805</v>
      </c>
      <c r="CA29" s="308">
        <v>0</v>
      </c>
    </row>
    <row r="30" spans="1:79">
      <c r="A30" s="506" t="s">
        <v>2148</v>
      </c>
      <c r="B30" s="320" t="s">
        <v>626</v>
      </c>
      <c r="C30" s="281" t="s">
        <v>578</v>
      </c>
      <c r="D30" s="321" t="s">
        <v>630</v>
      </c>
      <c r="E30" s="322" t="s">
        <v>635</v>
      </c>
      <c r="F30" s="412" t="s">
        <v>43</v>
      </c>
      <c r="G30" s="323">
        <v>1</v>
      </c>
      <c r="H30" s="323">
        <v>1</v>
      </c>
      <c r="I30" s="323">
        <v>4</v>
      </c>
      <c r="J30" s="323" t="s">
        <v>581</v>
      </c>
      <c r="K30" s="323" t="s">
        <v>581</v>
      </c>
      <c r="L30" s="323" t="s">
        <v>753</v>
      </c>
      <c r="M30" s="510">
        <f>MAX(0,MIN(1,(G30-H30)/(Octave_1_KPIs[[#This Row],[Healthy_Min]]-Octave_1_KPIs[[#This Row],[Target_Min]])))</f>
        <v>0</v>
      </c>
      <c r="N30" s="325" t="s">
        <v>816</v>
      </c>
      <c r="O30" s="281" t="s">
        <v>578</v>
      </c>
      <c r="P30" s="327" t="s">
        <v>821</v>
      </c>
      <c r="Q30" s="328" t="s">
        <v>820</v>
      </c>
      <c r="R30" s="329" t="s">
        <v>582</v>
      </c>
      <c r="S30" s="335" t="s">
        <v>892</v>
      </c>
      <c r="T30" s="330" t="s">
        <v>895</v>
      </c>
      <c r="U30" s="326" t="s">
        <v>581</v>
      </c>
      <c r="V30" s="326" t="s">
        <v>581</v>
      </c>
      <c r="W30" s="326" t="s">
        <v>822</v>
      </c>
      <c r="X30" s="308">
        <v>0</v>
      </c>
      <c r="Y30" s="331" t="s">
        <v>1016</v>
      </c>
      <c r="Z30" s="281" t="s">
        <v>578</v>
      </c>
      <c r="AA30" s="332" t="s">
        <v>1048</v>
      </c>
      <c r="AB30" s="333" t="s">
        <v>502</v>
      </c>
      <c r="AC30" s="334" t="s">
        <v>43</v>
      </c>
      <c r="AD30" s="353">
        <v>0.1</v>
      </c>
      <c r="AE30" s="353">
        <v>0.75</v>
      </c>
      <c r="AF30" s="326" t="s">
        <v>581</v>
      </c>
      <c r="AG30" s="326" t="s">
        <v>581</v>
      </c>
      <c r="AH30" s="336" t="s">
        <v>1049</v>
      </c>
      <c r="AI30" s="308">
        <v>0</v>
      </c>
      <c r="AJ30" s="331" t="s">
        <v>1229</v>
      </c>
      <c r="AK30" s="281" t="s">
        <v>578</v>
      </c>
      <c r="AL30" s="332" t="s">
        <v>1234</v>
      </c>
      <c r="AM30" s="333" t="s">
        <v>1233</v>
      </c>
      <c r="AN30" s="334" t="s">
        <v>582</v>
      </c>
      <c r="AO30" s="335" t="s">
        <v>893</v>
      </c>
      <c r="AP30" s="337" t="s">
        <v>983</v>
      </c>
      <c r="AQ30" s="326" t="s">
        <v>581</v>
      </c>
      <c r="AR30" s="326" t="s">
        <v>581</v>
      </c>
      <c r="AS30" s="338" t="s">
        <v>1235</v>
      </c>
      <c r="AT30" s="308">
        <v>0</v>
      </c>
      <c r="AU30" s="331" t="s">
        <v>1420</v>
      </c>
      <c r="AV30" s="281" t="s">
        <v>578</v>
      </c>
      <c r="AW30" s="332" t="s">
        <v>1425</v>
      </c>
      <c r="AX30" s="333" t="s">
        <v>1424</v>
      </c>
      <c r="AY30" s="334" t="s">
        <v>43</v>
      </c>
      <c r="AZ30" s="335">
        <v>1</v>
      </c>
      <c r="BA30" s="337">
        <v>4.5</v>
      </c>
      <c r="BB30" s="326" t="s">
        <v>581</v>
      </c>
      <c r="BC30" s="326" t="s">
        <v>581</v>
      </c>
      <c r="BD30" s="338" t="s">
        <v>1426</v>
      </c>
      <c r="BE30" s="308">
        <v>0</v>
      </c>
      <c r="BF30" s="342" t="s">
        <v>1583</v>
      </c>
      <c r="BG30" s="281" t="s">
        <v>578</v>
      </c>
      <c r="BH30" s="343" t="s">
        <v>1588</v>
      </c>
      <c r="BI30" s="344" t="s">
        <v>1587</v>
      </c>
      <c r="BJ30" s="345" t="s">
        <v>582</v>
      </c>
      <c r="BK30" s="335" t="s">
        <v>1632</v>
      </c>
      <c r="BL30" s="337" t="s">
        <v>1086</v>
      </c>
      <c r="BM30" s="326" t="s">
        <v>581</v>
      </c>
      <c r="BN30" s="326" t="s">
        <v>581</v>
      </c>
      <c r="BO30" s="347" t="s">
        <v>1589</v>
      </c>
      <c r="BP30" s="308">
        <v>0</v>
      </c>
      <c r="BQ30" s="331" t="s">
        <v>1802</v>
      </c>
      <c r="BR30" s="281" t="s">
        <v>578</v>
      </c>
      <c r="BS30" s="332" t="s">
        <v>1807</v>
      </c>
      <c r="BT30" s="348" t="s">
        <v>1806</v>
      </c>
      <c r="BU30" s="349" t="s">
        <v>43</v>
      </c>
      <c r="BV30" s="335">
        <v>1</v>
      </c>
      <c r="BW30" s="337">
        <v>4.8</v>
      </c>
      <c r="BX30" s="326" t="s">
        <v>581</v>
      </c>
      <c r="BY30" s="326" t="s">
        <v>581</v>
      </c>
      <c r="BZ30" s="350" t="s">
        <v>1808</v>
      </c>
      <c r="CA30" s="308">
        <v>0</v>
      </c>
    </row>
    <row r="31" spans="1:79">
      <c r="A31" s="506" t="s">
        <v>2148</v>
      </c>
      <c r="B31" s="320" t="s">
        <v>626</v>
      </c>
      <c r="C31" s="281" t="s">
        <v>775</v>
      </c>
      <c r="D31" s="321" t="s">
        <v>631</v>
      </c>
      <c r="E31" s="322" t="s">
        <v>636</v>
      </c>
      <c r="F31" s="412" t="s">
        <v>43</v>
      </c>
      <c r="G31" s="323">
        <v>0</v>
      </c>
      <c r="H31" s="323">
        <v>0</v>
      </c>
      <c r="I31" s="356">
        <v>1</v>
      </c>
      <c r="J31" s="323" t="s">
        <v>581</v>
      </c>
      <c r="K31" s="323" t="s">
        <v>581</v>
      </c>
      <c r="L31" s="323" t="s">
        <v>736</v>
      </c>
      <c r="M31" s="510">
        <f>MAX(0,MIN(1,(G31-H31)/(Octave_1_KPIs[[#This Row],[Healthy_Min]]-Octave_1_KPIs[[#This Row],[Target_Min]])))</f>
        <v>0</v>
      </c>
      <c r="N31" s="325" t="s">
        <v>816</v>
      </c>
      <c r="O31" s="281" t="s">
        <v>775</v>
      </c>
      <c r="P31" s="327" t="s">
        <v>824</v>
      </c>
      <c r="Q31" s="328" t="s">
        <v>823</v>
      </c>
      <c r="R31" s="329" t="s">
        <v>47</v>
      </c>
      <c r="S31" s="335">
        <v>0</v>
      </c>
      <c r="T31" s="330">
        <v>1</v>
      </c>
      <c r="U31" s="335">
        <v>3</v>
      </c>
      <c r="V31" s="335">
        <v>5</v>
      </c>
      <c r="W31" s="326" t="s">
        <v>825</v>
      </c>
      <c r="X31" s="308">
        <v>0</v>
      </c>
      <c r="Y31" s="331" t="s">
        <v>1016</v>
      </c>
      <c r="Z31" s="281" t="s">
        <v>775</v>
      </c>
      <c r="AA31" s="332" t="s">
        <v>1051</v>
      </c>
      <c r="AB31" s="333" t="s">
        <v>1050</v>
      </c>
      <c r="AC31" s="334" t="s">
        <v>47</v>
      </c>
      <c r="AD31" s="335">
        <v>0</v>
      </c>
      <c r="AE31" s="335">
        <v>1</v>
      </c>
      <c r="AF31" s="335">
        <v>5</v>
      </c>
      <c r="AG31" s="335">
        <v>10</v>
      </c>
      <c r="AH31" s="336" t="s">
        <v>1052</v>
      </c>
      <c r="AI31" s="308">
        <v>0</v>
      </c>
      <c r="AJ31" s="331" t="s">
        <v>1229</v>
      </c>
      <c r="AK31" s="281" t="s">
        <v>775</v>
      </c>
      <c r="AL31" s="332" t="s">
        <v>1237</v>
      </c>
      <c r="AM31" s="333" t="s">
        <v>1236</v>
      </c>
      <c r="AN31" s="334" t="s">
        <v>43</v>
      </c>
      <c r="AO31" s="335">
        <v>0</v>
      </c>
      <c r="AP31" s="346">
        <v>1</v>
      </c>
      <c r="AQ31" s="326" t="s">
        <v>581</v>
      </c>
      <c r="AR31" s="326" t="s">
        <v>581</v>
      </c>
      <c r="AS31" s="338" t="s">
        <v>1238</v>
      </c>
      <c r="AT31" s="308">
        <v>0</v>
      </c>
      <c r="AU31" s="331" t="s">
        <v>1420</v>
      </c>
      <c r="AV31" s="281" t="s">
        <v>775</v>
      </c>
      <c r="AW31" s="332" t="s">
        <v>1428</v>
      </c>
      <c r="AX31" s="333" t="s">
        <v>1427</v>
      </c>
      <c r="AY31" s="334" t="s">
        <v>47</v>
      </c>
      <c r="AZ31" s="335">
        <v>0</v>
      </c>
      <c r="BA31" s="337">
        <v>1</v>
      </c>
      <c r="BB31" s="335">
        <v>2</v>
      </c>
      <c r="BC31" s="335">
        <v>4</v>
      </c>
      <c r="BD31" s="338" t="s">
        <v>1429</v>
      </c>
      <c r="BE31" s="308">
        <v>0</v>
      </c>
      <c r="BF31" s="342" t="s">
        <v>1583</v>
      </c>
      <c r="BG31" s="281" t="s">
        <v>775</v>
      </c>
      <c r="BH31" s="343" t="s">
        <v>1591</v>
      </c>
      <c r="BI31" s="344" t="s">
        <v>1590</v>
      </c>
      <c r="BJ31" s="345" t="s">
        <v>47</v>
      </c>
      <c r="BK31" s="335">
        <v>0</v>
      </c>
      <c r="BL31" s="337">
        <v>1</v>
      </c>
      <c r="BM31" s="335">
        <v>2</v>
      </c>
      <c r="BN31" s="335">
        <v>3</v>
      </c>
      <c r="BO31" s="347" t="s">
        <v>1592</v>
      </c>
      <c r="BP31" s="308">
        <v>0</v>
      </c>
      <c r="BQ31" s="331" t="s">
        <v>1802</v>
      </c>
      <c r="BR31" s="281" t="s">
        <v>775</v>
      </c>
      <c r="BS31" s="332" t="s">
        <v>1810</v>
      </c>
      <c r="BT31" s="348" t="s">
        <v>1809</v>
      </c>
      <c r="BU31" s="349" t="s">
        <v>43</v>
      </c>
      <c r="BV31" s="335">
        <v>0</v>
      </c>
      <c r="BW31" s="337" t="s">
        <v>892</v>
      </c>
      <c r="BX31" s="326" t="s">
        <v>581</v>
      </c>
      <c r="BY31" s="326" t="s">
        <v>581</v>
      </c>
      <c r="BZ31" s="350" t="s">
        <v>1811</v>
      </c>
      <c r="CA31" s="308">
        <v>0</v>
      </c>
    </row>
    <row r="32" spans="1:79">
      <c r="A32" s="506" t="s">
        <v>2148</v>
      </c>
      <c r="B32" s="320" t="s">
        <v>626</v>
      </c>
      <c r="C32" s="281" t="s">
        <v>579</v>
      </c>
      <c r="D32" s="321" t="s">
        <v>632</v>
      </c>
      <c r="E32" s="322" t="s">
        <v>637</v>
      </c>
      <c r="F32" s="412" t="s">
        <v>43</v>
      </c>
      <c r="G32" s="351">
        <v>0.1</v>
      </c>
      <c r="H32" s="356">
        <v>0</v>
      </c>
      <c r="I32" s="356">
        <v>1</v>
      </c>
      <c r="J32" s="323" t="s">
        <v>581</v>
      </c>
      <c r="K32" s="323" t="s">
        <v>581</v>
      </c>
      <c r="L32" s="323" t="s">
        <v>754</v>
      </c>
      <c r="M32" s="510">
        <f>MAX(0,MIN(1,(G32-H32)/(Octave_1_KPIs[[#This Row],[Healthy_Min]]-Octave_1_KPIs[[#This Row],[Target_Min]])))</f>
        <v>0.1</v>
      </c>
      <c r="N32" s="325" t="s">
        <v>816</v>
      </c>
      <c r="O32" s="281" t="s">
        <v>579</v>
      </c>
      <c r="P32" s="327" t="s">
        <v>827</v>
      </c>
      <c r="Q32" s="328" t="s">
        <v>826</v>
      </c>
      <c r="R32" s="329" t="s">
        <v>43</v>
      </c>
      <c r="S32" s="417">
        <v>0</v>
      </c>
      <c r="T32" s="357">
        <v>1</v>
      </c>
      <c r="U32" s="326" t="s">
        <v>581</v>
      </c>
      <c r="V32" s="326" t="s">
        <v>581</v>
      </c>
      <c r="W32" s="326" t="s">
        <v>828</v>
      </c>
      <c r="X32" s="308">
        <v>0</v>
      </c>
      <c r="Y32" s="331" t="s">
        <v>1016</v>
      </c>
      <c r="Z32" s="281" t="s">
        <v>579</v>
      </c>
      <c r="AA32" s="332" t="s">
        <v>1020</v>
      </c>
      <c r="AB32" s="333" t="s">
        <v>1019</v>
      </c>
      <c r="AC32" s="334" t="s">
        <v>43</v>
      </c>
      <c r="AD32" s="335">
        <v>1</v>
      </c>
      <c r="AE32" s="335">
        <v>5</v>
      </c>
      <c r="AF32" s="326" t="s">
        <v>581</v>
      </c>
      <c r="AG32" s="326" t="s">
        <v>581</v>
      </c>
      <c r="AH32" s="336" t="s">
        <v>1021</v>
      </c>
      <c r="AI32" s="308">
        <v>0</v>
      </c>
      <c r="AJ32" s="331" t="s">
        <v>1229</v>
      </c>
      <c r="AK32" s="281" t="s">
        <v>579</v>
      </c>
      <c r="AL32" s="332" t="s">
        <v>1240</v>
      </c>
      <c r="AM32" s="333" t="s">
        <v>1239</v>
      </c>
      <c r="AN32" s="334" t="s">
        <v>43</v>
      </c>
      <c r="AO32" s="335">
        <v>1</v>
      </c>
      <c r="AP32" s="337">
        <v>4.8</v>
      </c>
      <c r="AQ32" s="326" t="s">
        <v>581</v>
      </c>
      <c r="AR32" s="326" t="s">
        <v>581</v>
      </c>
      <c r="AS32" s="338" t="s">
        <v>1241</v>
      </c>
      <c r="AT32" s="308">
        <v>0</v>
      </c>
      <c r="AU32" s="331" t="s">
        <v>1420</v>
      </c>
      <c r="AV32" s="281" t="s">
        <v>579</v>
      </c>
      <c r="AW32" s="332" t="s">
        <v>1431</v>
      </c>
      <c r="AX32" s="333" t="s">
        <v>1430</v>
      </c>
      <c r="AY32" s="334" t="s">
        <v>43</v>
      </c>
      <c r="AZ32" s="335">
        <v>1</v>
      </c>
      <c r="BA32" s="337">
        <v>4.8</v>
      </c>
      <c r="BB32" s="326" t="s">
        <v>581</v>
      </c>
      <c r="BC32" s="326" t="s">
        <v>581</v>
      </c>
      <c r="BD32" s="338" t="s">
        <v>1432</v>
      </c>
      <c r="BE32" s="308">
        <v>0</v>
      </c>
      <c r="BF32" s="342" t="s">
        <v>1583</v>
      </c>
      <c r="BG32" s="281" t="s">
        <v>579</v>
      </c>
      <c r="BH32" s="343" t="s">
        <v>1594</v>
      </c>
      <c r="BI32" s="344" t="s">
        <v>1593</v>
      </c>
      <c r="BJ32" s="345" t="s">
        <v>43</v>
      </c>
      <c r="BK32" s="335">
        <v>1</v>
      </c>
      <c r="BL32" s="337">
        <v>4.5</v>
      </c>
      <c r="BM32" s="326" t="s">
        <v>581</v>
      </c>
      <c r="BN32" s="326" t="s">
        <v>581</v>
      </c>
      <c r="BO32" s="347" t="s">
        <v>1595</v>
      </c>
      <c r="BP32" s="308">
        <v>0</v>
      </c>
      <c r="BQ32" s="331" t="s">
        <v>1802</v>
      </c>
      <c r="BR32" s="281" t="s">
        <v>579</v>
      </c>
      <c r="BS32" s="332" t="s">
        <v>1813</v>
      </c>
      <c r="BT32" s="348" t="s">
        <v>1812</v>
      </c>
      <c r="BU32" s="349" t="s">
        <v>43</v>
      </c>
      <c r="BV32" s="335">
        <v>1</v>
      </c>
      <c r="BW32" s="337">
        <v>5</v>
      </c>
      <c r="BX32" s="326" t="s">
        <v>581</v>
      </c>
      <c r="BY32" s="326" t="s">
        <v>581</v>
      </c>
      <c r="BZ32" s="350" t="s">
        <v>1814</v>
      </c>
      <c r="CA32" s="308">
        <v>0</v>
      </c>
    </row>
    <row r="33" spans="1:79">
      <c r="A33" s="506" t="s">
        <v>2148</v>
      </c>
      <c r="B33" s="320" t="s">
        <v>626</v>
      </c>
      <c r="C33" s="281" t="s">
        <v>580</v>
      </c>
      <c r="D33" s="321" t="s">
        <v>633</v>
      </c>
      <c r="E33" s="322" t="s">
        <v>638</v>
      </c>
      <c r="F33" s="412" t="s">
        <v>43</v>
      </c>
      <c r="G33" s="323">
        <v>4.5</v>
      </c>
      <c r="H33" s="323">
        <v>1</v>
      </c>
      <c r="I33" s="323">
        <v>4.5</v>
      </c>
      <c r="J33" s="323" t="s">
        <v>581</v>
      </c>
      <c r="K33" s="323" t="s">
        <v>581</v>
      </c>
      <c r="L33" s="323" t="s">
        <v>755</v>
      </c>
      <c r="M33" s="510">
        <f>MAX(0,MIN(1,(G33-H33)/(Octave_1_KPIs[[#This Row],[Healthy_Min]]-Octave_1_KPIs[[#This Row],[Target_Min]])))</f>
        <v>1</v>
      </c>
      <c r="N33" s="325" t="s">
        <v>816</v>
      </c>
      <c r="O33" s="281" t="s">
        <v>580</v>
      </c>
      <c r="P33" s="327" t="s">
        <v>830</v>
      </c>
      <c r="Q33" s="328" t="s">
        <v>829</v>
      </c>
      <c r="R33" s="329" t="s">
        <v>43</v>
      </c>
      <c r="S33" s="335">
        <v>1</v>
      </c>
      <c r="T33" s="330">
        <v>4.5</v>
      </c>
      <c r="U33" s="326" t="s">
        <v>581</v>
      </c>
      <c r="V33" s="326" t="s">
        <v>581</v>
      </c>
      <c r="W33" s="326" t="s">
        <v>831</v>
      </c>
      <c r="X33" s="308">
        <v>0</v>
      </c>
      <c r="Y33" s="331" t="s">
        <v>1016</v>
      </c>
      <c r="Z33" s="281" t="s">
        <v>580</v>
      </c>
      <c r="AA33" s="332" t="s">
        <v>1054</v>
      </c>
      <c r="AB33" s="333" t="s">
        <v>1053</v>
      </c>
      <c r="AC33" s="334" t="s">
        <v>43</v>
      </c>
      <c r="AD33" s="353">
        <v>0.5</v>
      </c>
      <c r="AE33" s="353">
        <v>1</v>
      </c>
      <c r="AF33" s="326" t="s">
        <v>581</v>
      </c>
      <c r="AG33" s="326" t="s">
        <v>581</v>
      </c>
      <c r="AH33" s="336" t="s">
        <v>1081</v>
      </c>
      <c r="AI33" s="308">
        <v>0</v>
      </c>
      <c r="AJ33" s="331" t="s">
        <v>1229</v>
      </c>
      <c r="AK33" s="281" t="s">
        <v>580</v>
      </c>
      <c r="AL33" s="332" t="s">
        <v>1242</v>
      </c>
      <c r="AM33" s="333" t="s">
        <v>358</v>
      </c>
      <c r="AN33" s="334" t="s">
        <v>43</v>
      </c>
      <c r="AO33" s="335">
        <v>1</v>
      </c>
      <c r="AP33" s="337">
        <v>4.5</v>
      </c>
      <c r="AQ33" s="326" t="s">
        <v>581</v>
      </c>
      <c r="AR33" s="326" t="s">
        <v>581</v>
      </c>
      <c r="AS33" s="338" t="s">
        <v>1243</v>
      </c>
      <c r="AT33" s="308">
        <v>0</v>
      </c>
      <c r="AU33" s="331" t="s">
        <v>1420</v>
      </c>
      <c r="AV33" s="281" t="s">
        <v>580</v>
      </c>
      <c r="AW33" s="332" t="s">
        <v>1434</v>
      </c>
      <c r="AX33" s="333" t="s">
        <v>1433</v>
      </c>
      <c r="AY33" s="334" t="s">
        <v>43</v>
      </c>
      <c r="AZ33" s="335">
        <v>1</v>
      </c>
      <c r="BA33" s="337">
        <v>4</v>
      </c>
      <c r="BB33" s="326" t="s">
        <v>581</v>
      </c>
      <c r="BC33" s="326" t="s">
        <v>581</v>
      </c>
      <c r="BD33" s="338" t="s">
        <v>1435</v>
      </c>
      <c r="BE33" s="308">
        <v>0</v>
      </c>
      <c r="BF33" s="342" t="s">
        <v>1583</v>
      </c>
      <c r="BG33" s="281" t="s">
        <v>580</v>
      </c>
      <c r="BH33" s="343" t="s">
        <v>1597</v>
      </c>
      <c r="BI33" s="344" t="s">
        <v>1596</v>
      </c>
      <c r="BJ33" s="345" t="s">
        <v>43</v>
      </c>
      <c r="BK33" s="335">
        <v>1</v>
      </c>
      <c r="BL33" s="337">
        <v>5</v>
      </c>
      <c r="BM33" s="326" t="s">
        <v>581</v>
      </c>
      <c r="BN33" s="326" t="s">
        <v>581</v>
      </c>
      <c r="BO33" s="347" t="s">
        <v>1598</v>
      </c>
      <c r="BP33" s="308">
        <v>0</v>
      </c>
      <c r="BQ33" s="331" t="s">
        <v>1802</v>
      </c>
      <c r="BR33" s="281" t="s">
        <v>580</v>
      </c>
      <c r="BS33" s="332" t="s">
        <v>1816</v>
      </c>
      <c r="BT33" s="348" t="s">
        <v>1815</v>
      </c>
      <c r="BU33" s="349" t="s">
        <v>43</v>
      </c>
      <c r="BV33" s="335">
        <v>1</v>
      </c>
      <c r="BW33" s="337">
        <v>5</v>
      </c>
      <c r="BX33" s="326" t="s">
        <v>581</v>
      </c>
      <c r="BY33" s="326" t="s">
        <v>581</v>
      </c>
      <c r="BZ33" s="350" t="s">
        <v>1817</v>
      </c>
      <c r="CA33" s="308">
        <v>0</v>
      </c>
    </row>
    <row r="34" spans="1:79">
      <c r="A34" s="506" t="s">
        <v>2149</v>
      </c>
      <c r="B34" s="355" t="s">
        <v>627</v>
      </c>
      <c r="C34" s="281" t="s">
        <v>577</v>
      </c>
      <c r="D34" s="315" t="s">
        <v>639</v>
      </c>
      <c r="E34" s="289" t="s">
        <v>648</v>
      </c>
      <c r="F34" s="290" t="s">
        <v>43</v>
      </c>
      <c r="G34" s="287">
        <v>2.1</v>
      </c>
      <c r="H34" s="287">
        <v>2</v>
      </c>
      <c r="I34" s="287">
        <v>4.5</v>
      </c>
      <c r="J34" s="287" t="s">
        <v>581</v>
      </c>
      <c r="K34" s="287" t="s">
        <v>581</v>
      </c>
      <c r="L34" s="287" t="s">
        <v>756</v>
      </c>
      <c r="M34" s="510">
        <f>MAX(0,MIN(1,(G34-H34)/(Octave_1_KPIs[[#This Row],[Healthy_Min]]-Octave_1_KPIs[[#This Row],[Target_Min]])))</f>
        <v>4.0000000000000036E-2</v>
      </c>
      <c r="N34" s="286" t="s">
        <v>832</v>
      </c>
      <c r="O34" s="281" t="s">
        <v>577</v>
      </c>
      <c r="P34" s="288" t="s">
        <v>834</v>
      </c>
      <c r="Q34" s="289" t="s">
        <v>833</v>
      </c>
      <c r="R34" s="290" t="s">
        <v>43</v>
      </c>
      <c r="S34" s="415">
        <v>0.95</v>
      </c>
      <c r="T34" s="317">
        <v>0.999</v>
      </c>
      <c r="U34" s="287" t="s">
        <v>581</v>
      </c>
      <c r="V34" s="287" t="s">
        <v>581</v>
      </c>
      <c r="W34" s="287" t="s">
        <v>835</v>
      </c>
      <c r="X34" s="308">
        <v>0</v>
      </c>
      <c r="Y34" s="293" t="s">
        <v>1083</v>
      </c>
      <c r="Z34" s="281" t="s">
        <v>577</v>
      </c>
      <c r="AA34" s="294" t="s">
        <v>1055</v>
      </c>
      <c r="AB34" s="295" t="s">
        <v>1022</v>
      </c>
      <c r="AC34" s="296" t="s">
        <v>43</v>
      </c>
      <c r="AD34" s="319">
        <v>0.6</v>
      </c>
      <c r="AE34" s="319">
        <v>0.9</v>
      </c>
      <c r="AF34" s="287" t="s">
        <v>581</v>
      </c>
      <c r="AG34" s="287" t="s">
        <v>581</v>
      </c>
      <c r="AH34" s="298" t="s">
        <v>1023</v>
      </c>
      <c r="AI34" s="308">
        <v>0</v>
      </c>
      <c r="AJ34" s="299" t="s">
        <v>1244</v>
      </c>
      <c r="AK34" s="281" t="s">
        <v>577</v>
      </c>
      <c r="AL34" s="301" t="s">
        <v>1245</v>
      </c>
      <c r="AM34" s="302" t="s">
        <v>504</v>
      </c>
      <c r="AN34" s="303" t="s">
        <v>43</v>
      </c>
      <c r="AO34" s="304">
        <v>0.1</v>
      </c>
      <c r="AP34" s="305">
        <v>0.5</v>
      </c>
      <c r="AQ34" s="287" t="s">
        <v>581</v>
      </c>
      <c r="AR34" s="287" t="s">
        <v>581</v>
      </c>
      <c r="AS34" s="306" t="s">
        <v>1246</v>
      </c>
      <c r="AT34" s="308">
        <v>0</v>
      </c>
      <c r="AU34" s="299" t="s">
        <v>1643</v>
      </c>
      <c r="AV34" s="281" t="s">
        <v>577</v>
      </c>
      <c r="AW34" s="301" t="s">
        <v>1437</v>
      </c>
      <c r="AX34" s="302" t="s">
        <v>1436</v>
      </c>
      <c r="AY34" s="303" t="s">
        <v>582</v>
      </c>
      <c r="AZ34" s="304">
        <v>0.25</v>
      </c>
      <c r="BA34" s="305">
        <v>0.05</v>
      </c>
      <c r="BB34" s="287" t="s">
        <v>581</v>
      </c>
      <c r="BC34" s="287" t="s">
        <v>581</v>
      </c>
      <c r="BD34" s="306" t="s">
        <v>1633</v>
      </c>
      <c r="BE34" s="308">
        <v>0</v>
      </c>
      <c r="BF34" s="309" t="s">
        <v>1599</v>
      </c>
      <c r="BG34" s="281" t="s">
        <v>577</v>
      </c>
      <c r="BH34" s="301" t="s">
        <v>1601</v>
      </c>
      <c r="BI34" s="310" t="s">
        <v>1600</v>
      </c>
      <c r="BJ34" s="311" t="s">
        <v>43</v>
      </c>
      <c r="BK34" s="307">
        <v>1</v>
      </c>
      <c r="BL34" s="312">
        <v>1</v>
      </c>
      <c r="BM34" s="287" t="s">
        <v>581</v>
      </c>
      <c r="BN34" s="287" t="s">
        <v>581</v>
      </c>
      <c r="BO34" s="313" t="s">
        <v>1602</v>
      </c>
      <c r="BP34" s="308">
        <v>0</v>
      </c>
      <c r="BQ34" s="299" t="s">
        <v>1818</v>
      </c>
      <c r="BR34" s="281" t="s">
        <v>577</v>
      </c>
      <c r="BS34" s="301" t="s">
        <v>1820</v>
      </c>
      <c r="BT34" s="310" t="s">
        <v>1819</v>
      </c>
      <c r="BU34" s="311" t="s">
        <v>43</v>
      </c>
      <c r="BV34" s="307">
        <v>0</v>
      </c>
      <c r="BW34" s="300">
        <v>1</v>
      </c>
      <c r="BX34" s="287" t="s">
        <v>581</v>
      </c>
      <c r="BY34" s="287" t="s">
        <v>581</v>
      </c>
      <c r="BZ34" s="313" t="s">
        <v>1821</v>
      </c>
      <c r="CA34" s="308">
        <v>0</v>
      </c>
    </row>
    <row r="35" spans="1:79">
      <c r="A35" s="506" t="s">
        <v>2149</v>
      </c>
      <c r="B35" s="355" t="s">
        <v>627</v>
      </c>
      <c r="C35" s="281" t="s">
        <v>578</v>
      </c>
      <c r="D35" s="315" t="s">
        <v>640</v>
      </c>
      <c r="E35" s="289" t="s">
        <v>649</v>
      </c>
      <c r="F35" s="290" t="s">
        <v>43</v>
      </c>
      <c r="G35" s="287">
        <v>7.2</v>
      </c>
      <c r="H35" s="287">
        <v>0</v>
      </c>
      <c r="I35" s="287">
        <v>100</v>
      </c>
      <c r="J35" s="287" t="s">
        <v>581</v>
      </c>
      <c r="K35" s="287" t="s">
        <v>581</v>
      </c>
      <c r="L35" s="287" t="s">
        <v>757</v>
      </c>
      <c r="M35" s="510">
        <f>MAX(0,MIN(1,(G35-H35)/(Octave_1_KPIs[[#This Row],[Healthy_Min]]-Octave_1_KPIs[[#This Row],[Target_Min]])))</f>
        <v>7.2000000000000008E-2</v>
      </c>
      <c r="N35" s="286" t="s">
        <v>832</v>
      </c>
      <c r="O35" s="281" t="s">
        <v>578</v>
      </c>
      <c r="P35" s="288" t="s">
        <v>837</v>
      </c>
      <c r="Q35" s="289" t="s">
        <v>836</v>
      </c>
      <c r="R35" s="290" t="s">
        <v>43</v>
      </c>
      <c r="S35" s="415">
        <v>0.7</v>
      </c>
      <c r="T35" s="317">
        <v>0.95</v>
      </c>
      <c r="U35" s="287" t="s">
        <v>581</v>
      </c>
      <c r="V35" s="287" t="s">
        <v>581</v>
      </c>
      <c r="W35" s="287" t="s">
        <v>838</v>
      </c>
      <c r="X35" s="308">
        <v>0</v>
      </c>
      <c r="Y35" s="293" t="s">
        <v>1083</v>
      </c>
      <c r="Z35" s="281" t="s">
        <v>578</v>
      </c>
      <c r="AA35" s="294" t="s">
        <v>1024</v>
      </c>
      <c r="AB35" s="295" t="s">
        <v>503</v>
      </c>
      <c r="AC35" s="296" t="s">
        <v>43</v>
      </c>
      <c r="AD35" s="318">
        <v>0</v>
      </c>
      <c r="AE35" s="318">
        <v>50</v>
      </c>
      <c r="AF35" s="287" t="s">
        <v>581</v>
      </c>
      <c r="AG35" s="287" t="s">
        <v>581</v>
      </c>
      <c r="AH35" s="298" t="s">
        <v>1025</v>
      </c>
      <c r="AI35" s="308">
        <v>0</v>
      </c>
      <c r="AJ35" s="299" t="s">
        <v>1244</v>
      </c>
      <c r="AK35" s="281" t="s">
        <v>578</v>
      </c>
      <c r="AL35" s="301" t="s">
        <v>1248</v>
      </c>
      <c r="AM35" s="302" t="s">
        <v>1247</v>
      </c>
      <c r="AN35" s="303" t="s">
        <v>43</v>
      </c>
      <c r="AO35" s="307">
        <v>1</v>
      </c>
      <c r="AP35" s="300">
        <v>4.5</v>
      </c>
      <c r="AQ35" s="287" t="s">
        <v>581</v>
      </c>
      <c r="AR35" s="287" t="s">
        <v>581</v>
      </c>
      <c r="AS35" s="306" t="s">
        <v>1249</v>
      </c>
      <c r="AT35" s="308">
        <v>0</v>
      </c>
      <c r="AU35" s="299" t="s">
        <v>1643</v>
      </c>
      <c r="AV35" s="281" t="s">
        <v>578</v>
      </c>
      <c r="AW35" s="301" t="s">
        <v>1634</v>
      </c>
      <c r="AX35" s="302" t="s">
        <v>1438</v>
      </c>
      <c r="AY35" s="303" t="s">
        <v>43</v>
      </c>
      <c r="AZ35" s="307">
        <v>1</v>
      </c>
      <c r="BA35" s="300">
        <v>4.5</v>
      </c>
      <c r="BB35" s="287" t="s">
        <v>581</v>
      </c>
      <c r="BC35" s="287" t="s">
        <v>581</v>
      </c>
      <c r="BD35" s="306" t="s">
        <v>1635</v>
      </c>
      <c r="BE35" s="308">
        <v>0</v>
      </c>
      <c r="BF35" s="309" t="s">
        <v>1599</v>
      </c>
      <c r="BG35" s="281" t="s">
        <v>578</v>
      </c>
      <c r="BH35" s="301" t="s">
        <v>1604</v>
      </c>
      <c r="BI35" s="310" t="s">
        <v>1603</v>
      </c>
      <c r="BJ35" s="311" t="s">
        <v>43</v>
      </c>
      <c r="BK35" s="307">
        <v>1</v>
      </c>
      <c r="BL35" s="300">
        <v>4.5</v>
      </c>
      <c r="BM35" s="287" t="s">
        <v>581</v>
      </c>
      <c r="BN35" s="287" t="s">
        <v>581</v>
      </c>
      <c r="BO35" s="313" t="s">
        <v>1605</v>
      </c>
      <c r="BP35" s="308">
        <v>0</v>
      </c>
      <c r="BQ35" s="299" t="s">
        <v>1818</v>
      </c>
      <c r="BR35" s="281" t="s">
        <v>578</v>
      </c>
      <c r="BS35" s="301" t="s">
        <v>1823</v>
      </c>
      <c r="BT35" s="310" t="s">
        <v>1822</v>
      </c>
      <c r="BU35" s="311" t="s">
        <v>43</v>
      </c>
      <c r="BV35" s="307">
        <v>1</v>
      </c>
      <c r="BW35" s="300">
        <v>4.8</v>
      </c>
      <c r="BX35" s="287" t="s">
        <v>581</v>
      </c>
      <c r="BY35" s="287" t="s">
        <v>581</v>
      </c>
      <c r="BZ35" s="313" t="s">
        <v>1824</v>
      </c>
      <c r="CA35" s="308">
        <v>0</v>
      </c>
    </row>
    <row r="36" spans="1:79">
      <c r="A36" s="506" t="s">
        <v>2149</v>
      </c>
      <c r="B36" s="355" t="s">
        <v>627</v>
      </c>
      <c r="C36" s="281" t="s">
        <v>775</v>
      </c>
      <c r="D36" s="315" t="s">
        <v>641</v>
      </c>
      <c r="E36" s="289" t="s">
        <v>650</v>
      </c>
      <c r="F36" s="290" t="s">
        <v>47</v>
      </c>
      <c r="G36" s="287">
        <v>0</v>
      </c>
      <c r="H36" s="287">
        <v>0</v>
      </c>
      <c r="I36" s="287">
        <v>1</v>
      </c>
      <c r="J36" s="287">
        <v>2</v>
      </c>
      <c r="K36" s="287">
        <v>5</v>
      </c>
      <c r="L36" s="287" t="s">
        <v>758</v>
      </c>
      <c r="M36" s="510">
        <f>IF(AND(Octave_1_KPIs[[#This Row],[Value]] &gt;= Octave_1_KPIs[[#This Row],[Healthy_Min]], Octave_1_KPIs[[#This Row],[Value]] &lt;= Octave_1_KPIs[[#This Row],[Healthy_Max]]), 1, IF(Octave_1_KPIs[[#This Row],[Value]] &lt; Octave_1_KPIs[[#This Row],[Healthy_Min]], MAX(0, (Octave_1_KPIs[[#This Row],[Value]] - Octave_1_KPIs[[#This Row],[Target_Min]]) / (Octave_1_KPIs[[#This Row],[Healthy_Min]] - Octave_1_KPIs[[#This Row],[Target_Min]])), MAX(0, 1 - (Octave_1_KPIs[[#This Row],[Value]] - Octave_1_KPIs[[#This Row],[Healthy_Max]]) / (Octave_1_KPIs[[#This Row],[Absolute_Max]] - Octave_1_KPIs[[#This Row],[Healthy_Max]]))))</f>
        <v>0</v>
      </c>
      <c r="N36" s="286" t="s">
        <v>832</v>
      </c>
      <c r="O36" s="281" t="s">
        <v>775</v>
      </c>
      <c r="P36" s="288" t="s">
        <v>840</v>
      </c>
      <c r="Q36" s="289" t="s">
        <v>839</v>
      </c>
      <c r="R36" s="290" t="s">
        <v>582</v>
      </c>
      <c r="S36" s="418" t="s">
        <v>894</v>
      </c>
      <c r="T36" s="358" t="s">
        <v>897</v>
      </c>
      <c r="U36" s="287" t="s">
        <v>581</v>
      </c>
      <c r="V36" s="287" t="s">
        <v>581</v>
      </c>
      <c r="W36" s="287" t="s">
        <v>841</v>
      </c>
      <c r="X36" s="308">
        <v>0</v>
      </c>
      <c r="Y36" s="293" t="s">
        <v>1083</v>
      </c>
      <c r="Z36" s="281" t="s">
        <v>775</v>
      </c>
      <c r="AA36" s="294" t="s">
        <v>1057</v>
      </c>
      <c r="AB36" s="295" t="s">
        <v>1056</v>
      </c>
      <c r="AC36" s="296" t="s">
        <v>43</v>
      </c>
      <c r="AD36" s="319" t="s">
        <v>895</v>
      </c>
      <c r="AE36" s="319" t="s">
        <v>892</v>
      </c>
      <c r="AF36" s="287" t="s">
        <v>581</v>
      </c>
      <c r="AG36" s="287" t="s">
        <v>581</v>
      </c>
      <c r="AH36" s="298" t="s">
        <v>1058</v>
      </c>
      <c r="AI36" s="308">
        <v>0</v>
      </c>
      <c r="AJ36" s="299" t="s">
        <v>1244</v>
      </c>
      <c r="AK36" s="281" t="s">
        <v>775</v>
      </c>
      <c r="AL36" s="301" t="s">
        <v>1251</v>
      </c>
      <c r="AM36" s="302" t="s">
        <v>1250</v>
      </c>
      <c r="AN36" s="303" t="s">
        <v>47</v>
      </c>
      <c r="AO36" s="307">
        <v>0</v>
      </c>
      <c r="AP36" s="300">
        <v>1</v>
      </c>
      <c r="AQ36" s="300">
        <v>3</v>
      </c>
      <c r="AR36" s="307">
        <v>5</v>
      </c>
      <c r="AS36" s="306" t="s">
        <v>1252</v>
      </c>
      <c r="AT36" s="308">
        <v>0</v>
      </c>
      <c r="AU36" s="299" t="s">
        <v>1643</v>
      </c>
      <c r="AV36" s="281" t="s">
        <v>775</v>
      </c>
      <c r="AW36" s="301" t="s">
        <v>1636</v>
      </c>
      <c r="AX36" s="302" t="s">
        <v>1638</v>
      </c>
      <c r="AY36" s="303" t="s">
        <v>47</v>
      </c>
      <c r="AZ36" s="307">
        <v>0</v>
      </c>
      <c r="BA36" s="312">
        <v>2</v>
      </c>
      <c r="BB36" s="307">
        <v>5</v>
      </c>
      <c r="BC36" s="307">
        <v>10</v>
      </c>
      <c r="BD36" s="306" t="s">
        <v>1637</v>
      </c>
      <c r="BE36" s="308">
        <v>0</v>
      </c>
      <c r="BF36" s="309" t="s">
        <v>1599</v>
      </c>
      <c r="BG36" s="281" t="s">
        <v>775</v>
      </c>
      <c r="BH36" s="301" t="s">
        <v>1607</v>
      </c>
      <c r="BI36" s="310" t="s">
        <v>1606</v>
      </c>
      <c r="BJ36" s="311" t="s">
        <v>47</v>
      </c>
      <c r="BK36" s="307">
        <v>0</v>
      </c>
      <c r="BL36" s="300">
        <v>1</v>
      </c>
      <c r="BM36" s="307">
        <v>3</v>
      </c>
      <c r="BN36" s="307">
        <v>5</v>
      </c>
      <c r="BO36" s="313" t="s">
        <v>1608</v>
      </c>
      <c r="BP36" s="308">
        <v>0</v>
      </c>
      <c r="BQ36" s="299" t="s">
        <v>1818</v>
      </c>
      <c r="BR36" s="281" t="s">
        <v>775</v>
      </c>
      <c r="BS36" s="301" t="s">
        <v>1826</v>
      </c>
      <c r="BT36" s="310" t="s">
        <v>1825</v>
      </c>
      <c r="BU36" s="311" t="s">
        <v>43</v>
      </c>
      <c r="BV36" s="307" t="s">
        <v>895</v>
      </c>
      <c r="BW36" s="300" t="s">
        <v>892</v>
      </c>
      <c r="BX36" s="287" t="s">
        <v>581</v>
      </c>
      <c r="BY36" s="287" t="s">
        <v>581</v>
      </c>
      <c r="BZ36" s="313" t="s">
        <v>1827</v>
      </c>
      <c r="CA36" s="308">
        <v>0</v>
      </c>
    </row>
    <row r="37" spans="1:79">
      <c r="A37" s="506" t="s">
        <v>2149</v>
      </c>
      <c r="B37" s="355" t="s">
        <v>627</v>
      </c>
      <c r="C37" s="281" t="s">
        <v>579</v>
      </c>
      <c r="D37" s="315" t="s">
        <v>595</v>
      </c>
      <c r="E37" s="289" t="s">
        <v>651</v>
      </c>
      <c r="F37" s="290" t="s">
        <v>43</v>
      </c>
      <c r="G37" s="287">
        <v>2.5</v>
      </c>
      <c r="H37" s="287">
        <v>1</v>
      </c>
      <c r="I37" s="287">
        <v>4</v>
      </c>
      <c r="J37" s="287" t="s">
        <v>581</v>
      </c>
      <c r="K37" s="287" t="s">
        <v>581</v>
      </c>
      <c r="L37" s="287" t="s">
        <v>759</v>
      </c>
      <c r="M37" s="510">
        <f>MAX(0,MIN(1,(G37-H37)/(Octave_1_KPIs[[#This Row],[Healthy_Min]]-Octave_1_KPIs[[#This Row],[Target_Min]])))</f>
        <v>0.5</v>
      </c>
      <c r="N37" s="286" t="s">
        <v>832</v>
      </c>
      <c r="O37" s="281" t="s">
        <v>579</v>
      </c>
      <c r="P37" s="288" t="s">
        <v>843</v>
      </c>
      <c r="Q37" s="289" t="s">
        <v>842</v>
      </c>
      <c r="R37" s="290" t="s">
        <v>43</v>
      </c>
      <c r="S37" s="415">
        <v>0.01</v>
      </c>
      <c r="T37" s="317">
        <v>0.05</v>
      </c>
      <c r="U37" s="287" t="s">
        <v>581</v>
      </c>
      <c r="V37" s="287" t="s">
        <v>581</v>
      </c>
      <c r="W37" s="287" t="s">
        <v>844</v>
      </c>
      <c r="X37" s="308">
        <v>0</v>
      </c>
      <c r="Y37" s="293" t="s">
        <v>1083</v>
      </c>
      <c r="Z37" s="281" t="s">
        <v>579</v>
      </c>
      <c r="AA37" s="294" t="s">
        <v>1027</v>
      </c>
      <c r="AB37" s="295" t="s">
        <v>1026</v>
      </c>
      <c r="AC37" s="296" t="s">
        <v>43</v>
      </c>
      <c r="AD37" s="318">
        <v>1</v>
      </c>
      <c r="AE37" s="318">
        <v>4.5</v>
      </c>
      <c r="AF37" s="287" t="s">
        <v>581</v>
      </c>
      <c r="AG37" s="287" t="s">
        <v>581</v>
      </c>
      <c r="AH37" s="298" t="s">
        <v>1059</v>
      </c>
      <c r="AI37" s="308">
        <v>0</v>
      </c>
      <c r="AJ37" s="299" t="s">
        <v>1244</v>
      </c>
      <c r="AK37" s="281" t="s">
        <v>579</v>
      </c>
      <c r="AL37" s="301" t="s">
        <v>1254</v>
      </c>
      <c r="AM37" s="302" t="s">
        <v>1253</v>
      </c>
      <c r="AN37" s="303" t="s">
        <v>43</v>
      </c>
      <c r="AO37" s="307">
        <v>1</v>
      </c>
      <c r="AP37" s="300">
        <v>4.8</v>
      </c>
      <c r="AQ37" s="287" t="s">
        <v>581</v>
      </c>
      <c r="AR37" s="287" t="s">
        <v>581</v>
      </c>
      <c r="AS37" s="306" t="s">
        <v>1255</v>
      </c>
      <c r="AT37" s="308">
        <v>0</v>
      </c>
      <c r="AU37" s="299" t="s">
        <v>1643</v>
      </c>
      <c r="AV37" s="281" t="s">
        <v>579</v>
      </c>
      <c r="AW37" s="301" t="s">
        <v>1639</v>
      </c>
      <c r="AX37" s="302" t="s">
        <v>1439</v>
      </c>
      <c r="AY37" s="303" t="s">
        <v>43</v>
      </c>
      <c r="AZ37" s="307">
        <v>1</v>
      </c>
      <c r="BA37" s="300">
        <v>4.5</v>
      </c>
      <c r="BB37" s="287" t="s">
        <v>581</v>
      </c>
      <c r="BC37" s="287" t="s">
        <v>581</v>
      </c>
      <c r="BD37" s="306" t="s">
        <v>1640</v>
      </c>
      <c r="BE37" s="308">
        <v>0</v>
      </c>
      <c r="BF37" s="309" t="s">
        <v>1599</v>
      </c>
      <c r="BG37" s="281" t="s">
        <v>579</v>
      </c>
      <c r="BH37" s="301" t="s">
        <v>1610</v>
      </c>
      <c r="BI37" s="310" t="s">
        <v>1609</v>
      </c>
      <c r="BJ37" s="311" t="s">
        <v>43</v>
      </c>
      <c r="BK37" s="307">
        <v>1</v>
      </c>
      <c r="BL37" s="300">
        <v>5</v>
      </c>
      <c r="BM37" s="287" t="s">
        <v>581</v>
      </c>
      <c r="BN37" s="287" t="s">
        <v>581</v>
      </c>
      <c r="BO37" s="313" t="s">
        <v>1611</v>
      </c>
      <c r="BP37" s="308">
        <v>0</v>
      </c>
      <c r="BQ37" s="299" t="s">
        <v>1818</v>
      </c>
      <c r="BR37" s="281" t="s">
        <v>579</v>
      </c>
      <c r="BS37" s="301" t="s">
        <v>1829</v>
      </c>
      <c r="BT37" s="310" t="s">
        <v>1828</v>
      </c>
      <c r="BU37" s="311" t="s">
        <v>43</v>
      </c>
      <c r="BV37" s="307">
        <v>1</v>
      </c>
      <c r="BW37" s="300">
        <v>4.5</v>
      </c>
      <c r="BX37" s="287" t="s">
        <v>581</v>
      </c>
      <c r="BY37" s="287" t="s">
        <v>581</v>
      </c>
      <c r="BZ37" s="313" t="s">
        <v>1850</v>
      </c>
      <c r="CA37" s="308">
        <v>0</v>
      </c>
    </row>
    <row r="38" spans="1:79">
      <c r="A38" s="506" t="s">
        <v>2149</v>
      </c>
      <c r="B38" s="355" t="s">
        <v>627</v>
      </c>
      <c r="C38" s="281" t="s">
        <v>580</v>
      </c>
      <c r="D38" s="315" t="s">
        <v>642</v>
      </c>
      <c r="E38" s="289" t="s">
        <v>652</v>
      </c>
      <c r="F38" s="290" t="s">
        <v>43</v>
      </c>
      <c r="G38" s="287">
        <v>4.5</v>
      </c>
      <c r="H38" s="287">
        <v>1</v>
      </c>
      <c r="I38" s="287">
        <v>4.5</v>
      </c>
      <c r="J38" s="287" t="s">
        <v>581</v>
      </c>
      <c r="K38" s="287" t="s">
        <v>581</v>
      </c>
      <c r="L38" s="287" t="s">
        <v>760</v>
      </c>
      <c r="M38" s="510">
        <f>MAX(0,MIN(1,(G38-H38)/(Octave_1_KPIs[[#This Row],[Healthy_Min]]-Octave_1_KPIs[[#This Row],[Target_Min]])))</f>
        <v>1</v>
      </c>
      <c r="N38" s="286" t="s">
        <v>832</v>
      </c>
      <c r="O38" s="281" t="s">
        <v>580</v>
      </c>
      <c r="P38" s="288" t="s">
        <v>845</v>
      </c>
      <c r="Q38" s="289" t="s">
        <v>503</v>
      </c>
      <c r="R38" s="290" t="s">
        <v>43</v>
      </c>
      <c r="S38" s="318">
        <v>0</v>
      </c>
      <c r="T38" s="287">
        <v>50</v>
      </c>
      <c r="U38" s="287" t="s">
        <v>581</v>
      </c>
      <c r="V38" s="287" t="s">
        <v>581</v>
      </c>
      <c r="W38" s="287" t="s">
        <v>846</v>
      </c>
      <c r="X38" s="308">
        <v>0</v>
      </c>
      <c r="Y38" s="293" t="s">
        <v>1083</v>
      </c>
      <c r="Z38" s="281" t="s">
        <v>580</v>
      </c>
      <c r="AA38" s="294" t="s">
        <v>1028</v>
      </c>
      <c r="AB38" s="295" t="s">
        <v>1060</v>
      </c>
      <c r="AC38" s="296" t="s">
        <v>43</v>
      </c>
      <c r="AD38" s="318">
        <v>1</v>
      </c>
      <c r="AE38" s="318">
        <v>4.5</v>
      </c>
      <c r="AF38" s="287" t="s">
        <v>581</v>
      </c>
      <c r="AG38" s="287" t="s">
        <v>581</v>
      </c>
      <c r="AH38" s="298" t="s">
        <v>1029</v>
      </c>
      <c r="AI38" s="308">
        <v>0</v>
      </c>
      <c r="AJ38" s="299" t="s">
        <v>1244</v>
      </c>
      <c r="AK38" s="281" t="s">
        <v>580</v>
      </c>
      <c r="AL38" s="301" t="s">
        <v>1257</v>
      </c>
      <c r="AM38" s="302" t="s">
        <v>1256</v>
      </c>
      <c r="AN38" s="303" t="s">
        <v>43</v>
      </c>
      <c r="AO38" s="307">
        <v>1</v>
      </c>
      <c r="AP38" s="300">
        <v>4.5</v>
      </c>
      <c r="AQ38" s="287" t="s">
        <v>581</v>
      </c>
      <c r="AR38" s="287" t="s">
        <v>581</v>
      </c>
      <c r="AS38" s="306" t="s">
        <v>1258</v>
      </c>
      <c r="AT38" s="308">
        <v>0</v>
      </c>
      <c r="AU38" s="299" t="s">
        <v>1643</v>
      </c>
      <c r="AV38" s="281" t="s">
        <v>580</v>
      </c>
      <c r="AW38" s="301" t="s">
        <v>1641</v>
      </c>
      <c r="AX38" s="302" t="s">
        <v>1440</v>
      </c>
      <c r="AY38" s="303" t="s">
        <v>43</v>
      </c>
      <c r="AZ38" s="307">
        <v>1</v>
      </c>
      <c r="BA38" s="300">
        <v>4.5</v>
      </c>
      <c r="BB38" s="287" t="s">
        <v>581</v>
      </c>
      <c r="BC38" s="287" t="s">
        <v>581</v>
      </c>
      <c r="BD38" s="306" t="s">
        <v>1642</v>
      </c>
      <c r="BE38" s="308">
        <v>0</v>
      </c>
      <c r="BF38" s="309" t="s">
        <v>1599</v>
      </c>
      <c r="BG38" s="281" t="s">
        <v>580</v>
      </c>
      <c r="BH38" s="301" t="s">
        <v>1613</v>
      </c>
      <c r="BI38" s="310" t="s">
        <v>1612</v>
      </c>
      <c r="BJ38" s="311" t="s">
        <v>43</v>
      </c>
      <c r="BK38" s="307">
        <v>1</v>
      </c>
      <c r="BL38" s="300">
        <v>5</v>
      </c>
      <c r="BM38" s="287" t="s">
        <v>581</v>
      </c>
      <c r="BN38" s="287" t="s">
        <v>581</v>
      </c>
      <c r="BO38" s="313" t="s">
        <v>1614</v>
      </c>
      <c r="BP38" s="308">
        <v>0</v>
      </c>
      <c r="BQ38" s="299" t="s">
        <v>1818</v>
      </c>
      <c r="BR38" s="281" t="s">
        <v>580</v>
      </c>
      <c r="BS38" s="301" t="s">
        <v>1831</v>
      </c>
      <c r="BT38" s="310" t="s">
        <v>1830</v>
      </c>
      <c r="BU38" s="311" t="s">
        <v>43</v>
      </c>
      <c r="BV38" s="307">
        <v>1</v>
      </c>
      <c r="BW38" s="300">
        <v>5</v>
      </c>
      <c r="BX38" s="287" t="s">
        <v>581</v>
      </c>
      <c r="BY38" s="287" t="s">
        <v>581</v>
      </c>
      <c r="BZ38" s="313" t="s">
        <v>1832</v>
      </c>
      <c r="CA38" s="308">
        <v>0</v>
      </c>
    </row>
    <row r="39" spans="1:79">
      <c r="A39" s="506" t="s">
        <v>2150</v>
      </c>
      <c r="B39" s="320" t="s">
        <v>628</v>
      </c>
      <c r="C39" s="281" t="s">
        <v>577</v>
      </c>
      <c r="D39" s="321" t="s">
        <v>643</v>
      </c>
      <c r="E39" s="322" t="s">
        <v>653</v>
      </c>
      <c r="F39" s="412" t="s">
        <v>43</v>
      </c>
      <c r="G39" s="323">
        <v>2</v>
      </c>
      <c r="H39" s="323">
        <v>0</v>
      </c>
      <c r="I39" s="323">
        <v>3</v>
      </c>
      <c r="J39" s="323" t="s">
        <v>581</v>
      </c>
      <c r="K39" s="323" t="s">
        <v>581</v>
      </c>
      <c r="L39" s="323" t="s">
        <v>761</v>
      </c>
      <c r="M39" s="510">
        <f>MAX(0,MIN(1,(G39-H39)/(Octave_1_KPIs[[#This Row],[Healthy_Min]]-Octave_1_KPIs[[#This Row],[Target_Min]])))</f>
        <v>0.66666666666666663</v>
      </c>
      <c r="N39" s="325" t="s">
        <v>847</v>
      </c>
      <c r="O39" s="281" t="s">
        <v>577</v>
      </c>
      <c r="P39" s="327" t="s">
        <v>849</v>
      </c>
      <c r="Q39" s="328" t="s">
        <v>848</v>
      </c>
      <c r="R39" s="329" t="s">
        <v>43</v>
      </c>
      <c r="S39" s="417">
        <v>0</v>
      </c>
      <c r="T39" s="357">
        <v>1</v>
      </c>
      <c r="U39" s="326" t="s">
        <v>581</v>
      </c>
      <c r="V39" s="326" t="s">
        <v>581</v>
      </c>
      <c r="W39" s="326" t="s">
        <v>850</v>
      </c>
      <c r="X39" s="308">
        <v>0</v>
      </c>
      <c r="Y39" s="331" t="s">
        <v>1030</v>
      </c>
      <c r="Z39" s="281" t="s">
        <v>577</v>
      </c>
      <c r="AA39" s="332" t="s">
        <v>1062</v>
      </c>
      <c r="AB39" s="333" t="s">
        <v>1061</v>
      </c>
      <c r="AC39" s="334" t="s">
        <v>43</v>
      </c>
      <c r="AD39" s="335" t="s">
        <v>1084</v>
      </c>
      <c r="AE39" s="335" t="s">
        <v>1085</v>
      </c>
      <c r="AF39" s="326" t="s">
        <v>581</v>
      </c>
      <c r="AG39" s="326" t="s">
        <v>581</v>
      </c>
      <c r="AH39" s="336" t="s">
        <v>1063</v>
      </c>
      <c r="AI39" s="308">
        <v>0</v>
      </c>
      <c r="AJ39" s="331" t="s">
        <v>1259</v>
      </c>
      <c r="AK39" s="281" t="s">
        <v>577</v>
      </c>
      <c r="AL39" s="332" t="s">
        <v>1261</v>
      </c>
      <c r="AM39" s="333" t="s">
        <v>1260</v>
      </c>
      <c r="AN39" s="334" t="s">
        <v>43</v>
      </c>
      <c r="AO39" s="335">
        <v>0</v>
      </c>
      <c r="AP39" s="337">
        <v>1</v>
      </c>
      <c r="AQ39" s="326" t="s">
        <v>581</v>
      </c>
      <c r="AR39" s="326" t="s">
        <v>581</v>
      </c>
      <c r="AS39" s="338" t="s">
        <v>1262</v>
      </c>
      <c r="AT39" s="308">
        <v>0</v>
      </c>
      <c r="AU39" s="359" t="s">
        <v>1441</v>
      </c>
      <c r="AV39" s="281" t="s">
        <v>577</v>
      </c>
      <c r="AW39" s="360" t="s">
        <v>1443</v>
      </c>
      <c r="AX39" s="339" t="s">
        <v>1442</v>
      </c>
      <c r="AY39" s="340" t="s">
        <v>43</v>
      </c>
      <c r="AZ39" s="335">
        <v>1</v>
      </c>
      <c r="BA39" s="337">
        <v>4.5</v>
      </c>
      <c r="BB39" s="326" t="s">
        <v>581</v>
      </c>
      <c r="BC39" s="326" t="s">
        <v>581</v>
      </c>
      <c r="BD39" s="341" t="s">
        <v>1444</v>
      </c>
      <c r="BE39" s="308">
        <v>0</v>
      </c>
      <c r="BF39" s="342" t="s">
        <v>1615</v>
      </c>
      <c r="BG39" s="281" t="s">
        <v>577</v>
      </c>
      <c r="BH39" s="343" t="s">
        <v>1617</v>
      </c>
      <c r="BI39" s="344" t="s">
        <v>1616</v>
      </c>
      <c r="BJ39" s="345" t="s">
        <v>43</v>
      </c>
      <c r="BK39" s="335">
        <v>1</v>
      </c>
      <c r="BL39" s="337">
        <v>4.5</v>
      </c>
      <c r="BM39" s="326" t="s">
        <v>581</v>
      </c>
      <c r="BN39" s="326" t="s">
        <v>581</v>
      </c>
      <c r="BO39" s="347" t="s">
        <v>1618</v>
      </c>
      <c r="BP39" s="308">
        <v>0</v>
      </c>
      <c r="BQ39" s="331" t="s">
        <v>1833</v>
      </c>
      <c r="BR39" s="281" t="s">
        <v>577</v>
      </c>
      <c r="BS39" s="332" t="s">
        <v>1835</v>
      </c>
      <c r="BT39" s="348" t="s">
        <v>1834</v>
      </c>
      <c r="BU39" s="361" t="s">
        <v>43</v>
      </c>
      <c r="BV39" s="335">
        <v>1</v>
      </c>
      <c r="BW39" s="337">
        <v>4.8</v>
      </c>
      <c r="BX39" s="326" t="s">
        <v>581</v>
      </c>
      <c r="BY39" s="326" t="s">
        <v>581</v>
      </c>
      <c r="BZ39" s="350" t="s">
        <v>1836</v>
      </c>
      <c r="CA39" s="308">
        <v>0</v>
      </c>
    </row>
    <row r="40" spans="1:79">
      <c r="A40" s="506" t="s">
        <v>2150</v>
      </c>
      <c r="B40" s="320" t="s">
        <v>628</v>
      </c>
      <c r="C40" s="281" t="s">
        <v>578</v>
      </c>
      <c r="D40" s="321" t="s">
        <v>644</v>
      </c>
      <c r="E40" s="322" t="s">
        <v>654</v>
      </c>
      <c r="F40" s="412" t="s">
        <v>47</v>
      </c>
      <c r="G40" s="323">
        <v>1</v>
      </c>
      <c r="H40" s="323">
        <v>0</v>
      </c>
      <c r="I40" s="323">
        <v>2</v>
      </c>
      <c r="J40" s="323">
        <v>4</v>
      </c>
      <c r="K40" s="323">
        <v>4</v>
      </c>
      <c r="L40" s="323" t="s">
        <v>762</v>
      </c>
      <c r="M40" s="510">
        <f>IF(AND(Octave_1_KPIs[[#This Row],[Value]] &gt;= Octave_1_KPIs[[#This Row],[Healthy_Min]], Octave_1_KPIs[[#This Row],[Value]] &lt;= Octave_1_KPIs[[#This Row],[Healthy_Max]]), 1, IF(Octave_1_KPIs[[#This Row],[Value]] &lt; Octave_1_KPIs[[#This Row],[Healthy_Min]], MAX(0, (Octave_1_KPIs[[#This Row],[Value]] - Octave_1_KPIs[[#This Row],[Target_Min]]) / (Octave_1_KPIs[[#This Row],[Healthy_Min]] - Octave_1_KPIs[[#This Row],[Target_Min]])), MAX(0, 1 - (Octave_1_KPIs[[#This Row],[Value]] - Octave_1_KPIs[[#This Row],[Healthy_Max]]) / (Octave_1_KPIs[[#This Row],[Absolute_Max]] - Octave_1_KPIs[[#This Row],[Healthy_Max]]))))</f>
        <v>0.5</v>
      </c>
      <c r="N40" s="325" t="s">
        <v>847</v>
      </c>
      <c r="O40" s="281" t="s">
        <v>578</v>
      </c>
      <c r="P40" s="327" t="s">
        <v>852</v>
      </c>
      <c r="Q40" s="328" t="s">
        <v>851</v>
      </c>
      <c r="R40" s="329" t="s">
        <v>47</v>
      </c>
      <c r="S40" s="335">
        <v>0</v>
      </c>
      <c r="T40" s="330">
        <v>1</v>
      </c>
      <c r="U40" s="335">
        <v>4</v>
      </c>
      <c r="V40" s="335">
        <v>8</v>
      </c>
      <c r="W40" s="326" t="s">
        <v>853</v>
      </c>
      <c r="X40" s="308">
        <v>0</v>
      </c>
      <c r="Y40" s="331" t="s">
        <v>1030</v>
      </c>
      <c r="Z40" s="281" t="s">
        <v>578</v>
      </c>
      <c r="AA40" s="332" t="s">
        <v>1032</v>
      </c>
      <c r="AB40" s="333" t="s">
        <v>1031</v>
      </c>
      <c r="AC40" s="334" t="s">
        <v>43</v>
      </c>
      <c r="AD40" s="335">
        <v>1</v>
      </c>
      <c r="AE40" s="335">
        <v>4.5</v>
      </c>
      <c r="AF40" s="326" t="s">
        <v>581</v>
      </c>
      <c r="AG40" s="326" t="s">
        <v>581</v>
      </c>
      <c r="AH40" s="336" t="s">
        <v>1033</v>
      </c>
      <c r="AI40" s="308">
        <v>0</v>
      </c>
      <c r="AJ40" s="331" t="s">
        <v>1259</v>
      </c>
      <c r="AK40" s="281" t="s">
        <v>578</v>
      </c>
      <c r="AL40" s="332" t="s">
        <v>1264</v>
      </c>
      <c r="AM40" s="333" t="s">
        <v>1263</v>
      </c>
      <c r="AN40" s="334" t="s">
        <v>43</v>
      </c>
      <c r="AO40" s="335">
        <v>1</v>
      </c>
      <c r="AP40" s="337">
        <v>4</v>
      </c>
      <c r="AQ40" s="326" t="s">
        <v>581</v>
      </c>
      <c r="AR40" s="326" t="s">
        <v>581</v>
      </c>
      <c r="AS40" s="338" t="s">
        <v>1265</v>
      </c>
      <c r="AT40" s="308">
        <v>0</v>
      </c>
      <c r="AU40" s="359" t="s">
        <v>1441</v>
      </c>
      <c r="AV40" s="281" t="s">
        <v>578</v>
      </c>
      <c r="AW40" s="360" t="s">
        <v>1446</v>
      </c>
      <c r="AX40" s="339" t="s">
        <v>1445</v>
      </c>
      <c r="AY40" s="340" t="s">
        <v>43</v>
      </c>
      <c r="AZ40" s="335" t="s">
        <v>895</v>
      </c>
      <c r="BA40" s="337" t="s">
        <v>892</v>
      </c>
      <c r="BB40" s="326" t="s">
        <v>581</v>
      </c>
      <c r="BC40" s="326" t="s">
        <v>581</v>
      </c>
      <c r="BD40" s="341" t="s">
        <v>1535</v>
      </c>
      <c r="BE40" s="308">
        <v>0</v>
      </c>
      <c r="BF40" s="342" t="s">
        <v>1615</v>
      </c>
      <c r="BG40" s="281" t="s">
        <v>578</v>
      </c>
      <c r="BH40" s="343" t="s">
        <v>1620</v>
      </c>
      <c r="BI40" s="344" t="s">
        <v>1619</v>
      </c>
      <c r="BJ40" s="345" t="s">
        <v>43</v>
      </c>
      <c r="BK40" s="335">
        <v>1</v>
      </c>
      <c r="BL40" s="337">
        <v>4.5</v>
      </c>
      <c r="BM40" s="326" t="s">
        <v>581</v>
      </c>
      <c r="BN40" s="326" t="s">
        <v>581</v>
      </c>
      <c r="BO40" s="347" t="s">
        <v>1621</v>
      </c>
      <c r="BP40" s="308">
        <v>0</v>
      </c>
      <c r="BQ40" s="331" t="s">
        <v>1833</v>
      </c>
      <c r="BR40" s="281" t="s">
        <v>578</v>
      </c>
      <c r="BS40" s="332" t="s">
        <v>1838</v>
      </c>
      <c r="BT40" s="348" t="s">
        <v>1837</v>
      </c>
      <c r="BU40" s="361" t="s">
        <v>43</v>
      </c>
      <c r="BV40" s="335">
        <v>1</v>
      </c>
      <c r="BW40" s="337">
        <v>4.5</v>
      </c>
      <c r="BX40" s="326" t="s">
        <v>581</v>
      </c>
      <c r="BY40" s="326" t="s">
        <v>581</v>
      </c>
      <c r="BZ40" s="350" t="s">
        <v>1839</v>
      </c>
      <c r="CA40" s="308">
        <v>0</v>
      </c>
    </row>
    <row r="41" spans="1:79">
      <c r="A41" s="506" t="s">
        <v>2150</v>
      </c>
      <c r="B41" s="320" t="s">
        <v>628</v>
      </c>
      <c r="C41" s="281" t="s">
        <v>775</v>
      </c>
      <c r="D41" s="321" t="s">
        <v>645</v>
      </c>
      <c r="E41" s="322" t="s">
        <v>655</v>
      </c>
      <c r="F41" s="412" t="s">
        <v>43</v>
      </c>
      <c r="G41" s="323">
        <v>0</v>
      </c>
      <c r="H41" s="323">
        <v>0</v>
      </c>
      <c r="I41" s="323">
        <v>1</v>
      </c>
      <c r="J41" s="323" t="s">
        <v>581</v>
      </c>
      <c r="K41" s="323" t="s">
        <v>581</v>
      </c>
      <c r="L41" s="323" t="s">
        <v>763</v>
      </c>
      <c r="M41" s="510">
        <f>MAX(0,MIN(1,(G41-H41)/(Octave_1_KPIs[[#This Row],[Healthy_Min]]-Octave_1_KPIs[[#This Row],[Target_Min]])))</f>
        <v>0</v>
      </c>
      <c r="N41" s="325" t="s">
        <v>847</v>
      </c>
      <c r="O41" s="281" t="s">
        <v>775</v>
      </c>
      <c r="P41" s="327" t="s">
        <v>855</v>
      </c>
      <c r="Q41" s="328" t="s">
        <v>854</v>
      </c>
      <c r="R41" s="329" t="s">
        <v>47</v>
      </c>
      <c r="S41" s="335">
        <v>0</v>
      </c>
      <c r="T41" s="330">
        <v>1</v>
      </c>
      <c r="U41" s="335">
        <v>3</v>
      </c>
      <c r="V41" s="335">
        <v>5</v>
      </c>
      <c r="W41" s="326" t="s">
        <v>856</v>
      </c>
      <c r="X41" s="308">
        <v>0</v>
      </c>
      <c r="Y41" s="331" t="s">
        <v>1030</v>
      </c>
      <c r="Z41" s="281" t="s">
        <v>775</v>
      </c>
      <c r="AA41" s="332" t="s">
        <v>1064</v>
      </c>
      <c r="AB41" s="333" t="s">
        <v>854</v>
      </c>
      <c r="AC41" s="334" t="s">
        <v>47</v>
      </c>
      <c r="AD41" s="335">
        <v>0</v>
      </c>
      <c r="AE41" s="335">
        <v>1</v>
      </c>
      <c r="AF41" s="335">
        <v>3</v>
      </c>
      <c r="AG41" s="335">
        <v>5</v>
      </c>
      <c r="AH41" s="336" t="s">
        <v>1065</v>
      </c>
      <c r="AI41" s="308">
        <v>0</v>
      </c>
      <c r="AJ41" s="331" t="s">
        <v>1259</v>
      </c>
      <c r="AK41" s="281" t="s">
        <v>775</v>
      </c>
      <c r="AL41" s="332" t="s">
        <v>1267</v>
      </c>
      <c r="AM41" s="333" t="s">
        <v>1266</v>
      </c>
      <c r="AN41" s="334" t="s">
        <v>47</v>
      </c>
      <c r="AO41" s="335">
        <v>0</v>
      </c>
      <c r="AP41" s="337">
        <v>1</v>
      </c>
      <c r="AQ41" s="337">
        <v>2</v>
      </c>
      <c r="AR41" s="335">
        <v>3</v>
      </c>
      <c r="AS41" s="338" t="s">
        <v>1268</v>
      </c>
      <c r="AT41" s="308">
        <v>0</v>
      </c>
      <c r="AU41" s="359" t="s">
        <v>1441</v>
      </c>
      <c r="AV41" s="281" t="s">
        <v>775</v>
      </c>
      <c r="AW41" s="360" t="s">
        <v>1448</v>
      </c>
      <c r="AX41" s="339" t="s">
        <v>1447</v>
      </c>
      <c r="AY41" s="340" t="s">
        <v>47</v>
      </c>
      <c r="AZ41" s="335">
        <v>0</v>
      </c>
      <c r="BA41" s="337">
        <v>2</v>
      </c>
      <c r="BB41" s="335">
        <v>5</v>
      </c>
      <c r="BC41" s="335">
        <v>10</v>
      </c>
      <c r="BD41" s="341" t="s">
        <v>1449</v>
      </c>
      <c r="BE41" s="308">
        <v>0</v>
      </c>
      <c r="BF41" s="342" t="s">
        <v>1615</v>
      </c>
      <c r="BG41" s="281" t="s">
        <v>775</v>
      </c>
      <c r="BH41" s="343" t="s">
        <v>1623</v>
      </c>
      <c r="BI41" s="344" t="s">
        <v>1622</v>
      </c>
      <c r="BJ41" s="345" t="s">
        <v>47</v>
      </c>
      <c r="BK41" s="335">
        <v>0</v>
      </c>
      <c r="BL41" s="337">
        <v>1</v>
      </c>
      <c r="BM41" s="335">
        <v>2</v>
      </c>
      <c r="BN41" s="335">
        <v>3</v>
      </c>
      <c r="BO41" s="347" t="s">
        <v>1624</v>
      </c>
      <c r="BP41" s="308">
        <v>0</v>
      </c>
      <c r="BQ41" s="331" t="s">
        <v>1833</v>
      </c>
      <c r="BR41" s="281" t="s">
        <v>775</v>
      </c>
      <c r="BS41" s="332" t="s">
        <v>1841</v>
      </c>
      <c r="BT41" s="348" t="s">
        <v>1840</v>
      </c>
      <c r="BU41" s="361" t="s">
        <v>43</v>
      </c>
      <c r="BV41" s="335">
        <v>1</v>
      </c>
      <c r="BW41" s="337">
        <v>5</v>
      </c>
      <c r="BX41" s="326" t="s">
        <v>581</v>
      </c>
      <c r="BY41" s="326" t="s">
        <v>581</v>
      </c>
      <c r="BZ41" s="350" t="s">
        <v>1842</v>
      </c>
      <c r="CA41" s="308">
        <v>0</v>
      </c>
    </row>
    <row r="42" spans="1:79">
      <c r="A42" s="506" t="s">
        <v>2150</v>
      </c>
      <c r="B42" s="320" t="s">
        <v>628</v>
      </c>
      <c r="C42" s="281" t="s">
        <v>579</v>
      </c>
      <c r="D42" s="321" t="s">
        <v>646</v>
      </c>
      <c r="E42" s="322" t="s">
        <v>656</v>
      </c>
      <c r="F42" s="412" t="s">
        <v>43</v>
      </c>
      <c r="G42" s="323">
        <v>3</v>
      </c>
      <c r="H42" s="323">
        <v>1</v>
      </c>
      <c r="I42" s="323">
        <v>4.5</v>
      </c>
      <c r="J42" s="323" t="s">
        <v>581</v>
      </c>
      <c r="K42" s="323" t="s">
        <v>581</v>
      </c>
      <c r="L42" s="323" t="s">
        <v>764</v>
      </c>
      <c r="M42" s="510">
        <f>MAX(0,MIN(1,(G42-H42)/(Octave_1_KPIs[[#This Row],[Healthy_Min]]-Octave_1_KPIs[[#This Row],[Target_Min]])))</f>
        <v>0.5714285714285714</v>
      </c>
      <c r="N42" s="325" t="s">
        <v>847</v>
      </c>
      <c r="O42" s="281" t="s">
        <v>579</v>
      </c>
      <c r="P42" s="327" t="s">
        <v>858</v>
      </c>
      <c r="Q42" s="328" t="s">
        <v>857</v>
      </c>
      <c r="R42" s="329" t="s">
        <v>582</v>
      </c>
      <c r="S42" s="335" t="s">
        <v>892</v>
      </c>
      <c r="T42" s="330" t="s">
        <v>895</v>
      </c>
      <c r="U42" s="326" t="s">
        <v>581</v>
      </c>
      <c r="V42" s="326" t="s">
        <v>581</v>
      </c>
      <c r="W42" s="326" t="s">
        <v>859</v>
      </c>
      <c r="X42" s="308">
        <v>0</v>
      </c>
      <c r="Y42" s="331" t="s">
        <v>1030</v>
      </c>
      <c r="Z42" s="281" t="s">
        <v>579</v>
      </c>
      <c r="AA42" s="332" t="s">
        <v>1067</v>
      </c>
      <c r="AB42" s="333" t="s">
        <v>1066</v>
      </c>
      <c r="AC42" s="334" t="s">
        <v>43</v>
      </c>
      <c r="AD42" s="335">
        <v>1</v>
      </c>
      <c r="AE42" s="335">
        <v>4.5</v>
      </c>
      <c r="AF42" s="326" t="s">
        <v>581</v>
      </c>
      <c r="AG42" s="326" t="s">
        <v>581</v>
      </c>
      <c r="AH42" s="336" t="s">
        <v>1034</v>
      </c>
      <c r="AI42" s="308">
        <v>0</v>
      </c>
      <c r="AJ42" s="331" t="s">
        <v>1259</v>
      </c>
      <c r="AK42" s="281" t="s">
        <v>579</v>
      </c>
      <c r="AL42" s="332" t="s">
        <v>1270</v>
      </c>
      <c r="AM42" s="333" t="s">
        <v>1269</v>
      </c>
      <c r="AN42" s="334" t="s">
        <v>43</v>
      </c>
      <c r="AO42" s="335">
        <v>1</v>
      </c>
      <c r="AP42" s="337">
        <v>5</v>
      </c>
      <c r="AQ42" s="326" t="s">
        <v>581</v>
      </c>
      <c r="AR42" s="326" t="s">
        <v>581</v>
      </c>
      <c r="AS42" s="338" t="s">
        <v>1271</v>
      </c>
      <c r="AT42" s="308">
        <v>0</v>
      </c>
      <c r="AU42" s="359" t="s">
        <v>1441</v>
      </c>
      <c r="AV42" s="281" t="s">
        <v>579</v>
      </c>
      <c r="AW42" s="360" t="s">
        <v>1451</v>
      </c>
      <c r="AX42" s="339" t="s">
        <v>1450</v>
      </c>
      <c r="AY42" s="340" t="s">
        <v>43</v>
      </c>
      <c r="AZ42" s="335">
        <v>1</v>
      </c>
      <c r="BA42" s="337">
        <v>4.8</v>
      </c>
      <c r="BB42" s="326" t="s">
        <v>581</v>
      </c>
      <c r="BC42" s="326" t="s">
        <v>581</v>
      </c>
      <c r="BD42" s="341" t="s">
        <v>1452</v>
      </c>
      <c r="BE42" s="308">
        <v>0</v>
      </c>
      <c r="BF42" s="342" t="s">
        <v>1615</v>
      </c>
      <c r="BG42" s="281" t="s">
        <v>579</v>
      </c>
      <c r="BH42" s="343" t="s">
        <v>1626</v>
      </c>
      <c r="BI42" s="344" t="s">
        <v>1625</v>
      </c>
      <c r="BJ42" s="345" t="s">
        <v>43</v>
      </c>
      <c r="BK42" s="335">
        <v>1</v>
      </c>
      <c r="BL42" s="337">
        <v>4.8</v>
      </c>
      <c r="BM42" s="326" t="s">
        <v>581</v>
      </c>
      <c r="BN42" s="326" t="s">
        <v>581</v>
      </c>
      <c r="BO42" s="347" t="s">
        <v>1627</v>
      </c>
      <c r="BP42" s="308">
        <v>0</v>
      </c>
      <c r="BQ42" s="331" t="s">
        <v>1833</v>
      </c>
      <c r="BR42" s="281" t="s">
        <v>579</v>
      </c>
      <c r="BS42" s="332" t="s">
        <v>1844</v>
      </c>
      <c r="BT42" s="348" t="s">
        <v>1843</v>
      </c>
      <c r="BU42" s="361" t="s">
        <v>43</v>
      </c>
      <c r="BV42" s="335">
        <v>1</v>
      </c>
      <c r="BW42" s="337">
        <v>4.5</v>
      </c>
      <c r="BX42" s="326" t="s">
        <v>581</v>
      </c>
      <c r="BY42" s="326" t="s">
        <v>581</v>
      </c>
      <c r="BZ42" s="350" t="s">
        <v>1845</v>
      </c>
      <c r="CA42" s="308">
        <v>0</v>
      </c>
    </row>
    <row r="43" spans="1:79">
      <c r="A43" s="506" t="s">
        <v>2150</v>
      </c>
      <c r="B43" s="320" t="s">
        <v>628</v>
      </c>
      <c r="C43" s="281" t="s">
        <v>580</v>
      </c>
      <c r="D43" s="321" t="s">
        <v>647</v>
      </c>
      <c r="E43" s="322" t="s">
        <v>657</v>
      </c>
      <c r="F43" s="412" t="s">
        <v>43</v>
      </c>
      <c r="G43" s="323">
        <v>2.5</v>
      </c>
      <c r="H43" s="323">
        <v>1</v>
      </c>
      <c r="I43" s="323">
        <v>4.5</v>
      </c>
      <c r="J43" s="323" t="s">
        <v>581</v>
      </c>
      <c r="K43" s="323" t="s">
        <v>581</v>
      </c>
      <c r="L43" s="323" t="s">
        <v>765</v>
      </c>
      <c r="M43" s="510">
        <f>MAX(0,MIN(1,(G43-H43)/(Octave_1_KPIs[[#This Row],[Healthy_Min]]-Octave_1_KPIs[[#This Row],[Target_Min]])))</f>
        <v>0.42857142857142855</v>
      </c>
      <c r="N43" s="325" t="s">
        <v>847</v>
      </c>
      <c r="O43" s="281" t="s">
        <v>580</v>
      </c>
      <c r="P43" s="327" t="s">
        <v>861</v>
      </c>
      <c r="Q43" s="328" t="s">
        <v>860</v>
      </c>
      <c r="R43" s="329" t="s">
        <v>43</v>
      </c>
      <c r="S43" s="335">
        <v>1</v>
      </c>
      <c r="T43" s="330">
        <v>4.5</v>
      </c>
      <c r="U43" s="326" t="s">
        <v>581</v>
      </c>
      <c r="V43" s="326" t="s">
        <v>581</v>
      </c>
      <c r="W43" s="326" t="s">
        <v>862</v>
      </c>
      <c r="X43" s="308">
        <v>0</v>
      </c>
      <c r="Y43" s="331" t="s">
        <v>1030</v>
      </c>
      <c r="Z43" s="281" t="s">
        <v>580</v>
      </c>
      <c r="AA43" s="332" t="s">
        <v>1036</v>
      </c>
      <c r="AB43" s="333" t="s">
        <v>1035</v>
      </c>
      <c r="AC43" s="334" t="s">
        <v>43</v>
      </c>
      <c r="AD43" s="335">
        <v>1</v>
      </c>
      <c r="AE43" s="335">
        <v>4.5</v>
      </c>
      <c r="AF43" s="326" t="s">
        <v>581</v>
      </c>
      <c r="AG43" s="326" t="s">
        <v>581</v>
      </c>
      <c r="AH43" s="336" t="s">
        <v>1037</v>
      </c>
      <c r="AI43" s="308">
        <v>0</v>
      </c>
      <c r="AJ43" s="331" t="s">
        <v>1259</v>
      </c>
      <c r="AK43" s="281" t="s">
        <v>580</v>
      </c>
      <c r="AL43" s="332" t="s">
        <v>1273</v>
      </c>
      <c r="AM43" s="333" t="s">
        <v>1272</v>
      </c>
      <c r="AN43" s="334" t="s">
        <v>43</v>
      </c>
      <c r="AO43" s="335">
        <v>1</v>
      </c>
      <c r="AP43" s="337">
        <v>4.5</v>
      </c>
      <c r="AQ43" s="326" t="s">
        <v>581</v>
      </c>
      <c r="AR43" s="326" t="s">
        <v>581</v>
      </c>
      <c r="AS43" s="338" t="s">
        <v>1274</v>
      </c>
      <c r="AT43" s="308">
        <v>0</v>
      </c>
      <c r="AU43" s="359" t="s">
        <v>1441</v>
      </c>
      <c r="AV43" s="281" t="s">
        <v>580</v>
      </c>
      <c r="AW43" s="360" t="s">
        <v>1454</v>
      </c>
      <c r="AX43" s="339" t="s">
        <v>1453</v>
      </c>
      <c r="AY43" s="340" t="s">
        <v>43</v>
      </c>
      <c r="AZ43" s="335">
        <v>1</v>
      </c>
      <c r="BA43" s="337">
        <v>4</v>
      </c>
      <c r="BB43" s="326" t="s">
        <v>581</v>
      </c>
      <c r="BC43" s="326" t="s">
        <v>581</v>
      </c>
      <c r="BD43" s="341" t="s">
        <v>1455</v>
      </c>
      <c r="BE43" s="308">
        <v>0</v>
      </c>
      <c r="BF43" s="342" t="s">
        <v>1615</v>
      </c>
      <c r="BG43" s="281" t="s">
        <v>580</v>
      </c>
      <c r="BH43" s="343" t="s">
        <v>1629</v>
      </c>
      <c r="BI43" s="344" t="s">
        <v>1628</v>
      </c>
      <c r="BJ43" s="345" t="s">
        <v>43</v>
      </c>
      <c r="BK43" s="335">
        <v>1</v>
      </c>
      <c r="BL43" s="337">
        <v>5</v>
      </c>
      <c r="BM43" s="326" t="s">
        <v>581</v>
      </c>
      <c r="BN43" s="326" t="s">
        <v>581</v>
      </c>
      <c r="BO43" s="347" t="s">
        <v>1630</v>
      </c>
      <c r="BP43" s="308">
        <v>0</v>
      </c>
      <c r="BQ43" s="331" t="s">
        <v>1833</v>
      </c>
      <c r="BR43" s="281" t="s">
        <v>580</v>
      </c>
      <c r="BS43" s="332" t="s">
        <v>1847</v>
      </c>
      <c r="BT43" s="348" t="s">
        <v>1846</v>
      </c>
      <c r="BU43" s="361" t="s">
        <v>43</v>
      </c>
      <c r="BV43" s="335">
        <v>1</v>
      </c>
      <c r="BW43" s="337">
        <v>5</v>
      </c>
      <c r="BX43" s="326" t="s">
        <v>581</v>
      </c>
      <c r="BY43" s="326" t="s">
        <v>581</v>
      </c>
      <c r="BZ43" s="350" t="s">
        <v>1848</v>
      </c>
      <c r="CA43" s="308">
        <v>0</v>
      </c>
    </row>
    <row r="44" spans="1:79">
      <c r="A44" s="506" t="s">
        <v>2151</v>
      </c>
      <c r="B44" s="355" t="s">
        <v>658</v>
      </c>
      <c r="C44" s="281" t="s">
        <v>577</v>
      </c>
      <c r="D44" s="315" t="s">
        <v>659</v>
      </c>
      <c r="E44" s="289" t="s">
        <v>664</v>
      </c>
      <c r="F44" s="290" t="s">
        <v>43</v>
      </c>
      <c r="G44" s="287">
        <v>2</v>
      </c>
      <c r="H44" s="287">
        <v>1</v>
      </c>
      <c r="I44" s="287">
        <v>4.5</v>
      </c>
      <c r="J44" s="287" t="s">
        <v>581</v>
      </c>
      <c r="K44" s="287" t="s">
        <v>581</v>
      </c>
      <c r="L44" s="287" t="s">
        <v>751</v>
      </c>
      <c r="M44" s="510">
        <f>MAX(0,MIN(1,(G44-H44)/(Octave_1_KPIs[[#This Row],[Healthy_Min]]-Octave_1_KPIs[[#This Row],[Target_Min]])))</f>
        <v>0.2857142857142857</v>
      </c>
      <c r="N44" s="293" t="s">
        <v>898</v>
      </c>
      <c r="O44" s="281" t="s">
        <v>577</v>
      </c>
      <c r="P44" s="294" t="s">
        <v>899</v>
      </c>
      <c r="Q44" s="363" t="s">
        <v>506</v>
      </c>
      <c r="R44" s="296" t="s">
        <v>43</v>
      </c>
      <c r="S44" s="318">
        <v>1</v>
      </c>
      <c r="T44" s="364">
        <v>4.5</v>
      </c>
      <c r="U44" s="287" t="s">
        <v>581</v>
      </c>
      <c r="V44" s="287" t="s">
        <v>581</v>
      </c>
      <c r="W44" s="362" t="s">
        <v>900</v>
      </c>
      <c r="X44" s="308">
        <v>0</v>
      </c>
      <c r="Y44" s="419" t="s">
        <v>1087</v>
      </c>
      <c r="Z44" s="281" t="s">
        <v>577</v>
      </c>
      <c r="AA44" s="420" t="s">
        <v>1088</v>
      </c>
      <c r="AB44" s="421" t="s">
        <v>507</v>
      </c>
      <c r="AC44" s="422" t="s">
        <v>43</v>
      </c>
      <c r="AD44" s="423">
        <v>1</v>
      </c>
      <c r="AE44" s="424">
        <v>4.5</v>
      </c>
      <c r="AF44" s="287" t="s">
        <v>581</v>
      </c>
      <c r="AG44" s="287" t="s">
        <v>581</v>
      </c>
      <c r="AH44" s="425" t="s">
        <v>1089</v>
      </c>
      <c r="AI44" s="308">
        <v>0</v>
      </c>
      <c r="AJ44" s="299" t="s">
        <v>1276</v>
      </c>
      <c r="AK44" s="281" t="s">
        <v>577</v>
      </c>
      <c r="AL44" s="301" t="s">
        <v>1278</v>
      </c>
      <c r="AM44" s="302" t="s">
        <v>1277</v>
      </c>
      <c r="AN44" s="303" t="s">
        <v>47</v>
      </c>
      <c r="AO44" s="307">
        <v>0</v>
      </c>
      <c r="AP44" s="300">
        <v>1</v>
      </c>
      <c r="AQ44" s="423">
        <v>3</v>
      </c>
      <c r="AR44" s="307">
        <v>5</v>
      </c>
      <c r="AS44" s="306" t="s">
        <v>1279</v>
      </c>
      <c r="AT44" s="308">
        <v>0</v>
      </c>
      <c r="AU44" s="309" t="s">
        <v>1644</v>
      </c>
      <c r="AV44" s="281" t="s">
        <v>577</v>
      </c>
      <c r="AW44" s="301" t="s">
        <v>1649</v>
      </c>
      <c r="AX44" s="310" t="s">
        <v>385</v>
      </c>
      <c r="AY44" s="311" t="s">
        <v>43</v>
      </c>
      <c r="AZ44" s="307">
        <v>0.5</v>
      </c>
      <c r="BA44" s="312">
        <v>1</v>
      </c>
      <c r="BB44" s="287" t="s">
        <v>581</v>
      </c>
      <c r="BC44" s="287" t="s">
        <v>581</v>
      </c>
      <c r="BD44" s="313" t="s">
        <v>1645</v>
      </c>
      <c r="BE44" s="308">
        <v>0</v>
      </c>
      <c r="BF44" s="309" t="s">
        <v>1658</v>
      </c>
      <c r="BG44" s="281" t="s">
        <v>577</v>
      </c>
      <c r="BH44" s="301" t="s">
        <v>1660</v>
      </c>
      <c r="BI44" s="310" t="s">
        <v>1659</v>
      </c>
      <c r="BJ44" s="311" t="s">
        <v>43</v>
      </c>
      <c r="BK44" s="366">
        <v>1</v>
      </c>
      <c r="BL44" s="300">
        <v>4.8</v>
      </c>
      <c r="BM44" s="287" t="s">
        <v>581</v>
      </c>
      <c r="BN44" s="287" t="s">
        <v>581</v>
      </c>
      <c r="BO44" s="313" t="s">
        <v>1661</v>
      </c>
      <c r="BP44" s="308">
        <v>0</v>
      </c>
      <c r="BQ44" s="309" t="s">
        <v>1851</v>
      </c>
      <c r="BR44" s="281" t="s">
        <v>577</v>
      </c>
      <c r="BS44" s="301" t="s">
        <v>1853</v>
      </c>
      <c r="BT44" s="310" t="s">
        <v>1852</v>
      </c>
      <c r="BU44" s="311" t="s">
        <v>43</v>
      </c>
      <c r="BV44" s="367">
        <v>1</v>
      </c>
      <c r="BW44" s="300">
        <v>5</v>
      </c>
      <c r="BX44" s="287" t="s">
        <v>581</v>
      </c>
      <c r="BY44" s="287" t="s">
        <v>581</v>
      </c>
      <c r="BZ44" s="313" t="s">
        <v>1854</v>
      </c>
      <c r="CA44" s="308">
        <v>0</v>
      </c>
    </row>
    <row r="45" spans="1:79">
      <c r="A45" s="506" t="s">
        <v>2151</v>
      </c>
      <c r="B45" s="355" t="s">
        <v>658</v>
      </c>
      <c r="C45" s="281" t="s">
        <v>578</v>
      </c>
      <c r="D45" s="315" t="s">
        <v>660</v>
      </c>
      <c r="E45" s="289" t="s">
        <v>665</v>
      </c>
      <c r="F45" s="290" t="s">
        <v>43</v>
      </c>
      <c r="G45" s="317">
        <v>0.02</v>
      </c>
      <c r="H45" s="368">
        <v>0.01</v>
      </c>
      <c r="I45" s="368">
        <v>0.05</v>
      </c>
      <c r="J45" s="287" t="s">
        <v>581</v>
      </c>
      <c r="K45" s="287" t="s">
        <v>581</v>
      </c>
      <c r="L45" s="287" t="s">
        <v>750</v>
      </c>
      <c r="M45" s="510">
        <f>MAX(0,MIN(1,(G45-H45)/(Octave_1_KPIs[[#This Row],[Healthy_Min]]-Octave_1_KPIs[[#This Row],[Target_Min]])))</f>
        <v>0.25</v>
      </c>
      <c r="N45" s="293" t="s">
        <v>898</v>
      </c>
      <c r="O45" s="281" t="s">
        <v>578</v>
      </c>
      <c r="P45" s="294" t="s">
        <v>901</v>
      </c>
      <c r="Q45" s="363" t="s">
        <v>507</v>
      </c>
      <c r="R45" s="296" t="s">
        <v>43</v>
      </c>
      <c r="S45" s="318">
        <v>1</v>
      </c>
      <c r="T45" s="364">
        <v>4</v>
      </c>
      <c r="U45" s="287" t="s">
        <v>581</v>
      </c>
      <c r="V45" s="287" t="s">
        <v>581</v>
      </c>
      <c r="W45" s="362" t="s">
        <v>902</v>
      </c>
      <c r="X45" s="308">
        <v>0</v>
      </c>
      <c r="Y45" s="293" t="s">
        <v>1087</v>
      </c>
      <c r="Z45" s="281" t="s">
        <v>578</v>
      </c>
      <c r="AA45" s="378" t="s">
        <v>1091</v>
      </c>
      <c r="AB45" s="295" t="s">
        <v>1090</v>
      </c>
      <c r="AC45" s="296" t="s">
        <v>43</v>
      </c>
      <c r="AD45" s="318">
        <v>1</v>
      </c>
      <c r="AE45" s="364">
        <v>4.5</v>
      </c>
      <c r="AF45" s="287" t="s">
        <v>581</v>
      </c>
      <c r="AG45" s="287" t="s">
        <v>581</v>
      </c>
      <c r="AH45" s="298" t="s">
        <v>1092</v>
      </c>
      <c r="AI45" s="308">
        <v>0</v>
      </c>
      <c r="AJ45" s="299" t="s">
        <v>1276</v>
      </c>
      <c r="AK45" s="281" t="s">
        <v>578</v>
      </c>
      <c r="AL45" s="301" t="s">
        <v>1281</v>
      </c>
      <c r="AM45" s="302" t="s">
        <v>1280</v>
      </c>
      <c r="AN45" s="303" t="s">
        <v>43</v>
      </c>
      <c r="AO45" s="307">
        <v>1</v>
      </c>
      <c r="AP45" s="300">
        <v>4</v>
      </c>
      <c r="AQ45" s="287" t="s">
        <v>581</v>
      </c>
      <c r="AR45" s="287" t="s">
        <v>581</v>
      </c>
      <c r="AS45" s="306" t="s">
        <v>1282</v>
      </c>
      <c r="AT45" s="308">
        <v>0</v>
      </c>
      <c r="AU45" s="309" t="s">
        <v>1644</v>
      </c>
      <c r="AV45" s="281" t="s">
        <v>578</v>
      </c>
      <c r="AW45" s="301" t="s">
        <v>1650</v>
      </c>
      <c r="AX45" s="310" t="s">
        <v>1646</v>
      </c>
      <c r="AY45" s="311" t="s">
        <v>43</v>
      </c>
      <c r="AZ45" s="307">
        <v>1</v>
      </c>
      <c r="BA45" s="300">
        <v>4.8</v>
      </c>
      <c r="BB45" s="287" t="s">
        <v>581</v>
      </c>
      <c r="BC45" s="287" t="s">
        <v>581</v>
      </c>
      <c r="BD45" s="313" t="s">
        <v>1654</v>
      </c>
      <c r="BE45" s="308">
        <v>0</v>
      </c>
      <c r="BF45" s="309" t="s">
        <v>1658</v>
      </c>
      <c r="BG45" s="281" t="s">
        <v>578</v>
      </c>
      <c r="BH45" s="301" t="s">
        <v>1663</v>
      </c>
      <c r="BI45" s="310" t="s">
        <v>1662</v>
      </c>
      <c r="BJ45" s="311" t="s">
        <v>43</v>
      </c>
      <c r="BK45" s="307">
        <v>1</v>
      </c>
      <c r="BL45" s="300">
        <v>4.5</v>
      </c>
      <c r="BM45" s="287" t="s">
        <v>581</v>
      </c>
      <c r="BN45" s="287" t="s">
        <v>581</v>
      </c>
      <c r="BO45" s="313" t="s">
        <v>1664</v>
      </c>
      <c r="BP45" s="308">
        <v>0</v>
      </c>
      <c r="BQ45" s="309" t="s">
        <v>1851</v>
      </c>
      <c r="BR45" s="281" t="s">
        <v>578</v>
      </c>
      <c r="BS45" s="301" t="s">
        <v>1856</v>
      </c>
      <c r="BT45" s="310" t="s">
        <v>1855</v>
      </c>
      <c r="BU45" s="311" t="s">
        <v>43</v>
      </c>
      <c r="BV45" s="367">
        <v>1</v>
      </c>
      <c r="BW45" s="300">
        <v>4.8</v>
      </c>
      <c r="BX45" s="287" t="s">
        <v>581</v>
      </c>
      <c r="BY45" s="287" t="s">
        <v>581</v>
      </c>
      <c r="BZ45" s="313" t="s">
        <v>1857</v>
      </c>
      <c r="CA45" s="308">
        <v>0</v>
      </c>
    </row>
    <row r="46" spans="1:79">
      <c r="A46" s="506" t="s">
        <v>2151</v>
      </c>
      <c r="B46" s="355" t="s">
        <v>658</v>
      </c>
      <c r="C46" s="281" t="s">
        <v>775</v>
      </c>
      <c r="D46" s="315" t="s">
        <v>661</v>
      </c>
      <c r="E46" s="289" t="s">
        <v>666</v>
      </c>
      <c r="F46" s="290" t="s">
        <v>47</v>
      </c>
      <c r="G46" s="287">
        <v>0</v>
      </c>
      <c r="H46" s="287">
        <v>0</v>
      </c>
      <c r="I46" s="287">
        <v>1</v>
      </c>
      <c r="J46" s="287">
        <v>2</v>
      </c>
      <c r="K46" s="287">
        <v>5</v>
      </c>
      <c r="L46" s="287" t="s">
        <v>749</v>
      </c>
      <c r="M46" s="510">
        <f>IF(AND(Octave_1_KPIs[[#This Row],[Value]] &gt;= Octave_1_KPIs[[#This Row],[Healthy_Min]], Octave_1_KPIs[[#This Row],[Value]] &lt;= Octave_1_KPIs[[#This Row],[Healthy_Max]]), 1, IF(Octave_1_KPIs[[#This Row],[Value]] &lt; Octave_1_KPIs[[#This Row],[Healthy_Min]], MAX(0, (Octave_1_KPIs[[#This Row],[Value]] - Octave_1_KPIs[[#This Row],[Target_Min]]) / (Octave_1_KPIs[[#This Row],[Healthy_Min]] - Octave_1_KPIs[[#This Row],[Target_Min]])), MAX(0, 1 - (Octave_1_KPIs[[#This Row],[Value]] - Octave_1_KPIs[[#This Row],[Healthy_Max]]) / (Octave_1_KPIs[[#This Row],[Absolute_Max]] - Octave_1_KPIs[[#This Row],[Healthy_Max]]))))</f>
        <v>0</v>
      </c>
      <c r="N46" s="293" t="s">
        <v>898</v>
      </c>
      <c r="O46" s="281" t="s">
        <v>775</v>
      </c>
      <c r="P46" s="294" t="s">
        <v>904</v>
      </c>
      <c r="Q46" s="363" t="s">
        <v>903</v>
      </c>
      <c r="R46" s="296" t="s">
        <v>47</v>
      </c>
      <c r="S46" s="318">
        <v>0</v>
      </c>
      <c r="T46" s="364">
        <v>1</v>
      </c>
      <c r="U46" s="318">
        <v>3</v>
      </c>
      <c r="V46" s="364">
        <v>5</v>
      </c>
      <c r="W46" s="362" t="s">
        <v>905</v>
      </c>
      <c r="X46" s="308">
        <v>0</v>
      </c>
      <c r="Y46" s="419" t="s">
        <v>1087</v>
      </c>
      <c r="Z46" s="281" t="s">
        <v>775</v>
      </c>
      <c r="AA46" s="420" t="s">
        <v>1094</v>
      </c>
      <c r="AB46" s="421" t="s">
        <v>1093</v>
      </c>
      <c r="AC46" s="422" t="s">
        <v>47</v>
      </c>
      <c r="AD46" s="423">
        <v>0</v>
      </c>
      <c r="AE46" s="424">
        <v>5</v>
      </c>
      <c r="AF46" s="423">
        <v>10</v>
      </c>
      <c r="AG46" s="318">
        <v>20</v>
      </c>
      <c r="AH46" s="425" t="s">
        <v>1095</v>
      </c>
      <c r="AI46" s="308">
        <v>0</v>
      </c>
      <c r="AJ46" s="299" t="s">
        <v>1276</v>
      </c>
      <c r="AK46" s="281" t="s">
        <v>775</v>
      </c>
      <c r="AL46" s="301" t="s">
        <v>1284</v>
      </c>
      <c r="AM46" s="302" t="s">
        <v>1283</v>
      </c>
      <c r="AN46" s="303" t="s">
        <v>43</v>
      </c>
      <c r="AO46" s="307">
        <v>1</v>
      </c>
      <c r="AP46" s="300">
        <v>4</v>
      </c>
      <c r="AQ46" s="287" t="s">
        <v>581</v>
      </c>
      <c r="AR46" s="287" t="s">
        <v>581</v>
      </c>
      <c r="AS46" s="306" t="s">
        <v>1285</v>
      </c>
      <c r="AT46" s="308">
        <v>0</v>
      </c>
      <c r="AU46" s="309" t="s">
        <v>1644</v>
      </c>
      <c r="AV46" s="281" t="s">
        <v>775</v>
      </c>
      <c r="AW46" s="301" t="s">
        <v>1651</v>
      </c>
      <c r="AX46" s="310" t="s">
        <v>1647</v>
      </c>
      <c r="AY46" s="311" t="s">
        <v>47</v>
      </c>
      <c r="AZ46" s="307">
        <v>0</v>
      </c>
      <c r="BA46" s="300">
        <v>1</v>
      </c>
      <c r="BB46" s="307">
        <v>2</v>
      </c>
      <c r="BC46" s="307">
        <v>3</v>
      </c>
      <c r="BD46" s="313" t="s">
        <v>1655</v>
      </c>
      <c r="BE46" s="308">
        <v>0</v>
      </c>
      <c r="BF46" s="309" t="s">
        <v>1658</v>
      </c>
      <c r="BG46" s="281" t="s">
        <v>775</v>
      </c>
      <c r="BH46" s="301" t="s">
        <v>1666</v>
      </c>
      <c r="BI46" s="310" t="s">
        <v>1665</v>
      </c>
      <c r="BJ46" s="311" t="s">
        <v>43</v>
      </c>
      <c r="BK46" s="307">
        <v>0</v>
      </c>
      <c r="BL46" s="312">
        <v>1</v>
      </c>
      <c r="BM46" s="287" t="s">
        <v>581</v>
      </c>
      <c r="BN46" s="287" t="s">
        <v>581</v>
      </c>
      <c r="BO46" s="313" t="s">
        <v>1667</v>
      </c>
      <c r="BP46" s="308">
        <v>0</v>
      </c>
      <c r="BQ46" s="309" t="s">
        <v>1851</v>
      </c>
      <c r="BR46" s="281" t="s">
        <v>775</v>
      </c>
      <c r="BS46" s="301" t="s">
        <v>1859</v>
      </c>
      <c r="BT46" s="310" t="s">
        <v>1858</v>
      </c>
      <c r="BU46" s="311" t="s">
        <v>43</v>
      </c>
      <c r="BV46" s="367" t="s">
        <v>895</v>
      </c>
      <c r="BW46" s="300" t="s">
        <v>892</v>
      </c>
      <c r="BX46" s="287" t="s">
        <v>581</v>
      </c>
      <c r="BY46" s="287" t="s">
        <v>581</v>
      </c>
      <c r="BZ46" s="313" t="s">
        <v>1860</v>
      </c>
      <c r="CA46" s="308">
        <v>0</v>
      </c>
    </row>
    <row r="47" spans="1:79">
      <c r="A47" s="506" t="s">
        <v>2151</v>
      </c>
      <c r="B47" s="355" t="s">
        <v>658</v>
      </c>
      <c r="C47" s="281" t="s">
        <v>579</v>
      </c>
      <c r="D47" s="315" t="s">
        <v>662</v>
      </c>
      <c r="E47" s="289" t="s">
        <v>667</v>
      </c>
      <c r="F47" s="290" t="s">
        <v>43</v>
      </c>
      <c r="G47" s="287">
        <v>2</v>
      </c>
      <c r="H47" s="287">
        <v>1</v>
      </c>
      <c r="I47" s="287">
        <v>4</v>
      </c>
      <c r="J47" s="287" t="s">
        <v>581</v>
      </c>
      <c r="K47" s="287" t="s">
        <v>581</v>
      </c>
      <c r="L47" s="287" t="s">
        <v>748</v>
      </c>
      <c r="M47" s="510">
        <f>MAX(0,MIN(1,(G47-H47)/(Octave_1_KPIs[[#This Row],[Healthy_Min]]-Octave_1_KPIs[[#This Row],[Target_Min]])))</f>
        <v>0.33333333333333331</v>
      </c>
      <c r="N47" s="293" t="s">
        <v>898</v>
      </c>
      <c r="O47" s="281" t="s">
        <v>579</v>
      </c>
      <c r="P47" s="294" t="s">
        <v>907</v>
      </c>
      <c r="Q47" s="363" t="s">
        <v>906</v>
      </c>
      <c r="R47" s="296" t="s">
        <v>43</v>
      </c>
      <c r="S47" s="318">
        <v>1</v>
      </c>
      <c r="T47" s="364">
        <v>4.5</v>
      </c>
      <c r="U47" s="287" t="s">
        <v>581</v>
      </c>
      <c r="V47" s="287" t="s">
        <v>581</v>
      </c>
      <c r="W47" s="362" t="s">
        <v>908</v>
      </c>
      <c r="X47" s="308">
        <v>0</v>
      </c>
      <c r="Y47" s="293" t="s">
        <v>1087</v>
      </c>
      <c r="Z47" s="281" t="s">
        <v>579</v>
      </c>
      <c r="AA47" s="378" t="s">
        <v>1097</v>
      </c>
      <c r="AB47" s="295" t="s">
        <v>1096</v>
      </c>
      <c r="AC47" s="296" t="s">
        <v>43</v>
      </c>
      <c r="AD47" s="318">
        <v>1</v>
      </c>
      <c r="AE47" s="364">
        <v>4.8</v>
      </c>
      <c r="AF47" s="287" t="s">
        <v>581</v>
      </c>
      <c r="AG47" s="287" t="s">
        <v>581</v>
      </c>
      <c r="AH47" s="298" t="s">
        <v>1098</v>
      </c>
      <c r="AI47" s="308">
        <v>0</v>
      </c>
      <c r="AJ47" s="299" t="s">
        <v>1276</v>
      </c>
      <c r="AK47" s="281" t="s">
        <v>579</v>
      </c>
      <c r="AL47" s="301" t="s">
        <v>1287</v>
      </c>
      <c r="AM47" s="302" t="s">
        <v>1286</v>
      </c>
      <c r="AN47" s="303" t="s">
        <v>43</v>
      </c>
      <c r="AO47" s="307">
        <v>1</v>
      </c>
      <c r="AP47" s="300">
        <v>4.8</v>
      </c>
      <c r="AQ47" s="287" t="s">
        <v>581</v>
      </c>
      <c r="AR47" s="287" t="s">
        <v>581</v>
      </c>
      <c r="AS47" s="306" t="s">
        <v>1288</v>
      </c>
      <c r="AT47" s="308">
        <v>0</v>
      </c>
      <c r="AU47" s="309" t="s">
        <v>1644</v>
      </c>
      <c r="AV47" s="281" t="s">
        <v>579</v>
      </c>
      <c r="AW47" s="301" t="s">
        <v>1652</v>
      </c>
      <c r="AX47" s="310" t="s">
        <v>1648</v>
      </c>
      <c r="AY47" s="311" t="s">
        <v>43</v>
      </c>
      <c r="AZ47" s="307">
        <v>1</v>
      </c>
      <c r="BA47" s="300">
        <v>4.5</v>
      </c>
      <c r="BB47" s="287" t="s">
        <v>581</v>
      </c>
      <c r="BC47" s="287" t="s">
        <v>581</v>
      </c>
      <c r="BD47" s="313" t="s">
        <v>1656</v>
      </c>
      <c r="BE47" s="308">
        <v>0</v>
      </c>
      <c r="BF47" s="309" t="s">
        <v>1658</v>
      </c>
      <c r="BG47" s="281" t="s">
        <v>579</v>
      </c>
      <c r="BH47" s="301" t="s">
        <v>1669</v>
      </c>
      <c r="BI47" s="310" t="s">
        <v>1668</v>
      </c>
      <c r="BJ47" s="311" t="s">
        <v>43</v>
      </c>
      <c r="BK47" s="307">
        <v>1</v>
      </c>
      <c r="BL47" s="300">
        <v>5</v>
      </c>
      <c r="BM47" s="287" t="s">
        <v>581</v>
      </c>
      <c r="BN47" s="287" t="s">
        <v>581</v>
      </c>
      <c r="BO47" s="313" t="s">
        <v>1670</v>
      </c>
      <c r="BP47" s="308">
        <v>0</v>
      </c>
      <c r="BQ47" s="309" t="s">
        <v>1851</v>
      </c>
      <c r="BR47" s="281" t="s">
        <v>579</v>
      </c>
      <c r="BS47" s="301" t="s">
        <v>1862</v>
      </c>
      <c r="BT47" s="310" t="s">
        <v>1861</v>
      </c>
      <c r="BU47" s="311" t="s">
        <v>43</v>
      </c>
      <c r="BV47" s="367">
        <v>1</v>
      </c>
      <c r="BW47" s="300">
        <v>4.5</v>
      </c>
      <c r="BX47" s="287" t="s">
        <v>581</v>
      </c>
      <c r="BY47" s="287" t="s">
        <v>581</v>
      </c>
      <c r="BZ47" s="313" t="s">
        <v>1863</v>
      </c>
      <c r="CA47" s="308">
        <v>0</v>
      </c>
    </row>
    <row r="48" spans="1:79">
      <c r="A48" s="506" t="s">
        <v>2151</v>
      </c>
      <c r="B48" s="355" t="s">
        <v>658</v>
      </c>
      <c r="C48" s="281" t="s">
        <v>580</v>
      </c>
      <c r="D48" s="315" t="s">
        <v>663</v>
      </c>
      <c r="E48" s="289" t="s">
        <v>668</v>
      </c>
      <c r="F48" s="290" t="s">
        <v>43</v>
      </c>
      <c r="G48" s="287">
        <v>4</v>
      </c>
      <c r="H48" s="287">
        <v>1</v>
      </c>
      <c r="I48" s="287">
        <v>4.5</v>
      </c>
      <c r="J48" s="287" t="s">
        <v>581</v>
      </c>
      <c r="K48" s="287" t="s">
        <v>581</v>
      </c>
      <c r="L48" s="287" t="s">
        <v>747</v>
      </c>
      <c r="M48" s="510">
        <f>MAX(0,MIN(1,(G48-H48)/(Octave_1_KPIs[[#This Row],[Healthy_Min]]-Octave_1_KPIs[[#This Row],[Target_Min]])))</f>
        <v>0.8571428571428571</v>
      </c>
      <c r="N48" s="293" t="s">
        <v>898</v>
      </c>
      <c r="O48" s="281" t="s">
        <v>580</v>
      </c>
      <c r="P48" s="294" t="s">
        <v>909</v>
      </c>
      <c r="Q48" s="363" t="s">
        <v>385</v>
      </c>
      <c r="R48" s="296" t="s">
        <v>43</v>
      </c>
      <c r="S48" s="318">
        <v>1</v>
      </c>
      <c r="T48" s="364">
        <v>1</v>
      </c>
      <c r="U48" s="287" t="s">
        <v>581</v>
      </c>
      <c r="V48" s="287" t="s">
        <v>581</v>
      </c>
      <c r="W48" s="362" t="s">
        <v>910</v>
      </c>
      <c r="X48" s="308">
        <v>0</v>
      </c>
      <c r="Y48" s="419" t="s">
        <v>1087</v>
      </c>
      <c r="Z48" s="281" t="s">
        <v>580</v>
      </c>
      <c r="AA48" s="420" t="s">
        <v>1100</v>
      </c>
      <c r="AB48" s="421" t="s">
        <v>1099</v>
      </c>
      <c r="AC48" s="422" t="s">
        <v>43</v>
      </c>
      <c r="AD48" s="426">
        <v>0</v>
      </c>
      <c r="AE48" s="427">
        <v>0.2</v>
      </c>
      <c r="AF48" s="287" t="s">
        <v>581</v>
      </c>
      <c r="AG48" s="287" t="s">
        <v>581</v>
      </c>
      <c r="AH48" s="425" t="s">
        <v>1101</v>
      </c>
      <c r="AI48" s="308">
        <v>0</v>
      </c>
      <c r="AJ48" s="299" t="s">
        <v>1276</v>
      </c>
      <c r="AK48" s="281" t="s">
        <v>580</v>
      </c>
      <c r="AL48" s="301" t="s">
        <v>1290</v>
      </c>
      <c r="AM48" s="302" t="s">
        <v>1289</v>
      </c>
      <c r="AN48" s="303" t="s">
        <v>43</v>
      </c>
      <c r="AO48" s="307">
        <v>1</v>
      </c>
      <c r="AP48" s="300">
        <v>4.5</v>
      </c>
      <c r="AQ48" s="287" t="s">
        <v>581</v>
      </c>
      <c r="AR48" s="287" t="s">
        <v>581</v>
      </c>
      <c r="AS48" s="306" t="s">
        <v>1291</v>
      </c>
      <c r="AT48" s="308">
        <v>0</v>
      </c>
      <c r="AU48" s="309" t="s">
        <v>1644</v>
      </c>
      <c r="AV48" s="281" t="s">
        <v>580</v>
      </c>
      <c r="AW48" s="301" t="s">
        <v>1653</v>
      </c>
      <c r="AX48" s="310" t="s">
        <v>505</v>
      </c>
      <c r="AY48" s="311" t="s">
        <v>43</v>
      </c>
      <c r="AZ48" s="307">
        <v>1</v>
      </c>
      <c r="BA48" s="300">
        <v>4.5</v>
      </c>
      <c r="BB48" s="287" t="s">
        <v>581</v>
      </c>
      <c r="BC48" s="287" t="s">
        <v>581</v>
      </c>
      <c r="BD48" s="313" t="s">
        <v>1657</v>
      </c>
      <c r="BE48" s="308">
        <v>0</v>
      </c>
      <c r="BF48" s="309" t="s">
        <v>1658</v>
      </c>
      <c r="BG48" s="281" t="s">
        <v>580</v>
      </c>
      <c r="BH48" s="301" t="s">
        <v>1672</v>
      </c>
      <c r="BI48" s="310" t="s">
        <v>1671</v>
      </c>
      <c r="BJ48" s="311" t="s">
        <v>43</v>
      </c>
      <c r="BK48" s="307">
        <v>1</v>
      </c>
      <c r="BL48" s="300">
        <v>4.5</v>
      </c>
      <c r="BM48" s="287" t="s">
        <v>581</v>
      </c>
      <c r="BN48" s="287" t="s">
        <v>581</v>
      </c>
      <c r="BO48" s="313" t="s">
        <v>1673</v>
      </c>
      <c r="BP48" s="308">
        <v>0</v>
      </c>
      <c r="BQ48" s="309" t="s">
        <v>1851</v>
      </c>
      <c r="BR48" s="281" t="s">
        <v>580</v>
      </c>
      <c r="BS48" s="301" t="s">
        <v>1865</v>
      </c>
      <c r="BT48" s="310" t="s">
        <v>1864</v>
      </c>
      <c r="BU48" s="311" t="s">
        <v>43</v>
      </c>
      <c r="BV48" s="367">
        <v>1</v>
      </c>
      <c r="BW48" s="300">
        <v>5</v>
      </c>
      <c r="BX48" s="287" t="s">
        <v>581</v>
      </c>
      <c r="BY48" s="287" t="s">
        <v>581</v>
      </c>
      <c r="BZ48" s="313" t="s">
        <v>1866</v>
      </c>
      <c r="CA48" s="308">
        <v>0</v>
      </c>
    </row>
    <row r="49" spans="1:79">
      <c r="A49" s="506" t="s">
        <v>2152</v>
      </c>
      <c r="B49" s="320" t="s">
        <v>669</v>
      </c>
      <c r="C49" s="281" t="s">
        <v>577</v>
      </c>
      <c r="D49" s="321" t="s">
        <v>670</v>
      </c>
      <c r="E49" s="322" t="s">
        <v>675</v>
      </c>
      <c r="F49" s="412" t="s">
        <v>43</v>
      </c>
      <c r="G49" s="323">
        <v>0</v>
      </c>
      <c r="H49" s="323">
        <v>0</v>
      </c>
      <c r="I49" s="323">
        <v>1</v>
      </c>
      <c r="J49" s="323" t="s">
        <v>581</v>
      </c>
      <c r="K49" s="323" t="s">
        <v>581</v>
      </c>
      <c r="L49" s="323" t="s">
        <v>746</v>
      </c>
      <c r="M49" s="510">
        <f>MAX(0,MIN(1,(G49-H49)/(Octave_1_KPIs[[#This Row],[Healthy_Min]]-Octave_1_KPIs[[#This Row],[Target_Min]])))</f>
        <v>0</v>
      </c>
      <c r="N49" s="359" t="s">
        <v>911</v>
      </c>
      <c r="O49" s="281" t="s">
        <v>577</v>
      </c>
      <c r="P49" s="360" t="s">
        <v>912</v>
      </c>
      <c r="Q49" s="370" t="s">
        <v>833</v>
      </c>
      <c r="R49" s="340" t="s">
        <v>43</v>
      </c>
      <c r="S49" s="353">
        <v>0.95</v>
      </c>
      <c r="T49" s="371">
        <v>0.999</v>
      </c>
      <c r="U49" s="326" t="s">
        <v>581</v>
      </c>
      <c r="V49" s="326" t="s">
        <v>581</v>
      </c>
      <c r="W49" s="369" t="s">
        <v>913</v>
      </c>
      <c r="X49" s="308">
        <v>0</v>
      </c>
      <c r="Y49" s="359" t="s">
        <v>1102</v>
      </c>
      <c r="Z49" s="281" t="s">
        <v>577</v>
      </c>
      <c r="AA49" s="372" t="s">
        <v>1104</v>
      </c>
      <c r="AB49" s="339" t="s">
        <v>1103</v>
      </c>
      <c r="AC49" s="340" t="s">
        <v>43</v>
      </c>
      <c r="AD49" s="353">
        <v>0.7</v>
      </c>
      <c r="AE49" s="354">
        <v>0.95</v>
      </c>
      <c r="AF49" s="326" t="s">
        <v>581</v>
      </c>
      <c r="AG49" s="326" t="s">
        <v>581</v>
      </c>
      <c r="AH49" s="341" t="s">
        <v>1105</v>
      </c>
      <c r="AI49" s="308">
        <v>0</v>
      </c>
      <c r="AJ49" s="331" t="s">
        <v>1292</v>
      </c>
      <c r="AK49" s="281" t="s">
        <v>577</v>
      </c>
      <c r="AL49" s="332" t="s">
        <v>1294</v>
      </c>
      <c r="AM49" s="333" t="s">
        <v>1293</v>
      </c>
      <c r="AN49" s="340" t="s">
        <v>43</v>
      </c>
      <c r="AO49" s="353">
        <v>0.9</v>
      </c>
      <c r="AP49" s="354">
        <v>0.99</v>
      </c>
      <c r="AQ49" s="326" t="s">
        <v>581</v>
      </c>
      <c r="AR49" s="326" t="s">
        <v>581</v>
      </c>
      <c r="AS49" s="341" t="s">
        <v>1369</v>
      </c>
      <c r="AT49" s="308">
        <v>0</v>
      </c>
      <c r="AU49" s="373" t="s">
        <v>1456</v>
      </c>
      <c r="AV49" s="281" t="s">
        <v>577</v>
      </c>
      <c r="AW49" s="360" t="s">
        <v>1458</v>
      </c>
      <c r="AX49" s="370" t="s">
        <v>1457</v>
      </c>
      <c r="AY49" s="349" t="s">
        <v>43</v>
      </c>
      <c r="AZ49" s="335">
        <v>1</v>
      </c>
      <c r="BA49" s="337">
        <v>4.5</v>
      </c>
      <c r="BB49" s="326" t="s">
        <v>581</v>
      </c>
      <c r="BC49" s="326" t="s">
        <v>581</v>
      </c>
      <c r="BD49" s="369" t="s">
        <v>1459</v>
      </c>
      <c r="BE49" s="308">
        <v>0</v>
      </c>
      <c r="BF49" s="374" t="s">
        <v>1674</v>
      </c>
      <c r="BG49" s="281" t="s">
        <v>577</v>
      </c>
      <c r="BH49" s="332" t="s">
        <v>1676</v>
      </c>
      <c r="BI49" s="348" t="s">
        <v>1675</v>
      </c>
      <c r="BJ49" s="361" t="s">
        <v>43</v>
      </c>
      <c r="BK49" s="335">
        <v>1</v>
      </c>
      <c r="BL49" s="337">
        <v>4</v>
      </c>
      <c r="BM49" s="326" t="s">
        <v>581</v>
      </c>
      <c r="BN49" s="326" t="s">
        <v>581</v>
      </c>
      <c r="BO49" s="350" t="s">
        <v>1677</v>
      </c>
      <c r="BP49" s="308">
        <v>0</v>
      </c>
      <c r="BQ49" s="374" t="s">
        <v>1867</v>
      </c>
      <c r="BR49" s="281" t="s">
        <v>577</v>
      </c>
      <c r="BS49" s="332" t="s">
        <v>1869</v>
      </c>
      <c r="BT49" s="348" t="s">
        <v>1868</v>
      </c>
      <c r="BU49" s="361" t="s">
        <v>43</v>
      </c>
      <c r="BV49" s="375">
        <v>1</v>
      </c>
      <c r="BW49" s="337">
        <v>5</v>
      </c>
      <c r="BX49" s="326" t="s">
        <v>581</v>
      </c>
      <c r="BY49" s="326" t="s">
        <v>581</v>
      </c>
      <c r="BZ49" s="369" t="s">
        <v>1870</v>
      </c>
      <c r="CA49" s="308">
        <v>0</v>
      </c>
    </row>
    <row r="50" spans="1:79">
      <c r="A50" s="506" t="s">
        <v>2152</v>
      </c>
      <c r="B50" s="320" t="s">
        <v>669</v>
      </c>
      <c r="C50" s="281" t="s">
        <v>578</v>
      </c>
      <c r="D50" s="321" t="s">
        <v>671</v>
      </c>
      <c r="E50" s="322" t="s">
        <v>676</v>
      </c>
      <c r="F50" s="412" t="s">
        <v>47</v>
      </c>
      <c r="G50" s="323">
        <v>1</v>
      </c>
      <c r="H50" s="323">
        <v>0</v>
      </c>
      <c r="I50" s="323">
        <v>5</v>
      </c>
      <c r="J50" s="323">
        <v>10</v>
      </c>
      <c r="K50" s="323">
        <v>20</v>
      </c>
      <c r="L50" s="323" t="s">
        <v>745</v>
      </c>
      <c r="M50" s="510">
        <f>IF(AND(Octave_1_KPIs[[#This Row],[Value]] &gt;= Octave_1_KPIs[[#This Row],[Healthy_Min]], Octave_1_KPIs[[#This Row],[Value]] &lt;= Octave_1_KPIs[[#This Row],[Healthy_Max]]), 1, IF(Octave_1_KPIs[[#This Row],[Value]] &lt; Octave_1_KPIs[[#This Row],[Healthy_Min]], MAX(0, (Octave_1_KPIs[[#This Row],[Value]] - Octave_1_KPIs[[#This Row],[Target_Min]]) / (Octave_1_KPIs[[#This Row],[Healthy_Min]] - Octave_1_KPIs[[#This Row],[Target_Min]])), MAX(0, 1 - (Octave_1_KPIs[[#This Row],[Value]] - Octave_1_KPIs[[#This Row],[Healthy_Max]]) / (Octave_1_KPIs[[#This Row],[Absolute_Max]] - Octave_1_KPIs[[#This Row],[Healthy_Max]]))))</f>
        <v>0.2</v>
      </c>
      <c r="N50" s="359" t="s">
        <v>911</v>
      </c>
      <c r="O50" s="281" t="s">
        <v>578</v>
      </c>
      <c r="P50" s="360" t="s">
        <v>915</v>
      </c>
      <c r="Q50" s="370" t="s">
        <v>914</v>
      </c>
      <c r="R50" s="340" t="s">
        <v>43</v>
      </c>
      <c r="S50" s="335">
        <v>1</v>
      </c>
      <c r="T50" s="337">
        <v>4</v>
      </c>
      <c r="U50" s="326" t="s">
        <v>581</v>
      </c>
      <c r="V50" s="326" t="s">
        <v>581</v>
      </c>
      <c r="W50" s="369" t="s">
        <v>916</v>
      </c>
      <c r="X50" s="308">
        <v>0</v>
      </c>
      <c r="Y50" s="359" t="s">
        <v>1102</v>
      </c>
      <c r="Z50" s="281" t="s">
        <v>578</v>
      </c>
      <c r="AA50" s="372" t="s">
        <v>1107</v>
      </c>
      <c r="AB50" s="339" t="s">
        <v>1106</v>
      </c>
      <c r="AC50" s="340" t="s">
        <v>43</v>
      </c>
      <c r="AD50" s="335">
        <v>1</v>
      </c>
      <c r="AE50" s="337">
        <v>4.5</v>
      </c>
      <c r="AF50" s="326" t="s">
        <v>581</v>
      </c>
      <c r="AG50" s="326" t="s">
        <v>581</v>
      </c>
      <c r="AH50" s="341" t="s">
        <v>1108</v>
      </c>
      <c r="AI50" s="308">
        <v>0</v>
      </c>
      <c r="AJ50" s="331" t="s">
        <v>1292</v>
      </c>
      <c r="AK50" s="281" t="s">
        <v>578</v>
      </c>
      <c r="AL50" s="332" t="s">
        <v>1296</v>
      </c>
      <c r="AM50" s="333" t="s">
        <v>1295</v>
      </c>
      <c r="AN50" s="340" t="s">
        <v>582</v>
      </c>
      <c r="AO50" s="335" t="s">
        <v>893</v>
      </c>
      <c r="AP50" s="337" t="s">
        <v>896</v>
      </c>
      <c r="AQ50" s="326" t="s">
        <v>581</v>
      </c>
      <c r="AR50" s="326" t="s">
        <v>581</v>
      </c>
      <c r="AS50" s="341" t="s">
        <v>1297</v>
      </c>
      <c r="AT50" s="308">
        <v>0</v>
      </c>
      <c r="AU50" s="373" t="s">
        <v>1456</v>
      </c>
      <c r="AV50" s="281" t="s">
        <v>578</v>
      </c>
      <c r="AW50" s="360" t="s">
        <v>1461</v>
      </c>
      <c r="AX50" s="370" t="s">
        <v>1460</v>
      </c>
      <c r="AY50" s="349" t="s">
        <v>47</v>
      </c>
      <c r="AZ50" s="335">
        <v>0</v>
      </c>
      <c r="BA50" s="337">
        <v>1</v>
      </c>
      <c r="BB50" s="335">
        <v>3</v>
      </c>
      <c r="BC50" s="335">
        <v>5</v>
      </c>
      <c r="BD50" s="369" t="s">
        <v>1462</v>
      </c>
      <c r="BE50" s="308">
        <v>0</v>
      </c>
      <c r="BF50" s="374" t="s">
        <v>1674</v>
      </c>
      <c r="BG50" s="281" t="s">
        <v>578</v>
      </c>
      <c r="BH50" s="332" t="s">
        <v>1679</v>
      </c>
      <c r="BI50" s="348" t="s">
        <v>1678</v>
      </c>
      <c r="BJ50" s="361" t="s">
        <v>43</v>
      </c>
      <c r="BK50" s="335">
        <v>1</v>
      </c>
      <c r="BL50" s="337">
        <v>4.5</v>
      </c>
      <c r="BM50" s="326" t="s">
        <v>581</v>
      </c>
      <c r="BN50" s="326" t="s">
        <v>581</v>
      </c>
      <c r="BO50" s="350" t="s">
        <v>1680</v>
      </c>
      <c r="BP50" s="308">
        <v>0</v>
      </c>
      <c r="BQ50" s="374" t="s">
        <v>1867</v>
      </c>
      <c r="BR50" s="281" t="s">
        <v>578</v>
      </c>
      <c r="BS50" s="332" t="s">
        <v>1872</v>
      </c>
      <c r="BT50" s="348" t="s">
        <v>1871</v>
      </c>
      <c r="BU50" s="361" t="s">
        <v>43</v>
      </c>
      <c r="BV50" s="375">
        <v>1</v>
      </c>
      <c r="BW50" s="337">
        <v>4.8</v>
      </c>
      <c r="BX50" s="326" t="s">
        <v>581</v>
      </c>
      <c r="BY50" s="326" t="s">
        <v>581</v>
      </c>
      <c r="BZ50" s="369" t="s">
        <v>1873</v>
      </c>
      <c r="CA50" s="308">
        <v>0</v>
      </c>
    </row>
    <row r="51" spans="1:79">
      <c r="A51" s="506" t="s">
        <v>2152</v>
      </c>
      <c r="B51" s="320" t="s">
        <v>669</v>
      </c>
      <c r="C51" s="281" t="s">
        <v>775</v>
      </c>
      <c r="D51" s="321" t="s">
        <v>672</v>
      </c>
      <c r="E51" s="322" t="s">
        <v>677</v>
      </c>
      <c r="F51" s="412" t="s">
        <v>582</v>
      </c>
      <c r="G51" s="323">
        <v>11</v>
      </c>
      <c r="H51" s="323">
        <v>90</v>
      </c>
      <c r="I51" s="376">
        <v>14</v>
      </c>
      <c r="J51" s="323">
        <v>7</v>
      </c>
      <c r="K51" s="323" t="s">
        <v>581</v>
      </c>
      <c r="L51" s="323" t="s">
        <v>744</v>
      </c>
      <c r="M51" s="510">
        <f>MAX(0, MIN(1, 1 - ((Octave_1_KPIs[[#This Row],[Value]] - Octave_1_KPIs[[#This Row],[Healthy_Max]]) / (Octave_1_KPIs[[#This Row],[Target_Min]] - Octave_1_KPIs[[#This Row],[Healthy_Max]]))))</f>
        <v>0.95180722891566261</v>
      </c>
      <c r="N51" s="359" t="s">
        <v>911</v>
      </c>
      <c r="O51" s="281" t="s">
        <v>775</v>
      </c>
      <c r="P51" s="360" t="s">
        <v>918</v>
      </c>
      <c r="Q51" s="370" t="s">
        <v>917</v>
      </c>
      <c r="R51" s="340" t="s">
        <v>43</v>
      </c>
      <c r="S51" s="353">
        <v>0.7</v>
      </c>
      <c r="T51" s="354">
        <v>0.95</v>
      </c>
      <c r="U51" s="326" t="s">
        <v>581</v>
      </c>
      <c r="V51" s="326" t="s">
        <v>581</v>
      </c>
      <c r="W51" s="369" t="s">
        <v>919</v>
      </c>
      <c r="X51" s="308">
        <v>0</v>
      </c>
      <c r="Y51" s="359" t="s">
        <v>1102</v>
      </c>
      <c r="Z51" s="281" t="s">
        <v>775</v>
      </c>
      <c r="AA51" s="372" t="s">
        <v>1110</v>
      </c>
      <c r="AB51" s="339" t="s">
        <v>1109</v>
      </c>
      <c r="AC51" s="340" t="s">
        <v>582</v>
      </c>
      <c r="AD51" s="335" t="s">
        <v>1180</v>
      </c>
      <c r="AE51" s="337" t="s">
        <v>897</v>
      </c>
      <c r="AF51" s="326" t="s">
        <v>581</v>
      </c>
      <c r="AG51" s="326" t="s">
        <v>581</v>
      </c>
      <c r="AH51" s="341" t="s">
        <v>1111</v>
      </c>
      <c r="AI51" s="308">
        <v>0</v>
      </c>
      <c r="AJ51" s="331" t="s">
        <v>1292</v>
      </c>
      <c r="AK51" s="281" t="s">
        <v>775</v>
      </c>
      <c r="AL51" s="332" t="s">
        <v>1299</v>
      </c>
      <c r="AM51" s="333" t="s">
        <v>1298</v>
      </c>
      <c r="AN51" s="340" t="s">
        <v>47</v>
      </c>
      <c r="AO51" s="335">
        <v>0</v>
      </c>
      <c r="AP51" s="337">
        <v>1</v>
      </c>
      <c r="AQ51" s="335">
        <v>3</v>
      </c>
      <c r="AR51" s="335">
        <v>5</v>
      </c>
      <c r="AS51" s="341" t="s">
        <v>1300</v>
      </c>
      <c r="AT51" s="308">
        <v>0</v>
      </c>
      <c r="AU51" s="373" t="s">
        <v>1456</v>
      </c>
      <c r="AV51" s="281" t="s">
        <v>775</v>
      </c>
      <c r="AW51" s="360" t="s">
        <v>1464</v>
      </c>
      <c r="AX51" s="370" t="s">
        <v>1463</v>
      </c>
      <c r="AY51" s="349" t="s">
        <v>47</v>
      </c>
      <c r="AZ51" s="335">
        <v>0</v>
      </c>
      <c r="BA51" s="337">
        <v>1</v>
      </c>
      <c r="BB51" s="335">
        <v>2</v>
      </c>
      <c r="BC51" s="335">
        <v>3</v>
      </c>
      <c r="BD51" s="369" t="s">
        <v>1465</v>
      </c>
      <c r="BE51" s="308">
        <v>0</v>
      </c>
      <c r="BF51" s="374" t="s">
        <v>1674</v>
      </c>
      <c r="BG51" s="281" t="s">
        <v>775</v>
      </c>
      <c r="BH51" s="332" t="s">
        <v>1682</v>
      </c>
      <c r="BI51" s="348" t="s">
        <v>1681</v>
      </c>
      <c r="BJ51" s="361" t="s">
        <v>43</v>
      </c>
      <c r="BK51" s="335">
        <v>1</v>
      </c>
      <c r="BL51" s="337">
        <v>4</v>
      </c>
      <c r="BM51" s="326" t="s">
        <v>581</v>
      </c>
      <c r="BN51" s="326" t="s">
        <v>581</v>
      </c>
      <c r="BO51" s="350" t="s">
        <v>1683</v>
      </c>
      <c r="BP51" s="308">
        <v>0</v>
      </c>
      <c r="BQ51" s="374" t="s">
        <v>1867</v>
      </c>
      <c r="BR51" s="281" t="s">
        <v>775</v>
      </c>
      <c r="BS51" s="332" t="s">
        <v>1875</v>
      </c>
      <c r="BT51" s="348" t="s">
        <v>1874</v>
      </c>
      <c r="BU51" s="361" t="s">
        <v>43</v>
      </c>
      <c r="BV51" s="375" t="s">
        <v>895</v>
      </c>
      <c r="BW51" s="337" t="s">
        <v>892</v>
      </c>
      <c r="BX51" s="326" t="s">
        <v>581</v>
      </c>
      <c r="BY51" s="326" t="s">
        <v>581</v>
      </c>
      <c r="BZ51" s="369" t="s">
        <v>1876</v>
      </c>
      <c r="CA51" s="308">
        <v>0</v>
      </c>
    </row>
    <row r="52" spans="1:79">
      <c r="A52" s="506" t="s">
        <v>2152</v>
      </c>
      <c r="B52" s="320" t="s">
        <v>669</v>
      </c>
      <c r="C52" s="281" t="s">
        <v>579</v>
      </c>
      <c r="D52" s="321" t="s">
        <v>673</v>
      </c>
      <c r="E52" s="322" t="s">
        <v>678</v>
      </c>
      <c r="F52" s="412" t="s">
        <v>43</v>
      </c>
      <c r="G52" s="323">
        <v>1.5</v>
      </c>
      <c r="H52" s="323">
        <v>1</v>
      </c>
      <c r="I52" s="323">
        <v>4</v>
      </c>
      <c r="J52" s="323" t="s">
        <v>581</v>
      </c>
      <c r="K52" s="323" t="s">
        <v>581</v>
      </c>
      <c r="L52" s="323" t="s">
        <v>743</v>
      </c>
      <c r="M52" s="510">
        <f>MAX(0,MIN(1,(G52-H52)/(Octave_1_KPIs[[#This Row],[Healthy_Min]]-Octave_1_KPIs[[#This Row],[Target_Min]])))</f>
        <v>0.16666666666666666</v>
      </c>
      <c r="N52" s="359" t="s">
        <v>911</v>
      </c>
      <c r="O52" s="281" t="s">
        <v>579</v>
      </c>
      <c r="P52" s="360" t="s">
        <v>921</v>
      </c>
      <c r="Q52" s="370" t="s">
        <v>920</v>
      </c>
      <c r="R52" s="340" t="s">
        <v>43</v>
      </c>
      <c r="S52" s="335">
        <v>1</v>
      </c>
      <c r="T52" s="337">
        <v>4.5</v>
      </c>
      <c r="U52" s="326" t="s">
        <v>581</v>
      </c>
      <c r="V52" s="326" t="s">
        <v>581</v>
      </c>
      <c r="W52" s="369" t="s">
        <v>922</v>
      </c>
      <c r="X52" s="308">
        <v>0</v>
      </c>
      <c r="Y52" s="359" t="s">
        <v>1102</v>
      </c>
      <c r="Z52" s="281" t="s">
        <v>579</v>
      </c>
      <c r="AA52" s="372" t="s">
        <v>1113</v>
      </c>
      <c r="AB52" s="339" t="s">
        <v>1112</v>
      </c>
      <c r="AC52" s="340" t="s">
        <v>43</v>
      </c>
      <c r="AD52" s="335">
        <v>1</v>
      </c>
      <c r="AE52" s="337">
        <v>4.5</v>
      </c>
      <c r="AF52" s="326" t="s">
        <v>581</v>
      </c>
      <c r="AG52" s="326" t="s">
        <v>581</v>
      </c>
      <c r="AH52" s="341" t="s">
        <v>1114</v>
      </c>
      <c r="AI52" s="308">
        <v>0</v>
      </c>
      <c r="AJ52" s="331" t="s">
        <v>1292</v>
      </c>
      <c r="AK52" s="281" t="s">
        <v>579</v>
      </c>
      <c r="AL52" s="332" t="s">
        <v>1302</v>
      </c>
      <c r="AM52" s="333" t="s">
        <v>1301</v>
      </c>
      <c r="AN52" s="340" t="s">
        <v>43</v>
      </c>
      <c r="AO52" s="335">
        <v>1</v>
      </c>
      <c r="AP52" s="337">
        <v>4.5</v>
      </c>
      <c r="AQ52" s="326" t="s">
        <v>581</v>
      </c>
      <c r="AR52" s="326" t="s">
        <v>581</v>
      </c>
      <c r="AS52" s="341" t="s">
        <v>1303</v>
      </c>
      <c r="AT52" s="308">
        <v>0</v>
      </c>
      <c r="AU52" s="373" t="s">
        <v>1456</v>
      </c>
      <c r="AV52" s="281" t="s">
        <v>579</v>
      </c>
      <c r="AW52" s="360" t="s">
        <v>1467</v>
      </c>
      <c r="AX52" s="370" t="s">
        <v>1466</v>
      </c>
      <c r="AY52" s="349" t="s">
        <v>43</v>
      </c>
      <c r="AZ52" s="335">
        <v>1</v>
      </c>
      <c r="BA52" s="337">
        <v>4.8</v>
      </c>
      <c r="BB52" s="326" t="s">
        <v>581</v>
      </c>
      <c r="BC52" s="326" t="s">
        <v>581</v>
      </c>
      <c r="BD52" s="369" t="s">
        <v>1468</v>
      </c>
      <c r="BE52" s="308">
        <v>0</v>
      </c>
      <c r="BF52" s="374" t="s">
        <v>1674</v>
      </c>
      <c r="BG52" s="281" t="s">
        <v>579</v>
      </c>
      <c r="BH52" s="332" t="s">
        <v>1685</v>
      </c>
      <c r="BI52" s="348" t="s">
        <v>1684</v>
      </c>
      <c r="BJ52" s="361" t="s">
        <v>582</v>
      </c>
      <c r="BK52" s="335">
        <v>10</v>
      </c>
      <c r="BL52" s="337">
        <v>3</v>
      </c>
      <c r="BM52" s="326" t="s">
        <v>581</v>
      </c>
      <c r="BN52" s="326" t="s">
        <v>581</v>
      </c>
      <c r="BO52" s="350" t="s">
        <v>1686</v>
      </c>
      <c r="BP52" s="308">
        <v>0</v>
      </c>
      <c r="BQ52" s="374" t="s">
        <v>1867</v>
      </c>
      <c r="BR52" s="281" t="s">
        <v>579</v>
      </c>
      <c r="BS52" s="332" t="s">
        <v>1878</v>
      </c>
      <c r="BT52" s="348" t="s">
        <v>1877</v>
      </c>
      <c r="BU52" s="361" t="s">
        <v>43</v>
      </c>
      <c r="BV52" s="375">
        <v>0</v>
      </c>
      <c r="BW52" s="346">
        <v>1</v>
      </c>
      <c r="BX52" s="326" t="s">
        <v>581</v>
      </c>
      <c r="BY52" s="326" t="s">
        <v>581</v>
      </c>
      <c r="BZ52" s="369" t="s">
        <v>1879</v>
      </c>
      <c r="CA52" s="308">
        <v>0</v>
      </c>
    </row>
    <row r="53" spans="1:79">
      <c r="A53" s="506" t="s">
        <v>2152</v>
      </c>
      <c r="B53" s="320" t="s">
        <v>669</v>
      </c>
      <c r="C53" s="281" t="s">
        <v>580</v>
      </c>
      <c r="D53" s="321" t="s">
        <v>674</v>
      </c>
      <c r="E53" s="322" t="s">
        <v>679</v>
      </c>
      <c r="F53" s="412" t="s">
        <v>43</v>
      </c>
      <c r="G53" s="323">
        <v>4</v>
      </c>
      <c r="H53" s="323">
        <v>1</v>
      </c>
      <c r="I53" s="323">
        <v>4.5</v>
      </c>
      <c r="J53" s="323" t="s">
        <v>581</v>
      </c>
      <c r="K53" s="323" t="s">
        <v>581</v>
      </c>
      <c r="L53" s="323" t="s">
        <v>742</v>
      </c>
      <c r="M53" s="510">
        <f>MAX(0,MIN(1,(G53-H53)/(Octave_1_KPIs[[#This Row],[Healthy_Min]]-Octave_1_KPIs[[#This Row],[Target_Min]])))</f>
        <v>0.8571428571428571</v>
      </c>
      <c r="N53" s="359" t="s">
        <v>911</v>
      </c>
      <c r="O53" s="281" t="s">
        <v>580</v>
      </c>
      <c r="P53" s="360" t="s">
        <v>924</v>
      </c>
      <c r="Q53" s="370" t="s">
        <v>923</v>
      </c>
      <c r="R53" s="340" t="s">
        <v>43</v>
      </c>
      <c r="S53" s="335">
        <v>1</v>
      </c>
      <c r="T53" s="337">
        <v>4.5</v>
      </c>
      <c r="U53" s="326" t="s">
        <v>581</v>
      </c>
      <c r="V53" s="326" t="s">
        <v>581</v>
      </c>
      <c r="W53" s="369" t="s">
        <v>925</v>
      </c>
      <c r="X53" s="308">
        <v>0</v>
      </c>
      <c r="Y53" s="359" t="s">
        <v>1102</v>
      </c>
      <c r="Z53" s="281" t="s">
        <v>580</v>
      </c>
      <c r="AA53" s="372" t="s">
        <v>1116</v>
      </c>
      <c r="AB53" s="339" t="s">
        <v>1115</v>
      </c>
      <c r="AC53" s="340" t="s">
        <v>43</v>
      </c>
      <c r="AD53" s="335">
        <v>1</v>
      </c>
      <c r="AE53" s="337">
        <v>4.8</v>
      </c>
      <c r="AF53" s="326" t="s">
        <v>581</v>
      </c>
      <c r="AG53" s="326" t="s">
        <v>581</v>
      </c>
      <c r="AH53" s="341" t="s">
        <v>1117</v>
      </c>
      <c r="AI53" s="308">
        <v>0</v>
      </c>
      <c r="AJ53" s="331" t="s">
        <v>1292</v>
      </c>
      <c r="AK53" s="281" t="s">
        <v>580</v>
      </c>
      <c r="AL53" s="332" t="s">
        <v>1305</v>
      </c>
      <c r="AM53" s="333" t="s">
        <v>1304</v>
      </c>
      <c r="AN53" s="340" t="s">
        <v>43</v>
      </c>
      <c r="AO53" s="335">
        <v>1</v>
      </c>
      <c r="AP53" s="337">
        <v>4.5</v>
      </c>
      <c r="AQ53" s="326" t="s">
        <v>581</v>
      </c>
      <c r="AR53" s="326" t="s">
        <v>581</v>
      </c>
      <c r="AS53" s="341" t="s">
        <v>1306</v>
      </c>
      <c r="AT53" s="308">
        <v>0</v>
      </c>
      <c r="AU53" s="373" t="s">
        <v>1456</v>
      </c>
      <c r="AV53" s="281" t="s">
        <v>580</v>
      </c>
      <c r="AW53" s="360" t="s">
        <v>1470</v>
      </c>
      <c r="AX53" s="370" t="s">
        <v>1469</v>
      </c>
      <c r="AY53" s="349" t="s">
        <v>43</v>
      </c>
      <c r="AZ53" s="335">
        <v>1</v>
      </c>
      <c r="BA53" s="337">
        <v>4</v>
      </c>
      <c r="BB53" s="326" t="s">
        <v>581</v>
      </c>
      <c r="BC53" s="326" t="s">
        <v>581</v>
      </c>
      <c r="BD53" s="369" t="s">
        <v>1471</v>
      </c>
      <c r="BE53" s="308">
        <v>0</v>
      </c>
      <c r="BF53" s="374" t="s">
        <v>1674</v>
      </c>
      <c r="BG53" s="281" t="s">
        <v>580</v>
      </c>
      <c r="BH53" s="332" t="s">
        <v>1688</v>
      </c>
      <c r="BI53" s="348" t="s">
        <v>1687</v>
      </c>
      <c r="BJ53" s="361" t="s">
        <v>43</v>
      </c>
      <c r="BK53" s="335">
        <v>1</v>
      </c>
      <c r="BL53" s="337">
        <v>5</v>
      </c>
      <c r="BM53" s="326" t="s">
        <v>581</v>
      </c>
      <c r="BN53" s="326" t="s">
        <v>581</v>
      </c>
      <c r="BO53" s="350" t="s">
        <v>1689</v>
      </c>
      <c r="BP53" s="308">
        <v>0</v>
      </c>
      <c r="BQ53" s="374" t="s">
        <v>1867</v>
      </c>
      <c r="BR53" s="281" t="s">
        <v>580</v>
      </c>
      <c r="BS53" s="332" t="s">
        <v>1881</v>
      </c>
      <c r="BT53" s="348" t="s">
        <v>1880</v>
      </c>
      <c r="BU53" s="361" t="s">
        <v>43</v>
      </c>
      <c r="BV53" s="375">
        <v>1</v>
      </c>
      <c r="BW53" s="337">
        <v>5</v>
      </c>
      <c r="BX53" s="326" t="s">
        <v>581</v>
      </c>
      <c r="BY53" s="326" t="s">
        <v>581</v>
      </c>
      <c r="BZ53" s="369" t="s">
        <v>1882</v>
      </c>
      <c r="CA53" s="308">
        <v>0</v>
      </c>
    </row>
    <row r="54" spans="1:79">
      <c r="A54" s="506" t="s">
        <v>2153</v>
      </c>
      <c r="B54" s="355" t="s">
        <v>680</v>
      </c>
      <c r="C54" s="281" t="s">
        <v>577</v>
      </c>
      <c r="D54" s="315" t="s">
        <v>681</v>
      </c>
      <c r="E54" s="289" t="s">
        <v>686</v>
      </c>
      <c r="F54" s="290" t="s">
        <v>43</v>
      </c>
      <c r="G54" s="317">
        <v>0.1</v>
      </c>
      <c r="H54" s="287">
        <v>0</v>
      </c>
      <c r="I54" s="368">
        <v>1</v>
      </c>
      <c r="J54" s="287" t="s">
        <v>581</v>
      </c>
      <c r="K54" s="287" t="s">
        <v>581</v>
      </c>
      <c r="L54" s="287" t="s">
        <v>741</v>
      </c>
      <c r="M54" s="510">
        <f>MAX(0,MIN(1,(G54-H54)/(Octave_1_KPIs[[#This Row],[Healthy_Min]]-Octave_1_KPIs[[#This Row],[Target_Min]])))</f>
        <v>0.1</v>
      </c>
      <c r="N54" s="293" t="s">
        <v>926</v>
      </c>
      <c r="O54" s="281" t="s">
        <v>577</v>
      </c>
      <c r="P54" s="294" t="s">
        <v>927</v>
      </c>
      <c r="Q54" s="363" t="s">
        <v>508</v>
      </c>
      <c r="R54" s="296" t="s">
        <v>43</v>
      </c>
      <c r="S54" s="319">
        <v>0</v>
      </c>
      <c r="T54" s="377">
        <v>0.25</v>
      </c>
      <c r="U54" s="287" t="s">
        <v>581</v>
      </c>
      <c r="V54" s="287" t="s">
        <v>581</v>
      </c>
      <c r="W54" s="362" t="s">
        <v>928</v>
      </c>
      <c r="X54" s="308">
        <v>0</v>
      </c>
      <c r="Y54" s="293" t="s">
        <v>1118</v>
      </c>
      <c r="Z54" s="281" t="s">
        <v>577</v>
      </c>
      <c r="AA54" s="378" t="s">
        <v>1120</v>
      </c>
      <c r="AB54" s="295" t="s">
        <v>1119</v>
      </c>
      <c r="AC54" s="296" t="s">
        <v>43</v>
      </c>
      <c r="AD54" s="319">
        <v>0</v>
      </c>
      <c r="AE54" s="377">
        <v>0.02</v>
      </c>
      <c r="AF54" s="287" t="s">
        <v>581</v>
      </c>
      <c r="AG54" s="287" t="s">
        <v>581</v>
      </c>
      <c r="AH54" s="298" t="s">
        <v>1121</v>
      </c>
      <c r="AI54" s="308">
        <v>0</v>
      </c>
      <c r="AJ54" s="299" t="s">
        <v>1307</v>
      </c>
      <c r="AK54" s="281" t="s">
        <v>577</v>
      </c>
      <c r="AL54" s="301" t="s">
        <v>1309</v>
      </c>
      <c r="AM54" s="302" t="s">
        <v>1308</v>
      </c>
      <c r="AN54" s="303" t="s">
        <v>43</v>
      </c>
      <c r="AO54" s="304">
        <v>0.1</v>
      </c>
      <c r="AP54" s="305">
        <v>0.75</v>
      </c>
      <c r="AQ54" s="287" t="s">
        <v>581</v>
      </c>
      <c r="AR54" s="287" t="s">
        <v>581</v>
      </c>
      <c r="AS54" s="306" t="s">
        <v>1310</v>
      </c>
      <c r="AT54" s="308">
        <v>0</v>
      </c>
      <c r="AU54" s="309" t="s">
        <v>1472</v>
      </c>
      <c r="AV54" s="281" t="s">
        <v>577</v>
      </c>
      <c r="AW54" s="301" t="s">
        <v>1474</v>
      </c>
      <c r="AX54" s="310" t="s">
        <v>1473</v>
      </c>
      <c r="AY54" s="311" t="s">
        <v>43</v>
      </c>
      <c r="AZ54" s="307">
        <v>0</v>
      </c>
      <c r="BA54" s="312">
        <v>1</v>
      </c>
      <c r="BB54" s="287" t="s">
        <v>581</v>
      </c>
      <c r="BC54" s="287" t="s">
        <v>581</v>
      </c>
      <c r="BD54" s="313" t="s">
        <v>1475</v>
      </c>
      <c r="BE54" s="308">
        <v>0</v>
      </c>
      <c r="BF54" s="309" t="s">
        <v>1690</v>
      </c>
      <c r="BG54" s="281" t="s">
        <v>577</v>
      </c>
      <c r="BH54" s="301" t="s">
        <v>1692</v>
      </c>
      <c r="BI54" s="310" t="s">
        <v>1691</v>
      </c>
      <c r="BJ54" s="311" t="s">
        <v>43</v>
      </c>
      <c r="BK54" s="307">
        <v>0</v>
      </c>
      <c r="BL54" s="312">
        <v>1</v>
      </c>
      <c r="BM54" s="287" t="s">
        <v>581</v>
      </c>
      <c r="BN54" s="287" t="s">
        <v>581</v>
      </c>
      <c r="BO54" s="313" t="s">
        <v>1693</v>
      </c>
      <c r="BP54" s="308">
        <v>0</v>
      </c>
      <c r="BQ54" s="309" t="s">
        <v>1883</v>
      </c>
      <c r="BR54" s="281" t="s">
        <v>577</v>
      </c>
      <c r="BS54" s="301" t="s">
        <v>1885</v>
      </c>
      <c r="BT54" s="310" t="s">
        <v>1884</v>
      </c>
      <c r="BU54" s="311" t="s">
        <v>43</v>
      </c>
      <c r="BV54" s="367">
        <v>0</v>
      </c>
      <c r="BW54" s="312">
        <v>1</v>
      </c>
      <c r="BX54" s="287" t="s">
        <v>581</v>
      </c>
      <c r="BY54" s="287" t="s">
        <v>581</v>
      </c>
      <c r="BZ54" s="313" t="s">
        <v>1886</v>
      </c>
      <c r="CA54" s="308">
        <v>0</v>
      </c>
    </row>
    <row r="55" spans="1:79">
      <c r="A55" s="506" t="s">
        <v>2153</v>
      </c>
      <c r="B55" s="355" t="s">
        <v>680</v>
      </c>
      <c r="C55" s="281" t="s">
        <v>578</v>
      </c>
      <c r="D55" s="315" t="s">
        <v>682</v>
      </c>
      <c r="E55" s="289" t="s">
        <v>687</v>
      </c>
      <c r="F55" s="290" t="s">
        <v>43</v>
      </c>
      <c r="G55" s="287">
        <v>4.5</v>
      </c>
      <c r="H55" s="287">
        <v>1</v>
      </c>
      <c r="I55" s="287">
        <v>4.5</v>
      </c>
      <c r="J55" s="287" t="s">
        <v>581</v>
      </c>
      <c r="K55" s="287" t="s">
        <v>581</v>
      </c>
      <c r="L55" s="287" t="s">
        <v>740</v>
      </c>
      <c r="M55" s="510">
        <f>MAX(0,MIN(1,(G55-H55)/(Octave_1_KPIs[[#This Row],[Healthy_Min]]-Octave_1_KPIs[[#This Row],[Target_Min]])))</f>
        <v>1</v>
      </c>
      <c r="N55" s="293" t="s">
        <v>926</v>
      </c>
      <c r="O55" s="281" t="s">
        <v>578</v>
      </c>
      <c r="P55" s="294" t="s">
        <v>930</v>
      </c>
      <c r="Q55" s="363" t="s">
        <v>929</v>
      </c>
      <c r="R55" s="296" t="s">
        <v>43</v>
      </c>
      <c r="S55" s="318">
        <v>1</v>
      </c>
      <c r="T55" s="364">
        <v>4</v>
      </c>
      <c r="U55" s="287" t="s">
        <v>581</v>
      </c>
      <c r="V55" s="287" t="s">
        <v>581</v>
      </c>
      <c r="W55" s="362" t="s">
        <v>931</v>
      </c>
      <c r="X55" s="308">
        <v>0</v>
      </c>
      <c r="Y55" s="293" t="s">
        <v>1118</v>
      </c>
      <c r="Z55" s="281" t="s">
        <v>578</v>
      </c>
      <c r="AA55" s="378" t="s">
        <v>1123</v>
      </c>
      <c r="AB55" s="295" t="s">
        <v>1122</v>
      </c>
      <c r="AC55" s="296" t="s">
        <v>43</v>
      </c>
      <c r="AD55" s="318">
        <v>1</v>
      </c>
      <c r="AE55" s="364">
        <v>4.5</v>
      </c>
      <c r="AF55" s="287" t="s">
        <v>581</v>
      </c>
      <c r="AG55" s="287" t="s">
        <v>581</v>
      </c>
      <c r="AH55" s="298" t="s">
        <v>1124</v>
      </c>
      <c r="AI55" s="308">
        <v>0</v>
      </c>
      <c r="AJ55" s="299" t="s">
        <v>1307</v>
      </c>
      <c r="AK55" s="281" t="s">
        <v>578</v>
      </c>
      <c r="AL55" s="301" t="s">
        <v>1312</v>
      </c>
      <c r="AM55" s="302" t="s">
        <v>1311</v>
      </c>
      <c r="AN55" s="303" t="s">
        <v>43</v>
      </c>
      <c r="AO55" s="307">
        <v>1</v>
      </c>
      <c r="AP55" s="300">
        <v>4</v>
      </c>
      <c r="AQ55" s="287" t="s">
        <v>581</v>
      </c>
      <c r="AR55" s="287" t="s">
        <v>581</v>
      </c>
      <c r="AS55" s="306" t="s">
        <v>1313</v>
      </c>
      <c r="AT55" s="308">
        <v>0</v>
      </c>
      <c r="AU55" s="309" t="s">
        <v>1472</v>
      </c>
      <c r="AV55" s="281" t="s">
        <v>578</v>
      </c>
      <c r="AW55" s="301" t="s">
        <v>1477</v>
      </c>
      <c r="AX55" s="310" t="s">
        <v>1476</v>
      </c>
      <c r="AY55" s="311" t="s">
        <v>43</v>
      </c>
      <c r="AZ55" s="307">
        <v>1</v>
      </c>
      <c r="BA55" s="300">
        <v>4.8</v>
      </c>
      <c r="BB55" s="287" t="s">
        <v>581</v>
      </c>
      <c r="BC55" s="287" t="s">
        <v>581</v>
      </c>
      <c r="BD55" s="313" t="s">
        <v>1478</v>
      </c>
      <c r="BE55" s="308">
        <v>0</v>
      </c>
      <c r="BF55" s="309" t="s">
        <v>1690</v>
      </c>
      <c r="BG55" s="281" t="s">
        <v>578</v>
      </c>
      <c r="BH55" s="301" t="s">
        <v>1695</v>
      </c>
      <c r="BI55" s="310" t="s">
        <v>1694</v>
      </c>
      <c r="BJ55" s="311" t="s">
        <v>43</v>
      </c>
      <c r="BK55" s="307">
        <v>1</v>
      </c>
      <c r="BL55" s="300">
        <v>4.8</v>
      </c>
      <c r="BM55" s="287" t="s">
        <v>581</v>
      </c>
      <c r="BN55" s="287" t="s">
        <v>581</v>
      </c>
      <c r="BO55" s="313" t="s">
        <v>1696</v>
      </c>
      <c r="BP55" s="308">
        <v>0</v>
      </c>
      <c r="BQ55" s="309" t="s">
        <v>1883</v>
      </c>
      <c r="BR55" s="281" t="s">
        <v>578</v>
      </c>
      <c r="BS55" s="301" t="s">
        <v>1888</v>
      </c>
      <c r="BT55" s="310" t="s">
        <v>1887</v>
      </c>
      <c r="BU55" s="311" t="s">
        <v>43</v>
      </c>
      <c r="BV55" s="367">
        <v>1</v>
      </c>
      <c r="BW55" s="300">
        <v>5</v>
      </c>
      <c r="BX55" s="287" t="s">
        <v>581</v>
      </c>
      <c r="BY55" s="287" t="s">
        <v>581</v>
      </c>
      <c r="BZ55" s="313" t="s">
        <v>1889</v>
      </c>
      <c r="CA55" s="308">
        <v>0</v>
      </c>
    </row>
    <row r="56" spans="1:79">
      <c r="A56" s="506" t="s">
        <v>2153</v>
      </c>
      <c r="B56" s="355" t="s">
        <v>680</v>
      </c>
      <c r="C56" s="281" t="s">
        <v>775</v>
      </c>
      <c r="D56" s="315" t="s">
        <v>683</v>
      </c>
      <c r="E56" s="289" t="s">
        <v>688</v>
      </c>
      <c r="F56" s="290" t="s">
        <v>47</v>
      </c>
      <c r="G56" s="287">
        <v>1</v>
      </c>
      <c r="H56" s="287">
        <v>0</v>
      </c>
      <c r="I56" s="287">
        <v>1</v>
      </c>
      <c r="J56" s="287">
        <v>3</v>
      </c>
      <c r="K56" s="287">
        <v>7</v>
      </c>
      <c r="L56" s="287" t="s">
        <v>739</v>
      </c>
      <c r="M56" s="510">
        <f>IF(AND(Octave_1_KPIs[[#This Row],[Value]] &gt;= Octave_1_KPIs[[#This Row],[Healthy_Min]], Octave_1_KPIs[[#This Row],[Value]] &lt;= Octave_1_KPIs[[#This Row],[Healthy_Max]]), 1, IF(Octave_1_KPIs[[#This Row],[Value]] &lt; Octave_1_KPIs[[#This Row],[Healthy_Min]], MAX(0, (Octave_1_KPIs[[#This Row],[Value]] - Octave_1_KPIs[[#This Row],[Target_Min]]) / (Octave_1_KPIs[[#This Row],[Healthy_Min]] - Octave_1_KPIs[[#This Row],[Target_Min]])), MAX(0, 1 - (Octave_1_KPIs[[#This Row],[Value]] - Octave_1_KPIs[[#This Row],[Healthy_Max]]) / (Octave_1_KPIs[[#This Row],[Absolute_Max]] - Octave_1_KPIs[[#This Row],[Healthy_Max]]))))</f>
        <v>1</v>
      </c>
      <c r="N56" s="293" t="s">
        <v>926</v>
      </c>
      <c r="O56" s="281" t="s">
        <v>775</v>
      </c>
      <c r="P56" s="294" t="s">
        <v>933</v>
      </c>
      <c r="Q56" s="363" t="s">
        <v>932</v>
      </c>
      <c r="R56" s="296" t="s">
        <v>47</v>
      </c>
      <c r="S56" s="318">
        <v>0</v>
      </c>
      <c r="T56" s="364">
        <v>1</v>
      </c>
      <c r="U56" s="318">
        <v>3</v>
      </c>
      <c r="V56" s="364">
        <v>5</v>
      </c>
      <c r="W56" s="362" t="s">
        <v>934</v>
      </c>
      <c r="X56" s="308">
        <v>0</v>
      </c>
      <c r="Y56" s="293" t="s">
        <v>1118</v>
      </c>
      <c r="Z56" s="281" t="s">
        <v>775</v>
      </c>
      <c r="AA56" s="378" t="s">
        <v>1126</v>
      </c>
      <c r="AB56" s="295" t="s">
        <v>1125</v>
      </c>
      <c r="AC56" s="296" t="s">
        <v>47</v>
      </c>
      <c r="AD56" s="318">
        <v>0</v>
      </c>
      <c r="AE56" s="364">
        <v>1</v>
      </c>
      <c r="AF56" s="318">
        <v>3</v>
      </c>
      <c r="AG56" s="318">
        <v>5</v>
      </c>
      <c r="AH56" s="298" t="s">
        <v>1127</v>
      </c>
      <c r="AI56" s="308">
        <v>0</v>
      </c>
      <c r="AJ56" s="299" t="s">
        <v>1307</v>
      </c>
      <c r="AK56" s="281" t="s">
        <v>775</v>
      </c>
      <c r="AL56" s="301" t="s">
        <v>1315</v>
      </c>
      <c r="AM56" s="302" t="s">
        <v>1314</v>
      </c>
      <c r="AN56" s="303" t="s">
        <v>43</v>
      </c>
      <c r="AO56" s="307">
        <v>0</v>
      </c>
      <c r="AP56" s="300">
        <v>1</v>
      </c>
      <c r="AQ56" s="287" t="s">
        <v>581</v>
      </c>
      <c r="AR56" s="287" t="s">
        <v>581</v>
      </c>
      <c r="AS56" s="306" t="s">
        <v>1316</v>
      </c>
      <c r="AT56" s="308">
        <v>0</v>
      </c>
      <c r="AU56" s="309" t="s">
        <v>1472</v>
      </c>
      <c r="AV56" s="281" t="s">
        <v>775</v>
      </c>
      <c r="AW56" s="301" t="s">
        <v>1480</v>
      </c>
      <c r="AX56" s="310" t="s">
        <v>1479</v>
      </c>
      <c r="AY56" s="311" t="s">
        <v>47</v>
      </c>
      <c r="AZ56" s="307">
        <v>0</v>
      </c>
      <c r="BA56" s="300">
        <v>1</v>
      </c>
      <c r="BB56" s="307">
        <v>2</v>
      </c>
      <c r="BC56" s="307">
        <v>4</v>
      </c>
      <c r="BD56" s="313" t="s">
        <v>1481</v>
      </c>
      <c r="BE56" s="308">
        <v>0</v>
      </c>
      <c r="BF56" s="309" t="s">
        <v>1690</v>
      </c>
      <c r="BG56" s="281" t="s">
        <v>775</v>
      </c>
      <c r="BH56" s="301" t="s">
        <v>1698</v>
      </c>
      <c r="BI56" s="310" t="s">
        <v>1697</v>
      </c>
      <c r="BJ56" s="311" t="s">
        <v>47</v>
      </c>
      <c r="BK56" s="307">
        <v>0</v>
      </c>
      <c r="BL56" s="300">
        <v>1</v>
      </c>
      <c r="BM56" s="307">
        <v>1</v>
      </c>
      <c r="BN56" s="365">
        <v>2</v>
      </c>
      <c r="BO56" s="313" t="s">
        <v>1699</v>
      </c>
      <c r="BP56" s="308">
        <v>0</v>
      </c>
      <c r="BQ56" s="309" t="s">
        <v>1883</v>
      </c>
      <c r="BR56" s="281" t="s">
        <v>775</v>
      </c>
      <c r="BS56" s="301" t="s">
        <v>1891</v>
      </c>
      <c r="BT56" s="310" t="s">
        <v>1890</v>
      </c>
      <c r="BU56" s="311" t="s">
        <v>43</v>
      </c>
      <c r="BV56" s="367">
        <v>0</v>
      </c>
      <c r="BW56" s="312">
        <v>1</v>
      </c>
      <c r="BX56" s="287" t="s">
        <v>581</v>
      </c>
      <c r="BY56" s="287" t="s">
        <v>581</v>
      </c>
      <c r="BZ56" s="313" t="s">
        <v>1892</v>
      </c>
      <c r="CA56" s="308">
        <v>0</v>
      </c>
    </row>
    <row r="57" spans="1:79">
      <c r="A57" s="506" t="s">
        <v>2153</v>
      </c>
      <c r="B57" s="355" t="s">
        <v>680</v>
      </c>
      <c r="C57" s="281" t="s">
        <v>579</v>
      </c>
      <c r="D57" s="315" t="s">
        <v>684</v>
      </c>
      <c r="E57" s="289" t="s">
        <v>689</v>
      </c>
      <c r="F57" s="290" t="s">
        <v>43</v>
      </c>
      <c r="G57" s="287">
        <v>2.1</v>
      </c>
      <c r="H57" s="287">
        <v>1</v>
      </c>
      <c r="I57" s="287">
        <v>4</v>
      </c>
      <c r="J57" s="287" t="s">
        <v>581</v>
      </c>
      <c r="K57" s="287" t="s">
        <v>581</v>
      </c>
      <c r="L57" s="287" t="s">
        <v>738</v>
      </c>
      <c r="M57" s="510">
        <f>MAX(0,MIN(1,(G57-H57)/(Octave_1_KPIs[[#This Row],[Healthy_Min]]-Octave_1_KPIs[[#This Row],[Target_Min]])))</f>
        <v>0.3666666666666667</v>
      </c>
      <c r="N57" s="293" t="s">
        <v>926</v>
      </c>
      <c r="O57" s="281" t="s">
        <v>579</v>
      </c>
      <c r="P57" s="294" t="s">
        <v>936</v>
      </c>
      <c r="Q57" s="363" t="s">
        <v>935</v>
      </c>
      <c r="R57" s="296" t="s">
        <v>43</v>
      </c>
      <c r="S57" s="318">
        <v>1</v>
      </c>
      <c r="T57" s="364">
        <v>4.5</v>
      </c>
      <c r="U57" s="287" t="s">
        <v>581</v>
      </c>
      <c r="V57" s="287" t="s">
        <v>581</v>
      </c>
      <c r="W57" s="362" t="s">
        <v>937</v>
      </c>
      <c r="X57" s="308">
        <v>0</v>
      </c>
      <c r="Y57" s="293" t="s">
        <v>1118</v>
      </c>
      <c r="Z57" s="281" t="s">
        <v>579</v>
      </c>
      <c r="AA57" s="378" t="s">
        <v>1129</v>
      </c>
      <c r="AB57" s="295" t="s">
        <v>1128</v>
      </c>
      <c r="AC57" s="296" t="s">
        <v>43</v>
      </c>
      <c r="AD57" s="318">
        <v>1</v>
      </c>
      <c r="AE57" s="364">
        <v>4.8</v>
      </c>
      <c r="AF57" s="287" t="s">
        <v>581</v>
      </c>
      <c r="AG57" s="287" t="s">
        <v>581</v>
      </c>
      <c r="AH57" s="298" t="s">
        <v>1130</v>
      </c>
      <c r="AI57" s="308">
        <v>0</v>
      </c>
      <c r="AJ57" s="299" t="s">
        <v>1307</v>
      </c>
      <c r="AK57" s="281" t="s">
        <v>579</v>
      </c>
      <c r="AL57" s="301" t="s">
        <v>1318</v>
      </c>
      <c r="AM57" s="302" t="s">
        <v>1317</v>
      </c>
      <c r="AN57" s="303" t="s">
        <v>43</v>
      </c>
      <c r="AO57" s="307">
        <v>0</v>
      </c>
      <c r="AP57" s="312">
        <v>1</v>
      </c>
      <c r="AQ57" s="287" t="s">
        <v>581</v>
      </c>
      <c r="AR57" s="287" t="s">
        <v>581</v>
      </c>
      <c r="AS57" s="306" t="s">
        <v>1319</v>
      </c>
      <c r="AT57" s="308">
        <v>0</v>
      </c>
      <c r="AU57" s="309" t="s">
        <v>1472</v>
      </c>
      <c r="AV57" s="281" t="s">
        <v>579</v>
      </c>
      <c r="AW57" s="301" t="s">
        <v>1483</v>
      </c>
      <c r="AX57" s="310" t="s">
        <v>1482</v>
      </c>
      <c r="AY57" s="311" t="s">
        <v>43</v>
      </c>
      <c r="AZ57" s="307">
        <v>1</v>
      </c>
      <c r="BA57" s="300">
        <v>5</v>
      </c>
      <c r="BB57" s="287" t="s">
        <v>581</v>
      </c>
      <c r="BC57" s="287" t="s">
        <v>581</v>
      </c>
      <c r="BD57" s="313" t="s">
        <v>1484</v>
      </c>
      <c r="BE57" s="308">
        <v>0</v>
      </c>
      <c r="BF57" s="309" t="s">
        <v>1690</v>
      </c>
      <c r="BG57" s="281" t="s">
        <v>579</v>
      </c>
      <c r="BH57" s="301" t="s">
        <v>1701</v>
      </c>
      <c r="BI57" s="310" t="s">
        <v>1700</v>
      </c>
      <c r="BJ57" s="311" t="s">
        <v>43</v>
      </c>
      <c r="BK57" s="307">
        <v>1</v>
      </c>
      <c r="BL57" s="300">
        <v>5</v>
      </c>
      <c r="BM57" s="287" t="s">
        <v>581</v>
      </c>
      <c r="BN57" s="287" t="s">
        <v>581</v>
      </c>
      <c r="BO57" s="313" t="s">
        <v>1702</v>
      </c>
      <c r="BP57" s="308">
        <v>0</v>
      </c>
      <c r="BQ57" s="309" t="s">
        <v>1883</v>
      </c>
      <c r="BR57" s="281" t="s">
        <v>579</v>
      </c>
      <c r="BS57" s="301" t="s">
        <v>1894</v>
      </c>
      <c r="BT57" s="310" t="s">
        <v>1893</v>
      </c>
      <c r="BU57" s="311" t="s">
        <v>43</v>
      </c>
      <c r="BV57" s="367">
        <v>1</v>
      </c>
      <c r="BW57" s="300">
        <v>5</v>
      </c>
      <c r="BX57" s="287" t="s">
        <v>581</v>
      </c>
      <c r="BY57" s="287" t="s">
        <v>581</v>
      </c>
      <c r="BZ57" s="313" t="s">
        <v>1895</v>
      </c>
      <c r="CA57" s="308">
        <v>0</v>
      </c>
    </row>
    <row r="58" spans="1:79">
      <c r="A58" s="506" t="s">
        <v>2153</v>
      </c>
      <c r="B58" s="355" t="s">
        <v>680</v>
      </c>
      <c r="C58" s="281" t="s">
        <v>580</v>
      </c>
      <c r="D58" s="315" t="s">
        <v>685</v>
      </c>
      <c r="E58" s="289" t="s">
        <v>690</v>
      </c>
      <c r="F58" s="290" t="s">
        <v>43</v>
      </c>
      <c r="G58" s="287">
        <v>4.5</v>
      </c>
      <c r="H58" s="287">
        <v>1</v>
      </c>
      <c r="I58" s="287">
        <v>4.5</v>
      </c>
      <c r="J58" s="287" t="s">
        <v>581</v>
      </c>
      <c r="K58" s="287" t="s">
        <v>581</v>
      </c>
      <c r="L58" s="287" t="s">
        <v>737</v>
      </c>
      <c r="M58" s="510">
        <f>MAX(0,MIN(1,(G58-H58)/(Octave_1_KPIs[[#This Row],[Healthy_Min]]-Octave_1_KPIs[[#This Row],[Target_Min]])))</f>
        <v>1</v>
      </c>
      <c r="N58" s="293" t="s">
        <v>926</v>
      </c>
      <c r="O58" s="281" t="s">
        <v>580</v>
      </c>
      <c r="P58" s="294" t="s">
        <v>939</v>
      </c>
      <c r="Q58" s="363" t="s">
        <v>938</v>
      </c>
      <c r="R58" s="296" t="s">
        <v>43</v>
      </c>
      <c r="S58" s="318">
        <v>0</v>
      </c>
      <c r="T58" s="364">
        <v>1</v>
      </c>
      <c r="U58" s="287" t="s">
        <v>581</v>
      </c>
      <c r="V58" s="287" t="s">
        <v>581</v>
      </c>
      <c r="W58" s="362" t="s">
        <v>940</v>
      </c>
      <c r="X58" s="308">
        <v>0</v>
      </c>
      <c r="Y58" s="293" t="s">
        <v>1118</v>
      </c>
      <c r="Z58" s="281" t="s">
        <v>580</v>
      </c>
      <c r="AA58" s="378" t="s">
        <v>1132</v>
      </c>
      <c r="AB58" s="295" t="s">
        <v>1131</v>
      </c>
      <c r="AC58" s="296" t="s">
        <v>43</v>
      </c>
      <c r="AD58" s="318">
        <v>1</v>
      </c>
      <c r="AE58" s="364">
        <v>4.5</v>
      </c>
      <c r="AF58" s="287" t="s">
        <v>581</v>
      </c>
      <c r="AG58" s="287" t="s">
        <v>581</v>
      </c>
      <c r="AH58" s="298" t="s">
        <v>1133</v>
      </c>
      <c r="AI58" s="308">
        <v>0</v>
      </c>
      <c r="AJ58" s="299" t="s">
        <v>1307</v>
      </c>
      <c r="AK58" s="281" t="s">
        <v>580</v>
      </c>
      <c r="AL58" s="301" t="s">
        <v>1321</v>
      </c>
      <c r="AM58" s="302" t="s">
        <v>1320</v>
      </c>
      <c r="AN58" s="303" t="s">
        <v>43</v>
      </c>
      <c r="AO58" s="307">
        <v>1</v>
      </c>
      <c r="AP58" s="300">
        <v>5</v>
      </c>
      <c r="AQ58" s="287" t="s">
        <v>581</v>
      </c>
      <c r="AR58" s="287" t="s">
        <v>581</v>
      </c>
      <c r="AS58" s="306" t="s">
        <v>1322</v>
      </c>
      <c r="AT58" s="308">
        <v>0</v>
      </c>
      <c r="AU58" s="309" t="s">
        <v>1472</v>
      </c>
      <c r="AV58" s="281" t="s">
        <v>580</v>
      </c>
      <c r="AW58" s="301" t="s">
        <v>1486</v>
      </c>
      <c r="AX58" s="310" t="s">
        <v>1485</v>
      </c>
      <c r="AY58" s="311" t="s">
        <v>43</v>
      </c>
      <c r="AZ58" s="307">
        <v>1</v>
      </c>
      <c r="BA58" s="300">
        <v>4.5</v>
      </c>
      <c r="BB58" s="287" t="s">
        <v>581</v>
      </c>
      <c r="BC58" s="287" t="s">
        <v>581</v>
      </c>
      <c r="BD58" s="313" t="s">
        <v>1487</v>
      </c>
      <c r="BE58" s="308">
        <v>0</v>
      </c>
      <c r="BF58" s="309" t="s">
        <v>1690</v>
      </c>
      <c r="BG58" s="281" t="s">
        <v>580</v>
      </c>
      <c r="BH58" s="301" t="s">
        <v>1704</v>
      </c>
      <c r="BI58" s="310" t="s">
        <v>1703</v>
      </c>
      <c r="BJ58" s="311" t="s">
        <v>43</v>
      </c>
      <c r="BK58" s="307">
        <v>1</v>
      </c>
      <c r="BL58" s="300">
        <v>5</v>
      </c>
      <c r="BM58" s="287" t="s">
        <v>581</v>
      </c>
      <c r="BN58" s="287" t="s">
        <v>581</v>
      </c>
      <c r="BO58" s="313" t="s">
        <v>1753</v>
      </c>
      <c r="BP58" s="308">
        <v>0</v>
      </c>
      <c r="BQ58" s="309" t="s">
        <v>1883</v>
      </c>
      <c r="BR58" s="281" t="s">
        <v>580</v>
      </c>
      <c r="BS58" s="301" t="s">
        <v>1897</v>
      </c>
      <c r="BT58" s="310" t="s">
        <v>1896</v>
      </c>
      <c r="BU58" s="311" t="s">
        <v>43</v>
      </c>
      <c r="BV58" s="367">
        <v>1</v>
      </c>
      <c r="BW58" s="300">
        <v>5</v>
      </c>
      <c r="BX58" s="287" t="s">
        <v>581</v>
      </c>
      <c r="BY58" s="287" t="s">
        <v>581</v>
      </c>
      <c r="BZ58" s="313" t="s">
        <v>1898</v>
      </c>
      <c r="CA58" s="308">
        <v>0</v>
      </c>
    </row>
    <row r="59" spans="1:79">
      <c r="A59" s="506" t="s">
        <v>2154</v>
      </c>
      <c r="B59" s="379" t="s">
        <v>691</v>
      </c>
      <c r="C59" s="281" t="s">
        <v>577</v>
      </c>
      <c r="D59" s="380" t="s">
        <v>692</v>
      </c>
      <c r="E59" s="381" t="s">
        <v>636</v>
      </c>
      <c r="F59" s="413" t="s">
        <v>43</v>
      </c>
      <c r="G59" s="357">
        <v>0.9</v>
      </c>
      <c r="H59" s="330">
        <v>0</v>
      </c>
      <c r="I59" s="382">
        <v>1</v>
      </c>
      <c r="J59" s="330" t="s">
        <v>581</v>
      </c>
      <c r="K59" s="330" t="s">
        <v>581</v>
      </c>
      <c r="L59" s="330" t="s">
        <v>736</v>
      </c>
      <c r="M59" s="510">
        <f>MAX(0,MIN(1,(G59-H59)/(Octave_1_KPIs[[#This Row],[Healthy_Min]]-Octave_1_KPIs[[#This Row],[Target_Min]])))</f>
        <v>0.9</v>
      </c>
      <c r="N59" s="359" t="s">
        <v>941</v>
      </c>
      <c r="O59" s="281" t="s">
        <v>577</v>
      </c>
      <c r="P59" s="360" t="s">
        <v>942</v>
      </c>
      <c r="Q59" s="370" t="s">
        <v>509</v>
      </c>
      <c r="R59" s="340" t="s">
        <v>43</v>
      </c>
      <c r="S59" s="335">
        <v>1</v>
      </c>
      <c r="T59" s="337">
        <v>4.5</v>
      </c>
      <c r="U59" s="330" t="s">
        <v>581</v>
      </c>
      <c r="V59" s="330" t="s">
        <v>581</v>
      </c>
      <c r="W59" s="369" t="s">
        <v>943</v>
      </c>
      <c r="X59" s="308">
        <v>0</v>
      </c>
      <c r="Y59" s="359" t="s">
        <v>1134</v>
      </c>
      <c r="Z59" s="281" t="s">
        <v>577</v>
      </c>
      <c r="AA59" s="372" t="s">
        <v>1135</v>
      </c>
      <c r="AB59" s="339" t="s">
        <v>509</v>
      </c>
      <c r="AC59" s="340" t="s">
        <v>43</v>
      </c>
      <c r="AD59" s="335">
        <v>1</v>
      </c>
      <c r="AE59" s="337">
        <v>4.5</v>
      </c>
      <c r="AF59" s="326" t="s">
        <v>581</v>
      </c>
      <c r="AG59" s="326" t="s">
        <v>581</v>
      </c>
      <c r="AH59" s="341" t="s">
        <v>1136</v>
      </c>
      <c r="AI59" s="308">
        <v>0</v>
      </c>
      <c r="AJ59" s="331" t="s">
        <v>1323</v>
      </c>
      <c r="AK59" s="281" t="s">
        <v>577</v>
      </c>
      <c r="AL59" s="332" t="s">
        <v>1325</v>
      </c>
      <c r="AM59" s="333" t="s">
        <v>1324</v>
      </c>
      <c r="AN59" s="340" t="s">
        <v>43</v>
      </c>
      <c r="AO59" s="335">
        <v>1</v>
      </c>
      <c r="AP59" s="337">
        <v>4.5</v>
      </c>
      <c r="AQ59" s="326" t="s">
        <v>581</v>
      </c>
      <c r="AR59" s="326" t="s">
        <v>581</v>
      </c>
      <c r="AS59" s="341" t="s">
        <v>1326</v>
      </c>
      <c r="AT59" s="308">
        <v>0</v>
      </c>
      <c r="AU59" s="373" t="s">
        <v>1488</v>
      </c>
      <c r="AV59" s="281" t="s">
        <v>577</v>
      </c>
      <c r="AW59" s="360" t="s">
        <v>1489</v>
      </c>
      <c r="AX59" s="370" t="s">
        <v>512</v>
      </c>
      <c r="AY59" s="349" t="s">
        <v>43</v>
      </c>
      <c r="AZ59" s="335">
        <v>1</v>
      </c>
      <c r="BA59" s="337">
        <v>5</v>
      </c>
      <c r="BB59" s="326" t="s">
        <v>581</v>
      </c>
      <c r="BC59" s="326" t="s">
        <v>581</v>
      </c>
      <c r="BD59" s="369" t="s">
        <v>1490</v>
      </c>
      <c r="BE59" s="308">
        <v>0</v>
      </c>
      <c r="BF59" s="374" t="s">
        <v>1705</v>
      </c>
      <c r="BG59" s="281" t="s">
        <v>577</v>
      </c>
      <c r="BH59" s="332" t="s">
        <v>1707</v>
      </c>
      <c r="BI59" s="348" t="s">
        <v>1706</v>
      </c>
      <c r="BJ59" s="361" t="s">
        <v>43</v>
      </c>
      <c r="BK59" s="335">
        <v>1</v>
      </c>
      <c r="BL59" s="337">
        <v>5</v>
      </c>
      <c r="BM59" s="326" t="s">
        <v>581</v>
      </c>
      <c r="BN59" s="326" t="s">
        <v>581</v>
      </c>
      <c r="BO59" s="350" t="s">
        <v>1708</v>
      </c>
      <c r="BP59" s="308">
        <v>0</v>
      </c>
      <c r="BQ59" s="374" t="s">
        <v>1899</v>
      </c>
      <c r="BR59" s="281" t="s">
        <v>577</v>
      </c>
      <c r="BS59" s="332" t="s">
        <v>1901</v>
      </c>
      <c r="BT59" s="348" t="s">
        <v>1900</v>
      </c>
      <c r="BU59" s="361" t="s">
        <v>43</v>
      </c>
      <c r="BV59" s="375">
        <v>1</v>
      </c>
      <c r="BW59" s="337">
        <v>4.8</v>
      </c>
      <c r="BX59" s="326" t="s">
        <v>581</v>
      </c>
      <c r="BY59" s="326" t="s">
        <v>581</v>
      </c>
      <c r="BZ59" s="369" t="s">
        <v>1902</v>
      </c>
      <c r="CA59" s="308">
        <v>0</v>
      </c>
    </row>
    <row r="60" spans="1:79">
      <c r="A60" s="506" t="s">
        <v>2154</v>
      </c>
      <c r="B60" s="379" t="s">
        <v>691</v>
      </c>
      <c r="C60" s="281" t="s">
        <v>578</v>
      </c>
      <c r="D60" s="380" t="s">
        <v>693</v>
      </c>
      <c r="E60" s="381" t="s">
        <v>697</v>
      </c>
      <c r="F60" s="413" t="s">
        <v>43</v>
      </c>
      <c r="G60" s="330">
        <v>9</v>
      </c>
      <c r="H60" s="330">
        <v>1</v>
      </c>
      <c r="I60" s="330">
        <v>9</v>
      </c>
      <c r="J60" s="330" t="s">
        <v>581</v>
      </c>
      <c r="K60" s="330" t="s">
        <v>581</v>
      </c>
      <c r="L60" s="330" t="s">
        <v>735</v>
      </c>
      <c r="M60" s="510">
        <f>MAX(0,MIN(1,(G60-H60)/(Octave_1_KPIs[[#This Row],[Healthy_Min]]-Octave_1_KPIs[[#This Row],[Target_Min]])))</f>
        <v>1</v>
      </c>
      <c r="N60" s="359" t="s">
        <v>941</v>
      </c>
      <c r="O60" s="281" t="s">
        <v>578</v>
      </c>
      <c r="P60" s="360" t="s">
        <v>945</v>
      </c>
      <c r="Q60" s="370" t="s">
        <v>944</v>
      </c>
      <c r="R60" s="340" t="s">
        <v>43</v>
      </c>
      <c r="S60" s="335">
        <v>1</v>
      </c>
      <c r="T60" s="337">
        <v>4</v>
      </c>
      <c r="U60" s="330" t="s">
        <v>581</v>
      </c>
      <c r="V60" s="330" t="s">
        <v>581</v>
      </c>
      <c r="W60" s="369" t="s">
        <v>946</v>
      </c>
      <c r="X60" s="308">
        <v>0</v>
      </c>
      <c r="Y60" s="359" t="s">
        <v>1134</v>
      </c>
      <c r="Z60" s="281" t="s">
        <v>578</v>
      </c>
      <c r="AA60" s="372" t="s">
        <v>1138</v>
      </c>
      <c r="AB60" s="339" t="s">
        <v>1137</v>
      </c>
      <c r="AC60" s="340" t="s">
        <v>43</v>
      </c>
      <c r="AD60" s="335">
        <v>1</v>
      </c>
      <c r="AE60" s="337">
        <v>4.5</v>
      </c>
      <c r="AF60" s="326" t="s">
        <v>581</v>
      </c>
      <c r="AG60" s="326" t="s">
        <v>581</v>
      </c>
      <c r="AH60" s="341" t="s">
        <v>1139</v>
      </c>
      <c r="AI60" s="308">
        <v>0</v>
      </c>
      <c r="AJ60" s="331" t="s">
        <v>1323</v>
      </c>
      <c r="AK60" s="281" t="s">
        <v>578</v>
      </c>
      <c r="AL60" s="332" t="s">
        <v>1328</v>
      </c>
      <c r="AM60" s="333" t="s">
        <v>1327</v>
      </c>
      <c r="AN60" s="340" t="s">
        <v>43</v>
      </c>
      <c r="AO60" s="335">
        <v>1</v>
      </c>
      <c r="AP60" s="337">
        <v>4</v>
      </c>
      <c r="AQ60" s="326" t="s">
        <v>581</v>
      </c>
      <c r="AR60" s="326" t="s">
        <v>581</v>
      </c>
      <c r="AS60" s="341" t="s">
        <v>1370</v>
      </c>
      <c r="AT60" s="308">
        <v>0</v>
      </c>
      <c r="AU60" s="373" t="s">
        <v>1488</v>
      </c>
      <c r="AV60" s="281" t="s">
        <v>578</v>
      </c>
      <c r="AW60" s="360" t="s">
        <v>1492</v>
      </c>
      <c r="AX60" s="370" t="s">
        <v>1491</v>
      </c>
      <c r="AY60" s="349" t="s">
        <v>43</v>
      </c>
      <c r="AZ60" s="335">
        <v>1</v>
      </c>
      <c r="BA60" s="337">
        <v>4.5</v>
      </c>
      <c r="BB60" s="326" t="s">
        <v>581</v>
      </c>
      <c r="BC60" s="326" t="s">
        <v>581</v>
      </c>
      <c r="BD60" s="369" t="s">
        <v>1493</v>
      </c>
      <c r="BE60" s="308">
        <v>0</v>
      </c>
      <c r="BF60" s="374" t="s">
        <v>1705</v>
      </c>
      <c r="BG60" s="281" t="s">
        <v>578</v>
      </c>
      <c r="BH60" s="332" t="s">
        <v>1710</v>
      </c>
      <c r="BI60" s="348" t="s">
        <v>1709</v>
      </c>
      <c r="BJ60" s="361" t="s">
        <v>43</v>
      </c>
      <c r="BK60" s="353">
        <v>0.75</v>
      </c>
      <c r="BL60" s="354">
        <v>0.95</v>
      </c>
      <c r="BM60" s="326" t="s">
        <v>581</v>
      </c>
      <c r="BN60" s="326" t="s">
        <v>581</v>
      </c>
      <c r="BO60" s="350" t="s">
        <v>1711</v>
      </c>
      <c r="BP60" s="308">
        <v>0</v>
      </c>
      <c r="BQ60" s="374" t="s">
        <v>1899</v>
      </c>
      <c r="BR60" s="281" t="s">
        <v>578</v>
      </c>
      <c r="BS60" s="332" t="s">
        <v>1904</v>
      </c>
      <c r="BT60" s="348" t="s">
        <v>1903</v>
      </c>
      <c r="BU60" s="361" t="s">
        <v>43</v>
      </c>
      <c r="BV60" s="375">
        <v>1</v>
      </c>
      <c r="BW60" s="337">
        <v>5</v>
      </c>
      <c r="BX60" s="326" t="s">
        <v>581</v>
      </c>
      <c r="BY60" s="326" t="s">
        <v>581</v>
      </c>
      <c r="BZ60" s="369" t="s">
        <v>1905</v>
      </c>
      <c r="CA60" s="308">
        <v>0</v>
      </c>
    </row>
    <row r="61" spans="1:79">
      <c r="A61" s="506" t="s">
        <v>2154</v>
      </c>
      <c r="B61" s="379" t="s">
        <v>691</v>
      </c>
      <c r="C61" s="281" t="s">
        <v>775</v>
      </c>
      <c r="D61" s="380" t="s">
        <v>694</v>
      </c>
      <c r="E61" s="381" t="s">
        <v>698</v>
      </c>
      <c r="F61" s="413" t="s">
        <v>47</v>
      </c>
      <c r="G61" s="330">
        <v>3</v>
      </c>
      <c r="H61" s="330">
        <v>0</v>
      </c>
      <c r="I61" s="330">
        <v>1</v>
      </c>
      <c r="J61" s="330">
        <v>2</v>
      </c>
      <c r="K61" s="330">
        <v>5</v>
      </c>
      <c r="L61" s="330" t="s">
        <v>734</v>
      </c>
      <c r="M61" s="510">
        <f>IF(AND(Octave_1_KPIs[[#This Row],[Value]] &gt;= Octave_1_KPIs[[#This Row],[Healthy_Min]], Octave_1_KPIs[[#This Row],[Value]] &lt;= Octave_1_KPIs[[#This Row],[Healthy_Max]]), 1, IF(Octave_1_KPIs[[#This Row],[Value]] &lt; Octave_1_KPIs[[#This Row],[Healthy_Min]], MAX(0, (Octave_1_KPIs[[#This Row],[Value]] - Octave_1_KPIs[[#This Row],[Target_Min]]) / (Octave_1_KPIs[[#This Row],[Healthy_Min]] - Octave_1_KPIs[[#This Row],[Target_Min]])), MAX(0, 1 - (Octave_1_KPIs[[#This Row],[Value]] - Octave_1_KPIs[[#This Row],[Healthy_Max]]) / (Octave_1_KPIs[[#This Row],[Absolute_Max]] - Octave_1_KPIs[[#This Row],[Healthy_Max]]))))</f>
        <v>0.66666666666666674</v>
      </c>
      <c r="N61" s="359" t="s">
        <v>941</v>
      </c>
      <c r="O61" s="281" t="s">
        <v>775</v>
      </c>
      <c r="P61" s="360" t="s">
        <v>948</v>
      </c>
      <c r="Q61" s="370" t="s">
        <v>947</v>
      </c>
      <c r="R61" s="340" t="s">
        <v>47</v>
      </c>
      <c r="S61" s="335">
        <v>0</v>
      </c>
      <c r="T61" s="337">
        <v>1</v>
      </c>
      <c r="U61" s="335">
        <v>2</v>
      </c>
      <c r="V61" s="337">
        <v>4</v>
      </c>
      <c r="W61" s="369" t="s">
        <v>949</v>
      </c>
      <c r="X61" s="308">
        <v>0</v>
      </c>
      <c r="Y61" s="359" t="s">
        <v>1134</v>
      </c>
      <c r="Z61" s="281" t="s">
        <v>775</v>
      </c>
      <c r="AA61" s="372" t="s">
        <v>1141</v>
      </c>
      <c r="AB61" s="339" t="s">
        <v>1140</v>
      </c>
      <c r="AC61" s="340" t="s">
        <v>47</v>
      </c>
      <c r="AD61" s="335">
        <v>0</v>
      </c>
      <c r="AE61" s="337">
        <v>1</v>
      </c>
      <c r="AF61" s="335">
        <v>2</v>
      </c>
      <c r="AG61" s="335">
        <v>4</v>
      </c>
      <c r="AH61" s="341" t="s">
        <v>1142</v>
      </c>
      <c r="AI61" s="308">
        <v>0</v>
      </c>
      <c r="AJ61" s="331" t="s">
        <v>1323</v>
      </c>
      <c r="AK61" s="281" t="s">
        <v>775</v>
      </c>
      <c r="AL61" s="332" t="s">
        <v>1330</v>
      </c>
      <c r="AM61" s="333" t="s">
        <v>1329</v>
      </c>
      <c r="AN61" s="340" t="s">
        <v>47</v>
      </c>
      <c r="AO61" s="335">
        <v>0</v>
      </c>
      <c r="AP61" s="337">
        <v>1</v>
      </c>
      <c r="AQ61" s="335">
        <v>2</v>
      </c>
      <c r="AR61" s="335">
        <v>3</v>
      </c>
      <c r="AS61" s="341" t="s">
        <v>1331</v>
      </c>
      <c r="AT61" s="308">
        <v>0</v>
      </c>
      <c r="AU61" s="373" t="s">
        <v>1488</v>
      </c>
      <c r="AV61" s="281" t="s">
        <v>775</v>
      </c>
      <c r="AW61" s="360" t="s">
        <v>1495</v>
      </c>
      <c r="AX61" s="370" t="s">
        <v>1494</v>
      </c>
      <c r="AY61" s="349" t="s">
        <v>47</v>
      </c>
      <c r="AZ61" s="335">
        <v>0</v>
      </c>
      <c r="BA61" s="337">
        <v>1</v>
      </c>
      <c r="BB61" s="335">
        <v>4</v>
      </c>
      <c r="BC61" s="335">
        <v>8</v>
      </c>
      <c r="BD61" s="369" t="s">
        <v>1496</v>
      </c>
      <c r="BE61" s="308">
        <v>0</v>
      </c>
      <c r="BF61" s="374" t="s">
        <v>1705</v>
      </c>
      <c r="BG61" s="281" t="s">
        <v>775</v>
      </c>
      <c r="BH61" s="332" t="s">
        <v>1713</v>
      </c>
      <c r="BI61" s="348" t="s">
        <v>1712</v>
      </c>
      <c r="BJ61" s="361" t="s">
        <v>43</v>
      </c>
      <c r="BK61" s="335">
        <v>1</v>
      </c>
      <c r="BL61" s="337">
        <v>5</v>
      </c>
      <c r="BM61" s="326" t="s">
        <v>581</v>
      </c>
      <c r="BN61" s="326" t="s">
        <v>581</v>
      </c>
      <c r="BO61" s="350" t="s">
        <v>1714</v>
      </c>
      <c r="BP61" s="308">
        <v>0</v>
      </c>
      <c r="BQ61" s="374" t="s">
        <v>1899</v>
      </c>
      <c r="BR61" s="281" t="s">
        <v>775</v>
      </c>
      <c r="BS61" s="332" t="s">
        <v>1907</v>
      </c>
      <c r="BT61" s="348" t="s">
        <v>1906</v>
      </c>
      <c r="BU61" s="361" t="s">
        <v>43</v>
      </c>
      <c r="BV61" s="375" t="s">
        <v>895</v>
      </c>
      <c r="BW61" s="337" t="s">
        <v>892</v>
      </c>
      <c r="BX61" s="326" t="s">
        <v>581</v>
      </c>
      <c r="BY61" s="326" t="s">
        <v>581</v>
      </c>
      <c r="BZ61" s="369" t="s">
        <v>1908</v>
      </c>
      <c r="CA61" s="308">
        <v>0</v>
      </c>
    </row>
    <row r="62" spans="1:79">
      <c r="A62" s="506" t="s">
        <v>2154</v>
      </c>
      <c r="B62" s="379" t="s">
        <v>691</v>
      </c>
      <c r="C62" s="281" t="s">
        <v>579</v>
      </c>
      <c r="D62" s="380" t="s">
        <v>695</v>
      </c>
      <c r="E62" s="381" t="s">
        <v>699</v>
      </c>
      <c r="F62" s="413" t="s">
        <v>43</v>
      </c>
      <c r="G62" s="330">
        <v>0</v>
      </c>
      <c r="H62" s="330">
        <v>1</v>
      </c>
      <c r="I62" s="330">
        <v>4.5</v>
      </c>
      <c r="J62" s="330" t="s">
        <v>581</v>
      </c>
      <c r="K62" s="330" t="s">
        <v>581</v>
      </c>
      <c r="L62" s="330" t="s">
        <v>733</v>
      </c>
      <c r="M62" s="510">
        <f>MAX(0,MIN(1,(G62-H62)/(Octave_1_KPIs[[#This Row],[Healthy_Min]]-Octave_1_KPIs[[#This Row],[Target_Min]])))</f>
        <v>0</v>
      </c>
      <c r="N62" s="359" t="s">
        <v>941</v>
      </c>
      <c r="O62" s="281" t="s">
        <v>579</v>
      </c>
      <c r="P62" s="360" t="s">
        <v>951</v>
      </c>
      <c r="Q62" s="370" t="s">
        <v>950</v>
      </c>
      <c r="R62" s="340" t="s">
        <v>43</v>
      </c>
      <c r="S62" s="335">
        <v>1</v>
      </c>
      <c r="T62" s="337">
        <v>5</v>
      </c>
      <c r="U62" s="330" t="s">
        <v>581</v>
      </c>
      <c r="V62" s="330" t="s">
        <v>581</v>
      </c>
      <c r="W62" s="369" t="s">
        <v>952</v>
      </c>
      <c r="X62" s="308">
        <v>0</v>
      </c>
      <c r="Y62" s="359" t="s">
        <v>1134</v>
      </c>
      <c r="Z62" s="281" t="s">
        <v>579</v>
      </c>
      <c r="AA62" s="372" t="s">
        <v>1144</v>
      </c>
      <c r="AB62" s="339" t="s">
        <v>1143</v>
      </c>
      <c r="AC62" s="340" t="s">
        <v>43</v>
      </c>
      <c r="AD62" s="353">
        <v>0.5</v>
      </c>
      <c r="AE62" s="354">
        <v>0.95</v>
      </c>
      <c r="AF62" s="326" t="s">
        <v>581</v>
      </c>
      <c r="AG62" s="326" t="s">
        <v>581</v>
      </c>
      <c r="AH62" s="341" t="s">
        <v>1145</v>
      </c>
      <c r="AI62" s="308">
        <v>0</v>
      </c>
      <c r="AJ62" s="331" t="s">
        <v>1323</v>
      </c>
      <c r="AK62" s="281" t="s">
        <v>579</v>
      </c>
      <c r="AL62" s="332" t="s">
        <v>1333</v>
      </c>
      <c r="AM62" s="333" t="s">
        <v>1332</v>
      </c>
      <c r="AN62" s="340" t="s">
        <v>43</v>
      </c>
      <c r="AO62" s="335">
        <v>1</v>
      </c>
      <c r="AP62" s="337">
        <v>5</v>
      </c>
      <c r="AQ62" s="326" t="s">
        <v>581</v>
      </c>
      <c r="AR62" s="326" t="s">
        <v>581</v>
      </c>
      <c r="AS62" s="341" t="s">
        <v>1371</v>
      </c>
      <c r="AT62" s="308">
        <v>0</v>
      </c>
      <c r="AU62" s="373" t="s">
        <v>1488</v>
      </c>
      <c r="AV62" s="281" t="s">
        <v>579</v>
      </c>
      <c r="AW62" s="360" t="s">
        <v>1498</v>
      </c>
      <c r="AX62" s="370" t="s">
        <v>1497</v>
      </c>
      <c r="AY62" s="349" t="s">
        <v>43</v>
      </c>
      <c r="AZ62" s="335">
        <v>1</v>
      </c>
      <c r="BA62" s="337">
        <v>4.8</v>
      </c>
      <c r="BB62" s="326" t="s">
        <v>581</v>
      </c>
      <c r="BC62" s="326" t="s">
        <v>581</v>
      </c>
      <c r="BD62" s="369" t="s">
        <v>1499</v>
      </c>
      <c r="BE62" s="308">
        <v>0</v>
      </c>
      <c r="BF62" s="374" t="s">
        <v>1705</v>
      </c>
      <c r="BG62" s="281" t="s">
        <v>579</v>
      </c>
      <c r="BH62" s="332" t="s">
        <v>1716</v>
      </c>
      <c r="BI62" s="348" t="s">
        <v>1715</v>
      </c>
      <c r="BJ62" s="361" t="s">
        <v>43</v>
      </c>
      <c r="BK62" s="335">
        <v>1</v>
      </c>
      <c r="BL62" s="337">
        <v>4.5</v>
      </c>
      <c r="BM62" s="326" t="s">
        <v>581</v>
      </c>
      <c r="BN62" s="326" t="s">
        <v>581</v>
      </c>
      <c r="BO62" s="350" t="s">
        <v>1717</v>
      </c>
      <c r="BP62" s="308">
        <v>0</v>
      </c>
      <c r="BQ62" s="374" t="s">
        <v>1899</v>
      </c>
      <c r="BR62" s="281" t="s">
        <v>579</v>
      </c>
      <c r="BS62" s="332" t="s">
        <v>1910</v>
      </c>
      <c r="BT62" s="348" t="s">
        <v>1909</v>
      </c>
      <c r="BU62" s="361" t="s">
        <v>43</v>
      </c>
      <c r="BV62" s="375">
        <v>0</v>
      </c>
      <c r="BW62" s="346">
        <v>1</v>
      </c>
      <c r="BX62" s="326" t="s">
        <v>581</v>
      </c>
      <c r="BY62" s="326" t="s">
        <v>581</v>
      </c>
      <c r="BZ62" s="369" t="s">
        <v>1911</v>
      </c>
      <c r="CA62" s="308">
        <v>0</v>
      </c>
    </row>
    <row r="63" spans="1:79">
      <c r="A63" s="506" t="s">
        <v>2154</v>
      </c>
      <c r="B63" s="379" t="s">
        <v>691</v>
      </c>
      <c r="C63" s="281" t="s">
        <v>580</v>
      </c>
      <c r="D63" s="380" t="s">
        <v>696</v>
      </c>
      <c r="E63" s="381" t="s">
        <v>700</v>
      </c>
      <c r="F63" s="413" t="s">
        <v>43</v>
      </c>
      <c r="G63" s="330">
        <v>5</v>
      </c>
      <c r="H63" s="330">
        <v>1</v>
      </c>
      <c r="I63" s="330">
        <v>5</v>
      </c>
      <c r="J63" s="330" t="s">
        <v>581</v>
      </c>
      <c r="K63" s="330" t="s">
        <v>581</v>
      </c>
      <c r="L63" s="330" t="s">
        <v>732</v>
      </c>
      <c r="M63" s="510">
        <f>MAX(0,MIN(1,(G63-H63)/(Octave_1_KPIs[[#This Row],[Healthy_Min]]-Octave_1_KPIs[[#This Row],[Target_Min]])))</f>
        <v>1</v>
      </c>
      <c r="N63" s="359" t="s">
        <v>941</v>
      </c>
      <c r="O63" s="281" t="s">
        <v>580</v>
      </c>
      <c r="P63" s="360" t="s">
        <v>953</v>
      </c>
      <c r="Q63" s="370" t="s">
        <v>510</v>
      </c>
      <c r="R63" s="340" t="s">
        <v>43</v>
      </c>
      <c r="S63" s="335">
        <v>1</v>
      </c>
      <c r="T63" s="337">
        <v>4.5</v>
      </c>
      <c r="U63" s="330" t="s">
        <v>581</v>
      </c>
      <c r="V63" s="330" t="s">
        <v>581</v>
      </c>
      <c r="W63" s="369" t="s">
        <v>954</v>
      </c>
      <c r="X63" s="308">
        <v>0</v>
      </c>
      <c r="Y63" s="359" t="s">
        <v>1134</v>
      </c>
      <c r="Z63" s="281" t="s">
        <v>580</v>
      </c>
      <c r="AA63" s="372" t="s">
        <v>1146</v>
      </c>
      <c r="AB63" s="339" t="s">
        <v>510</v>
      </c>
      <c r="AC63" s="340" t="s">
        <v>43</v>
      </c>
      <c r="AD63" s="335">
        <v>1</v>
      </c>
      <c r="AE63" s="337">
        <v>4.8</v>
      </c>
      <c r="AF63" s="326" t="s">
        <v>581</v>
      </c>
      <c r="AG63" s="326" t="s">
        <v>581</v>
      </c>
      <c r="AH63" s="341" t="s">
        <v>954</v>
      </c>
      <c r="AI63" s="308">
        <v>0</v>
      </c>
      <c r="AJ63" s="331" t="s">
        <v>1323</v>
      </c>
      <c r="AK63" s="281" t="s">
        <v>580</v>
      </c>
      <c r="AL63" s="332" t="s">
        <v>1335</v>
      </c>
      <c r="AM63" s="333" t="s">
        <v>1334</v>
      </c>
      <c r="AN63" s="340" t="s">
        <v>43</v>
      </c>
      <c r="AO63" s="335">
        <v>1</v>
      </c>
      <c r="AP63" s="337">
        <v>4.5</v>
      </c>
      <c r="AQ63" s="326" t="s">
        <v>581</v>
      </c>
      <c r="AR63" s="326" t="s">
        <v>581</v>
      </c>
      <c r="AS63" s="341" t="s">
        <v>1336</v>
      </c>
      <c r="AT63" s="308">
        <v>0</v>
      </c>
      <c r="AU63" s="373" t="s">
        <v>1488</v>
      </c>
      <c r="AV63" s="281" t="s">
        <v>580</v>
      </c>
      <c r="AW63" s="360" t="s">
        <v>1501</v>
      </c>
      <c r="AX63" s="370" t="s">
        <v>1500</v>
      </c>
      <c r="AY63" s="349" t="s">
        <v>43</v>
      </c>
      <c r="AZ63" s="335">
        <v>1</v>
      </c>
      <c r="BA63" s="337">
        <v>4.5</v>
      </c>
      <c r="BB63" s="326" t="s">
        <v>581</v>
      </c>
      <c r="BC63" s="326" t="s">
        <v>581</v>
      </c>
      <c r="BD63" s="369" t="s">
        <v>1502</v>
      </c>
      <c r="BE63" s="308">
        <v>0</v>
      </c>
      <c r="BF63" s="374" t="s">
        <v>1705</v>
      </c>
      <c r="BG63" s="281" t="s">
        <v>580</v>
      </c>
      <c r="BH63" s="332" t="s">
        <v>1719</v>
      </c>
      <c r="BI63" s="348" t="s">
        <v>1718</v>
      </c>
      <c r="BJ63" s="361" t="s">
        <v>43</v>
      </c>
      <c r="BK63" s="335">
        <v>1</v>
      </c>
      <c r="BL63" s="337">
        <v>5</v>
      </c>
      <c r="BM63" s="326" t="s">
        <v>581</v>
      </c>
      <c r="BN63" s="326" t="s">
        <v>581</v>
      </c>
      <c r="BO63" s="350" t="s">
        <v>1720</v>
      </c>
      <c r="BP63" s="308">
        <v>0</v>
      </c>
      <c r="BQ63" s="374" t="s">
        <v>1899</v>
      </c>
      <c r="BR63" s="281" t="s">
        <v>580</v>
      </c>
      <c r="BS63" s="332" t="s">
        <v>1913</v>
      </c>
      <c r="BT63" s="348" t="s">
        <v>1912</v>
      </c>
      <c r="BU63" s="361" t="s">
        <v>43</v>
      </c>
      <c r="BV63" s="375">
        <v>1</v>
      </c>
      <c r="BW63" s="337">
        <v>5</v>
      </c>
      <c r="BX63" s="326" t="s">
        <v>581</v>
      </c>
      <c r="BY63" s="326" t="s">
        <v>581</v>
      </c>
      <c r="BZ63" s="369" t="s">
        <v>1914</v>
      </c>
      <c r="CA63" s="308">
        <v>0</v>
      </c>
    </row>
    <row r="64" spans="1:79">
      <c r="A64" s="506" t="s">
        <v>2155</v>
      </c>
      <c r="B64" s="355" t="s">
        <v>701</v>
      </c>
      <c r="C64" s="281" t="s">
        <v>577</v>
      </c>
      <c r="D64" s="315" t="s">
        <v>702</v>
      </c>
      <c r="E64" s="289" t="s">
        <v>707</v>
      </c>
      <c r="F64" s="290" t="s">
        <v>43</v>
      </c>
      <c r="G64" s="287">
        <v>1</v>
      </c>
      <c r="H64" s="287">
        <v>0</v>
      </c>
      <c r="I64" s="287">
        <v>20</v>
      </c>
      <c r="J64" s="287" t="s">
        <v>581</v>
      </c>
      <c r="K64" s="287" t="s">
        <v>581</v>
      </c>
      <c r="L64" s="287" t="s">
        <v>731</v>
      </c>
      <c r="M64" s="510">
        <f>MAX(0,MIN(1,(G64-H64)/(Octave_1_KPIs[[#This Row],[Healthy_Min]]-Octave_1_KPIs[[#This Row],[Target_Min]])))</f>
        <v>0.05</v>
      </c>
      <c r="N64" s="293" t="s">
        <v>955</v>
      </c>
      <c r="O64" s="281" t="s">
        <v>577</v>
      </c>
      <c r="P64" s="294" t="s">
        <v>956</v>
      </c>
      <c r="Q64" s="363" t="s">
        <v>333</v>
      </c>
      <c r="R64" s="296" t="s">
        <v>43</v>
      </c>
      <c r="S64" s="319">
        <v>0</v>
      </c>
      <c r="T64" s="377">
        <v>1</v>
      </c>
      <c r="U64" s="287" t="s">
        <v>581</v>
      </c>
      <c r="V64" s="287" t="s">
        <v>581</v>
      </c>
      <c r="W64" s="362" t="s">
        <v>957</v>
      </c>
      <c r="X64" s="308">
        <v>0</v>
      </c>
      <c r="Y64" s="293" t="s">
        <v>1147</v>
      </c>
      <c r="Z64" s="281" t="s">
        <v>577</v>
      </c>
      <c r="AA64" s="378" t="s">
        <v>1149</v>
      </c>
      <c r="AB64" s="295" t="s">
        <v>1148</v>
      </c>
      <c r="AC64" s="296" t="s">
        <v>43</v>
      </c>
      <c r="AD64" s="318">
        <v>1</v>
      </c>
      <c r="AE64" s="364">
        <v>4.5</v>
      </c>
      <c r="AF64" s="287" t="s">
        <v>581</v>
      </c>
      <c r="AG64" s="287" t="s">
        <v>581</v>
      </c>
      <c r="AH64" s="298" t="s">
        <v>1150</v>
      </c>
      <c r="AI64" s="308">
        <v>0</v>
      </c>
      <c r="AJ64" s="299" t="s">
        <v>1337</v>
      </c>
      <c r="AK64" s="281" t="s">
        <v>577</v>
      </c>
      <c r="AL64" s="301" t="s">
        <v>1339</v>
      </c>
      <c r="AM64" s="302" t="s">
        <v>1338</v>
      </c>
      <c r="AN64" s="303" t="s">
        <v>43</v>
      </c>
      <c r="AO64" s="304">
        <v>0.01</v>
      </c>
      <c r="AP64" s="305">
        <v>0.15</v>
      </c>
      <c r="AQ64" s="287" t="s">
        <v>581</v>
      </c>
      <c r="AR64" s="287" t="s">
        <v>581</v>
      </c>
      <c r="AS64" s="306" t="s">
        <v>1340</v>
      </c>
      <c r="AT64" s="308">
        <v>0</v>
      </c>
      <c r="AU64" s="309" t="s">
        <v>1503</v>
      </c>
      <c r="AV64" s="281" t="s">
        <v>577</v>
      </c>
      <c r="AW64" s="301" t="s">
        <v>1505</v>
      </c>
      <c r="AX64" s="310" t="s">
        <v>1504</v>
      </c>
      <c r="AY64" s="311" t="s">
        <v>43</v>
      </c>
      <c r="AZ64" s="307">
        <v>1</v>
      </c>
      <c r="BA64" s="300">
        <v>5</v>
      </c>
      <c r="BB64" s="287" t="s">
        <v>581</v>
      </c>
      <c r="BC64" s="287" t="s">
        <v>581</v>
      </c>
      <c r="BD64" s="313" t="s">
        <v>1506</v>
      </c>
      <c r="BE64" s="308">
        <v>0</v>
      </c>
      <c r="BF64" s="309" t="s">
        <v>1721</v>
      </c>
      <c r="BG64" s="281" t="s">
        <v>577</v>
      </c>
      <c r="BH64" s="301" t="s">
        <v>1723</v>
      </c>
      <c r="BI64" s="310" t="s">
        <v>1722</v>
      </c>
      <c r="BJ64" s="311" t="s">
        <v>43</v>
      </c>
      <c r="BK64" s="307">
        <v>1</v>
      </c>
      <c r="BL64" s="312">
        <v>1</v>
      </c>
      <c r="BM64" s="287" t="s">
        <v>581</v>
      </c>
      <c r="BN64" s="287" t="s">
        <v>581</v>
      </c>
      <c r="BO64" s="313" t="s">
        <v>1724</v>
      </c>
      <c r="BP64" s="308">
        <v>0</v>
      </c>
      <c r="BQ64" s="309" t="s">
        <v>1915</v>
      </c>
      <c r="BR64" s="281" t="s">
        <v>577</v>
      </c>
      <c r="BS64" s="301" t="s">
        <v>1917</v>
      </c>
      <c r="BT64" s="310" t="s">
        <v>1916</v>
      </c>
      <c r="BU64" s="311" t="s">
        <v>43</v>
      </c>
      <c r="BV64" s="367">
        <v>0</v>
      </c>
      <c r="BW64" s="312">
        <v>1</v>
      </c>
      <c r="BX64" s="287" t="s">
        <v>581</v>
      </c>
      <c r="BY64" s="287" t="s">
        <v>581</v>
      </c>
      <c r="BZ64" s="313" t="s">
        <v>1918</v>
      </c>
      <c r="CA64" s="308">
        <v>0</v>
      </c>
    </row>
    <row r="65" spans="1:79">
      <c r="A65" s="506" t="s">
        <v>2155</v>
      </c>
      <c r="B65" s="355" t="s">
        <v>701</v>
      </c>
      <c r="C65" s="281" t="s">
        <v>578</v>
      </c>
      <c r="D65" s="315" t="s">
        <v>703</v>
      </c>
      <c r="E65" s="289" t="s">
        <v>708</v>
      </c>
      <c r="F65" s="290" t="s">
        <v>43</v>
      </c>
      <c r="G65" s="287">
        <v>2</v>
      </c>
      <c r="H65" s="287">
        <v>1</v>
      </c>
      <c r="I65" s="287">
        <v>4</v>
      </c>
      <c r="J65" s="287" t="s">
        <v>581</v>
      </c>
      <c r="K65" s="287" t="s">
        <v>581</v>
      </c>
      <c r="L65" s="287" t="s">
        <v>730</v>
      </c>
      <c r="M65" s="510">
        <f>MAX(0,MIN(1,(G65-H65)/(Octave_1_KPIs[[#This Row],[Healthy_Min]]-Octave_1_KPIs[[#This Row],[Target_Min]])))</f>
        <v>0.33333333333333331</v>
      </c>
      <c r="N65" s="293" t="s">
        <v>955</v>
      </c>
      <c r="O65" s="281" t="s">
        <v>578</v>
      </c>
      <c r="P65" s="294" t="s">
        <v>959</v>
      </c>
      <c r="Q65" s="363" t="s">
        <v>958</v>
      </c>
      <c r="R65" s="296" t="s">
        <v>43</v>
      </c>
      <c r="S65" s="319">
        <v>0.5</v>
      </c>
      <c r="T65" s="377">
        <v>0.85</v>
      </c>
      <c r="U65" s="287" t="s">
        <v>581</v>
      </c>
      <c r="V65" s="287" t="s">
        <v>581</v>
      </c>
      <c r="W65" s="362" t="s">
        <v>1179</v>
      </c>
      <c r="X65" s="308">
        <v>0</v>
      </c>
      <c r="Y65" s="293" t="s">
        <v>1147</v>
      </c>
      <c r="Z65" s="281" t="s">
        <v>578</v>
      </c>
      <c r="AA65" s="378" t="s">
        <v>1152</v>
      </c>
      <c r="AB65" s="295" t="s">
        <v>1151</v>
      </c>
      <c r="AC65" s="296" t="s">
        <v>47</v>
      </c>
      <c r="AD65" s="318">
        <v>1</v>
      </c>
      <c r="AE65" s="364">
        <v>2</v>
      </c>
      <c r="AF65" s="318">
        <v>4</v>
      </c>
      <c r="AG65" s="318">
        <v>8</v>
      </c>
      <c r="AH65" s="298" t="s">
        <v>1153</v>
      </c>
      <c r="AI65" s="308">
        <v>0</v>
      </c>
      <c r="AJ65" s="299" t="s">
        <v>1337</v>
      </c>
      <c r="AK65" s="281" t="s">
        <v>578</v>
      </c>
      <c r="AL65" s="301" t="s">
        <v>1342</v>
      </c>
      <c r="AM65" s="302" t="s">
        <v>1341</v>
      </c>
      <c r="AN65" s="303" t="s">
        <v>43</v>
      </c>
      <c r="AO65" s="304">
        <v>0</v>
      </c>
      <c r="AP65" s="305">
        <v>0.1</v>
      </c>
      <c r="AQ65" s="287" t="s">
        <v>581</v>
      </c>
      <c r="AR65" s="287" t="s">
        <v>581</v>
      </c>
      <c r="AS65" s="306" t="s">
        <v>1343</v>
      </c>
      <c r="AT65" s="308">
        <v>0</v>
      </c>
      <c r="AU65" s="309" t="s">
        <v>1503</v>
      </c>
      <c r="AV65" s="281" t="s">
        <v>578</v>
      </c>
      <c r="AW65" s="301" t="s">
        <v>1508</v>
      </c>
      <c r="AX65" s="310" t="s">
        <v>1507</v>
      </c>
      <c r="AY65" s="311" t="s">
        <v>43</v>
      </c>
      <c r="AZ65" s="307">
        <v>1</v>
      </c>
      <c r="BA65" s="300">
        <v>4.5</v>
      </c>
      <c r="BB65" s="287" t="s">
        <v>581</v>
      </c>
      <c r="BC65" s="287" t="s">
        <v>581</v>
      </c>
      <c r="BD65" s="313" t="s">
        <v>1509</v>
      </c>
      <c r="BE65" s="308">
        <v>0</v>
      </c>
      <c r="BF65" s="309" t="s">
        <v>1721</v>
      </c>
      <c r="BG65" s="281" t="s">
        <v>578</v>
      </c>
      <c r="BH65" s="301" t="s">
        <v>1726</v>
      </c>
      <c r="BI65" s="310" t="s">
        <v>1725</v>
      </c>
      <c r="BJ65" s="311" t="s">
        <v>43</v>
      </c>
      <c r="BK65" s="307" t="s">
        <v>1086</v>
      </c>
      <c r="BL65" s="300" t="s">
        <v>1754</v>
      </c>
      <c r="BM65" s="287" t="s">
        <v>581</v>
      </c>
      <c r="BN65" s="287" t="s">
        <v>581</v>
      </c>
      <c r="BO65" s="313" t="s">
        <v>1727</v>
      </c>
      <c r="BP65" s="308">
        <v>0</v>
      </c>
      <c r="BQ65" s="309" t="s">
        <v>1915</v>
      </c>
      <c r="BR65" s="281" t="s">
        <v>578</v>
      </c>
      <c r="BS65" s="301" t="s">
        <v>1920</v>
      </c>
      <c r="BT65" s="310" t="s">
        <v>1919</v>
      </c>
      <c r="BU65" s="311" t="s">
        <v>43</v>
      </c>
      <c r="BV65" s="367">
        <v>1</v>
      </c>
      <c r="BW65" s="300">
        <v>5</v>
      </c>
      <c r="BX65" s="287" t="s">
        <v>581</v>
      </c>
      <c r="BY65" s="287" t="s">
        <v>581</v>
      </c>
      <c r="BZ65" s="313" t="s">
        <v>1921</v>
      </c>
      <c r="CA65" s="308">
        <v>0</v>
      </c>
    </row>
    <row r="66" spans="1:79">
      <c r="A66" s="506" t="s">
        <v>2155</v>
      </c>
      <c r="B66" s="355" t="s">
        <v>701</v>
      </c>
      <c r="C66" s="281" t="s">
        <v>775</v>
      </c>
      <c r="D66" s="315" t="s">
        <v>704</v>
      </c>
      <c r="E66" s="289" t="s">
        <v>569</v>
      </c>
      <c r="F66" s="290" t="s">
        <v>47</v>
      </c>
      <c r="G66" s="287">
        <v>0</v>
      </c>
      <c r="H66" s="287">
        <v>0</v>
      </c>
      <c r="I66" s="287">
        <v>1</v>
      </c>
      <c r="J66" s="287">
        <v>4</v>
      </c>
      <c r="K66" s="287">
        <v>10</v>
      </c>
      <c r="L66" s="287" t="s">
        <v>729</v>
      </c>
      <c r="M66" s="510">
        <f>IF(AND(Octave_1_KPIs[[#This Row],[Value]] &gt;= Octave_1_KPIs[[#This Row],[Healthy_Min]], Octave_1_KPIs[[#This Row],[Value]] &lt;= Octave_1_KPIs[[#This Row],[Healthy_Max]]), 1, IF(Octave_1_KPIs[[#This Row],[Value]] &lt; Octave_1_KPIs[[#This Row],[Healthy_Min]], MAX(0, (Octave_1_KPIs[[#This Row],[Value]] - Octave_1_KPIs[[#This Row],[Target_Min]]) / (Octave_1_KPIs[[#This Row],[Healthy_Min]] - Octave_1_KPIs[[#This Row],[Target_Min]])), MAX(0, 1 - (Octave_1_KPIs[[#This Row],[Value]] - Octave_1_KPIs[[#This Row],[Healthy_Max]]) / (Octave_1_KPIs[[#This Row],[Absolute_Max]] - Octave_1_KPIs[[#This Row],[Healthy_Max]]))))</f>
        <v>0</v>
      </c>
      <c r="N66" s="293" t="s">
        <v>955</v>
      </c>
      <c r="O66" s="281" t="s">
        <v>775</v>
      </c>
      <c r="P66" s="294" t="s">
        <v>961</v>
      </c>
      <c r="Q66" s="363" t="s">
        <v>960</v>
      </c>
      <c r="R66" s="296" t="s">
        <v>582</v>
      </c>
      <c r="S66" s="318" t="s">
        <v>982</v>
      </c>
      <c r="T66" s="364" t="s">
        <v>983</v>
      </c>
      <c r="U66" s="287" t="s">
        <v>581</v>
      </c>
      <c r="V66" s="287" t="s">
        <v>581</v>
      </c>
      <c r="W66" s="362" t="s">
        <v>962</v>
      </c>
      <c r="X66" s="308">
        <v>0</v>
      </c>
      <c r="Y66" s="293" t="s">
        <v>1147</v>
      </c>
      <c r="Z66" s="281" t="s">
        <v>775</v>
      </c>
      <c r="AA66" s="378" t="s">
        <v>1155</v>
      </c>
      <c r="AB66" s="295" t="s">
        <v>1154</v>
      </c>
      <c r="AC66" s="296" t="s">
        <v>582</v>
      </c>
      <c r="AD66" s="318" t="s">
        <v>894</v>
      </c>
      <c r="AE66" s="364" t="s">
        <v>1181</v>
      </c>
      <c r="AF66" s="287" t="s">
        <v>581</v>
      </c>
      <c r="AG66" s="287" t="s">
        <v>581</v>
      </c>
      <c r="AH66" s="298" t="s">
        <v>1156</v>
      </c>
      <c r="AI66" s="308">
        <v>0</v>
      </c>
      <c r="AJ66" s="299" t="s">
        <v>1337</v>
      </c>
      <c r="AK66" s="281" t="s">
        <v>775</v>
      </c>
      <c r="AL66" s="301" t="s">
        <v>1345</v>
      </c>
      <c r="AM66" s="302" t="s">
        <v>1344</v>
      </c>
      <c r="AN66" s="303" t="s">
        <v>43</v>
      </c>
      <c r="AO66" s="307">
        <v>1</v>
      </c>
      <c r="AP66" s="300">
        <v>4.5</v>
      </c>
      <c r="AQ66" s="287" t="s">
        <v>581</v>
      </c>
      <c r="AR66" s="287" t="s">
        <v>581</v>
      </c>
      <c r="AS66" s="306" t="s">
        <v>1346</v>
      </c>
      <c r="AT66" s="308">
        <v>0</v>
      </c>
      <c r="AU66" s="309" t="s">
        <v>1503</v>
      </c>
      <c r="AV66" s="281" t="s">
        <v>775</v>
      </c>
      <c r="AW66" s="301" t="s">
        <v>1511</v>
      </c>
      <c r="AX66" s="310" t="s">
        <v>1510</v>
      </c>
      <c r="AY66" s="311" t="s">
        <v>47</v>
      </c>
      <c r="AZ66" s="307">
        <v>1</v>
      </c>
      <c r="BA66" s="300">
        <v>2</v>
      </c>
      <c r="BB66" s="307">
        <v>4</v>
      </c>
      <c r="BC66" s="307">
        <v>8</v>
      </c>
      <c r="BD66" s="313" t="s">
        <v>1512</v>
      </c>
      <c r="BE66" s="308">
        <v>0</v>
      </c>
      <c r="BF66" s="309" t="s">
        <v>1721</v>
      </c>
      <c r="BG66" s="281" t="s">
        <v>775</v>
      </c>
      <c r="BH66" s="301" t="s">
        <v>1729</v>
      </c>
      <c r="BI66" s="310" t="s">
        <v>1728</v>
      </c>
      <c r="BJ66" s="311" t="s">
        <v>43</v>
      </c>
      <c r="BK66" s="304">
        <v>0</v>
      </c>
      <c r="BL66" s="305">
        <v>0.05</v>
      </c>
      <c r="BM66" s="287" t="s">
        <v>581</v>
      </c>
      <c r="BN66" s="287" t="s">
        <v>581</v>
      </c>
      <c r="BO66" s="313" t="s">
        <v>1730</v>
      </c>
      <c r="BP66" s="308">
        <v>0</v>
      </c>
      <c r="BQ66" s="309" t="s">
        <v>1915</v>
      </c>
      <c r="BR66" s="281" t="s">
        <v>775</v>
      </c>
      <c r="BS66" s="301" t="s">
        <v>1923</v>
      </c>
      <c r="BT66" s="310" t="s">
        <v>1922</v>
      </c>
      <c r="BU66" s="311" t="s">
        <v>43</v>
      </c>
      <c r="BV66" s="367" t="s">
        <v>895</v>
      </c>
      <c r="BW66" s="300" t="s">
        <v>892</v>
      </c>
      <c r="BX66" s="287" t="s">
        <v>581</v>
      </c>
      <c r="BY66" s="287" t="s">
        <v>581</v>
      </c>
      <c r="BZ66" s="313" t="s">
        <v>1924</v>
      </c>
      <c r="CA66" s="308">
        <v>0</v>
      </c>
    </row>
    <row r="67" spans="1:79">
      <c r="A67" s="506" t="s">
        <v>2155</v>
      </c>
      <c r="B67" s="355" t="s">
        <v>701</v>
      </c>
      <c r="C67" s="281" t="s">
        <v>579</v>
      </c>
      <c r="D67" s="315" t="s">
        <v>705</v>
      </c>
      <c r="E67" s="289" t="s">
        <v>709</v>
      </c>
      <c r="F67" s="290" t="s">
        <v>43</v>
      </c>
      <c r="G67" s="287">
        <v>1.5</v>
      </c>
      <c r="H67" s="287">
        <v>1</v>
      </c>
      <c r="I67" s="287">
        <v>4.5</v>
      </c>
      <c r="J67" s="287" t="s">
        <v>581</v>
      </c>
      <c r="K67" s="287" t="s">
        <v>581</v>
      </c>
      <c r="L67" s="287" t="s">
        <v>728</v>
      </c>
      <c r="M67" s="510">
        <f>MAX(0,MIN(1,(G67-H67)/(Octave_1_KPIs[[#This Row],[Healthy_Min]]-Octave_1_KPIs[[#This Row],[Target_Min]])))</f>
        <v>0.14285714285714285</v>
      </c>
      <c r="N67" s="293" t="s">
        <v>955</v>
      </c>
      <c r="O67" s="281" t="s">
        <v>579</v>
      </c>
      <c r="P67" s="294" t="s">
        <v>964</v>
      </c>
      <c r="Q67" s="363" t="s">
        <v>963</v>
      </c>
      <c r="R67" s="296" t="s">
        <v>43</v>
      </c>
      <c r="S67" s="318">
        <v>1</v>
      </c>
      <c r="T67" s="364">
        <v>4.5</v>
      </c>
      <c r="U67" s="287" t="s">
        <v>581</v>
      </c>
      <c r="V67" s="287" t="s">
        <v>581</v>
      </c>
      <c r="W67" s="362" t="s">
        <v>965</v>
      </c>
      <c r="X67" s="308">
        <v>0</v>
      </c>
      <c r="Y67" s="293" t="s">
        <v>1147</v>
      </c>
      <c r="Z67" s="281" t="s">
        <v>579</v>
      </c>
      <c r="AA67" s="378" t="s">
        <v>1158</v>
      </c>
      <c r="AB67" s="295" t="s">
        <v>1157</v>
      </c>
      <c r="AC67" s="296" t="s">
        <v>43</v>
      </c>
      <c r="AD67" s="318">
        <v>1</v>
      </c>
      <c r="AE67" s="364">
        <v>5</v>
      </c>
      <c r="AF67" s="287" t="s">
        <v>581</v>
      </c>
      <c r="AG67" s="287" t="s">
        <v>581</v>
      </c>
      <c r="AH67" s="298" t="s">
        <v>1159</v>
      </c>
      <c r="AI67" s="308">
        <v>0</v>
      </c>
      <c r="AJ67" s="299" t="s">
        <v>1337</v>
      </c>
      <c r="AK67" s="281" t="s">
        <v>579</v>
      </c>
      <c r="AL67" s="301" t="s">
        <v>1348</v>
      </c>
      <c r="AM67" s="302" t="s">
        <v>1347</v>
      </c>
      <c r="AN67" s="303" t="s">
        <v>43</v>
      </c>
      <c r="AO67" s="307">
        <v>1</v>
      </c>
      <c r="AP67" s="300">
        <v>4.8</v>
      </c>
      <c r="AQ67" s="287" t="s">
        <v>581</v>
      </c>
      <c r="AR67" s="287" t="s">
        <v>581</v>
      </c>
      <c r="AS67" s="306" t="s">
        <v>1349</v>
      </c>
      <c r="AT67" s="308">
        <v>0</v>
      </c>
      <c r="AU67" s="309" t="s">
        <v>1503</v>
      </c>
      <c r="AV67" s="281" t="s">
        <v>579</v>
      </c>
      <c r="AW67" s="301" t="s">
        <v>1514</v>
      </c>
      <c r="AX67" s="310" t="s">
        <v>1513</v>
      </c>
      <c r="AY67" s="311" t="s">
        <v>43</v>
      </c>
      <c r="AZ67" s="307">
        <v>1</v>
      </c>
      <c r="BA67" s="300">
        <v>4.8</v>
      </c>
      <c r="BB67" s="287" t="s">
        <v>581</v>
      </c>
      <c r="BC67" s="287" t="s">
        <v>581</v>
      </c>
      <c r="BD67" s="313" t="s">
        <v>1515</v>
      </c>
      <c r="BE67" s="308">
        <v>0</v>
      </c>
      <c r="BF67" s="309" t="s">
        <v>1721</v>
      </c>
      <c r="BG67" s="281" t="s">
        <v>579</v>
      </c>
      <c r="BH67" s="301" t="s">
        <v>1732</v>
      </c>
      <c r="BI67" s="310" t="s">
        <v>1731</v>
      </c>
      <c r="BJ67" s="311" t="s">
        <v>43</v>
      </c>
      <c r="BK67" s="307">
        <v>1</v>
      </c>
      <c r="BL67" s="300">
        <v>4.5</v>
      </c>
      <c r="BM67" s="287" t="s">
        <v>581</v>
      </c>
      <c r="BN67" s="287" t="s">
        <v>581</v>
      </c>
      <c r="BO67" s="313" t="s">
        <v>1733</v>
      </c>
      <c r="BP67" s="308">
        <v>0</v>
      </c>
      <c r="BQ67" s="309" t="s">
        <v>1915</v>
      </c>
      <c r="BR67" s="281" t="s">
        <v>579</v>
      </c>
      <c r="BS67" s="301" t="s">
        <v>1926</v>
      </c>
      <c r="BT67" s="310" t="s">
        <v>1925</v>
      </c>
      <c r="BU67" s="311" t="s">
        <v>43</v>
      </c>
      <c r="BV67" s="367">
        <v>1</v>
      </c>
      <c r="BW67" s="300">
        <v>5</v>
      </c>
      <c r="BX67" s="287" t="s">
        <v>581</v>
      </c>
      <c r="BY67" s="287" t="s">
        <v>581</v>
      </c>
      <c r="BZ67" s="313" t="s">
        <v>1927</v>
      </c>
      <c r="CA67" s="308">
        <v>0</v>
      </c>
    </row>
    <row r="68" spans="1:79">
      <c r="A68" s="506" t="s">
        <v>2155</v>
      </c>
      <c r="B68" s="355" t="s">
        <v>701</v>
      </c>
      <c r="C68" s="281" t="s">
        <v>580</v>
      </c>
      <c r="D68" s="315" t="s">
        <v>706</v>
      </c>
      <c r="E68" s="289" t="s">
        <v>710</v>
      </c>
      <c r="F68" s="290" t="s">
        <v>43</v>
      </c>
      <c r="G68" s="287">
        <v>1.5</v>
      </c>
      <c r="H68" s="287">
        <v>1</v>
      </c>
      <c r="I68" s="287">
        <v>4.5</v>
      </c>
      <c r="J68" s="287" t="s">
        <v>581</v>
      </c>
      <c r="K68" s="287" t="s">
        <v>581</v>
      </c>
      <c r="L68" s="287" t="s">
        <v>727</v>
      </c>
      <c r="M68" s="510">
        <f>MAX(0,MIN(1,(G68-H68)/(Octave_1_KPIs[[#This Row],[Healthy_Min]]-Octave_1_KPIs[[#This Row],[Target_Min]])))</f>
        <v>0.14285714285714285</v>
      </c>
      <c r="N68" s="293" t="s">
        <v>955</v>
      </c>
      <c r="O68" s="281" t="s">
        <v>580</v>
      </c>
      <c r="P68" s="294" t="s">
        <v>966</v>
      </c>
      <c r="Q68" s="363" t="s">
        <v>324</v>
      </c>
      <c r="R68" s="296" t="s">
        <v>43</v>
      </c>
      <c r="S68" s="318">
        <v>1</v>
      </c>
      <c r="T68" s="364">
        <v>4.5</v>
      </c>
      <c r="U68" s="287" t="s">
        <v>581</v>
      </c>
      <c r="V68" s="287" t="s">
        <v>581</v>
      </c>
      <c r="W68" s="362" t="s">
        <v>967</v>
      </c>
      <c r="X68" s="308">
        <v>0</v>
      </c>
      <c r="Y68" s="293" t="s">
        <v>1147</v>
      </c>
      <c r="Z68" s="281" t="s">
        <v>580</v>
      </c>
      <c r="AA68" s="378" t="s">
        <v>1161</v>
      </c>
      <c r="AB68" s="295" t="s">
        <v>1160</v>
      </c>
      <c r="AC68" s="296" t="s">
        <v>43</v>
      </c>
      <c r="AD68" s="318">
        <v>1</v>
      </c>
      <c r="AE68" s="364">
        <v>4.8</v>
      </c>
      <c r="AF68" s="287" t="s">
        <v>581</v>
      </c>
      <c r="AG68" s="287" t="s">
        <v>581</v>
      </c>
      <c r="AH68" s="298" t="s">
        <v>1162</v>
      </c>
      <c r="AI68" s="308">
        <v>0</v>
      </c>
      <c r="AJ68" s="299" t="s">
        <v>1337</v>
      </c>
      <c r="AK68" s="281" t="s">
        <v>580</v>
      </c>
      <c r="AL68" s="301" t="s">
        <v>1351</v>
      </c>
      <c r="AM68" s="302" t="s">
        <v>1350</v>
      </c>
      <c r="AN68" s="303" t="s">
        <v>43</v>
      </c>
      <c r="AO68" s="307">
        <v>1</v>
      </c>
      <c r="AP68" s="300">
        <v>4.5</v>
      </c>
      <c r="AQ68" s="287" t="s">
        <v>581</v>
      </c>
      <c r="AR68" s="287" t="s">
        <v>581</v>
      </c>
      <c r="AS68" s="306" t="s">
        <v>1352</v>
      </c>
      <c r="AT68" s="308">
        <v>0</v>
      </c>
      <c r="AU68" s="309" t="s">
        <v>1503</v>
      </c>
      <c r="AV68" s="281" t="s">
        <v>580</v>
      </c>
      <c r="AW68" s="301" t="s">
        <v>1517</v>
      </c>
      <c r="AX68" s="310" t="s">
        <v>1516</v>
      </c>
      <c r="AY68" s="311" t="s">
        <v>43</v>
      </c>
      <c r="AZ68" s="307">
        <v>1</v>
      </c>
      <c r="BA68" s="300">
        <v>4.5</v>
      </c>
      <c r="BB68" s="287" t="s">
        <v>581</v>
      </c>
      <c r="BC68" s="287" t="s">
        <v>581</v>
      </c>
      <c r="BD68" s="313" t="s">
        <v>1518</v>
      </c>
      <c r="BE68" s="308">
        <v>0</v>
      </c>
      <c r="BF68" s="309" t="s">
        <v>1721</v>
      </c>
      <c r="BG68" s="281" t="s">
        <v>580</v>
      </c>
      <c r="BH68" s="301" t="s">
        <v>1735</v>
      </c>
      <c r="BI68" s="310" t="s">
        <v>1734</v>
      </c>
      <c r="BJ68" s="311" t="s">
        <v>43</v>
      </c>
      <c r="BK68" s="307">
        <v>1</v>
      </c>
      <c r="BL68" s="300">
        <v>5</v>
      </c>
      <c r="BM68" s="287" t="s">
        <v>581</v>
      </c>
      <c r="BN68" s="287" t="s">
        <v>581</v>
      </c>
      <c r="BO68" s="313" t="s">
        <v>1736</v>
      </c>
      <c r="BP68" s="308">
        <v>0</v>
      </c>
      <c r="BQ68" s="309" t="s">
        <v>1915</v>
      </c>
      <c r="BR68" s="281" t="s">
        <v>580</v>
      </c>
      <c r="BS68" s="301" t="s">
        <v>1929</v>
      </c>
      <c r="BT68" s="310" t="s">
        <v>1928</v>
      </c>
      <c r="BU68" s="311" t="s">
        <v>43</v>
      </c>
      <c r="BV68" s="367">
        <v>1</v>
      </c>
      <c r="BW68" s="300">
        <v>5</v>
      </c>
      <c r="BX68" s="287" t="s">
        <v>581</v>
      </c>
      <c r="BY68" s="287" t="s">
        <v>581</v>
      </c>
      <c r="BZ68" s="313" t="s">
        <v>1930</v>
      </c>
      <c r="CA68" s="308">
        <v>0</v>
      </c>
    </row>
    <row r="69" spans="1:79">
      <c r="A69" s="506" t="s">
        <v>711</v>
      </c>
      <c r="B69" s="320" t="s">
        <v>712</v>
      </c>
      <c r="C69" s="281" t="s">
        <v>577</v>
      </c>
      <c r="D69" s="321" t="s">
        <v>713</v>
      </c>
      <c r="E69" s="322" t="s">
        <v>92</v>
      </c>
      <c r="F69" s="412" t="s">
        <v>43</v>
      </c>
      <c r="G69" s="323">
        <v>1.5</v>
      </c>
      <c r="H69" s="323">
        <v>1</v>
      </c>
      <c r="I69" s="323">
        <v>2</v>
      </c>
      <c r="J69" s="323" t="s">
        <v>581</v>
      </c>
      <c r="K69" s="323" t="s">
        <v>581</v>
      </c>
      <c r="L69" s="323" t="s">
        <v>726</v>
      </c>
      <c r="M69" s="510">
        <f>MAX(0,MIN(1,(G69-H69)/(Octave_1_KPIs[[#This Row],[Healthy_Min]]-Octave_1_KPIs[[#This Row],[Target_Min]])))</f>
        <v>0.5</v>
      </c>
      <c r="N69" s="359" t="s">
        <v>968</v>
      </c>
      <c r="O69" s="281" t="s">
        <v>577</v>
      </c>
      <c r="P69" s="360" t="s">
        <v>969</v>
      </c>
      <c r="Q69" s="370" t="s">
        <v>513</v>
      </c>
      <c r="R69" s="340" t="s">
        <v>43</v>
      </c>
      <c r="S69" s="335">
        <v>1</v>
      </c>
      <c r="T69" s="337">
        <v>4.5</v>
      </c>
      <c r="U69" s="326" t="s">
        <v>581</v>
      </c>
      <c r="V69" s="326" t="s">
        <v>581</v>
      </c>
      <c r="W69" s="369" t="s">
        <v>970</v>
      </c>
      <c r="X69" s="308">
        <v>0</v>
      </c>
      <c r="Y69" s="359" t="s">
        <v>1163</v>
      </c>
      <c r="Z69" s="281" t="s">
        <v>577</v>
      </c>
      <c r="AA69" s="372" t="s">
        <v>1165</v>
      </c>
      <c r="AB69" s="339" t="s">
        <v>1164</v>
      </c>
      <c r="AC69" s="340" t="s">
        <v>43</v>
      </c>
      <c r="AD69" s="335">
        <v>1</v>
      </c>
      <c r="AE69" s="337">
        <v>4.5</v>
      </c>
      <c r="AF69" s="326" t="s">
        <v>581</v>
      </c>
      <c r="AG69" s="326" t="s">
        <v>581</v>
      </c>
      <c r="AH69" s="341" t="s">
        <v>1166</v>
      </c>
      <c r="AI69" s="308">
        <v>0</v>
      </c>
      <c r="AJ69" s="331" t="s">
        <v>1353</v>
      </c>
      <c r="AK69" s="281" t="s">
        <v>577</v>
      </c>
      <c r="AL69" s="332" t="s">
        <v>1355</v>
      </c>
      <c r="AM69" s="333" t="s">
        <v>1354</v>
      </c>
      <c r="AN69" s="334" t="s">
        <v>43</v>
      </c>
      <c r="AO69" s="335">
        <v>1</v>
      </c>
      <c r="AP69" s="337">
        <v>4</v>
      </c>
      <c r="AQ69" s="326" t="s">
        <v>581</v>
      </c>
      <c r="AR69" s="326" t="s">
        <v>581</v>
      </c>
      <c r="AS69" s="341" t="s">
        <v>1356</v>
      </c>
      <c r="AT69" s="308">
        <v>0</v>
      </c>
      <c r="AU69" s="373" t="s">
        <v>1519</v>
      </c>
      <c r="AV69" s="281" t="s">
        <v>577</v>
      </c>
      <c r="AW69" s="360" t="s">
        <v>1521</v>
      </c>
      <c r="AX69" s="370" t="s">
        <v>1520</v>
      </c>
      <c r="AY69" s="349" t="s">
        <v>43</v>
      </c>
      <c r="AZ69" s="335">
        <v>0</v>
      </c>
      <c r="BA69" s="346">
        <v>1</v>
      </c>
      <c r="BB69" s="326" t="s">
        <v>581</v>
      </c>
      <c r="BC69" s="326" t="s">
        <v>581</v>
      </c>
      <c r="BD69" s="369" t="s">
        <v>1522</v>
      </c>
      <c r="BE69" s="308">
        <v>0</v>
      </c>
      <c r="BF69" s="374" t="s">
        <v>1737</v>
      </c>
      <c r="BG69" s="281" t="s">
        <v>577</v>
      </c>
      <c r="BH69" s="332" t="s">
        <v>1739</v>
      </c>
      <c r="BI69" s="348" t="s">
        <v>1738</v>
      </c>
      <c r="BJ69" s="361" t="s">
        <v>43</v>
      </c>
      <c r="BK69" s="335">
        <v>1</v>
      </c>
      <c r="BL69" s="337">
        <v>3</v>
      </c>
      <c r="BM69" s="326" t="s">
        <v>581</v>
      </c>
      <c r="BN69" s="326" t="s">
        <v>581</v>
      </c>
      <c r="BO69" s="350" t="s">
        <v>1740</v>
      </c>
      <c r="BP69" s="308">
        <v>0</v>
      </c>
      <c r="BQ69" s="374" t="s">
        <v>1931</v>
      </c>
      <c r="BR69" s="281" t="s">
        <v>577</v>
      </c>
      <c r="BS69" s="332" t="s">
        <v>1933</v>
      </c>
      <c r="BT69" s="348" t="s">
        <v>1932</v>
      </c>
      <c r="BU69" s="361" t="s">
        <v>43</v>
      </c>
      <c r="BV69" s="375">
        <v>1</v>
      </c>
      <c r="BW69" s="337">
        <v>5</v>
      </c>
      <c r="BX69" s="326" t="s">
        <v>581</v>
      </c>
      <c r="BY69" s="326" t="s">
        <v>581</v>
      </c>
      <c r="BZ69" s="369" t="s">
        <v>1934</v>
      </c>
      <c r="CA69" s="308">
        <v>0</v>
      </c>
    </row>
    <row r="70" spans="1:79">
      <c r="A70" s="506" t="s">
        <v>711</v>
      </c>
      <c r="B70" s="320" t="s">
        <v>712</v>
      </c>
      <c r="C70" s="281" t="s">
        <v>578</v>
      </c>
      <c r="D70" s="321" t="s">
        <v>714</v>
      </c>
      <c r="E70" s="322" t="s">
        <v>717</v>
      </c>
      <c r="F70" s="412" t="s">
        <v>43</v>
      </c>
      <c r="G70" s="323">
        <v>3.33</v>
      </c>
      <c r="H70" s="323">
        <v>1</v>
      </c>
      <c r="I70" s="323">
        <v>4</v>
      </c>
      <c r="J70" s="323" t="s">
        <v>581</v>
      </c>
      <c r="K70" s="323" t="s">
        <v>581</v>
      </c>
      <c r="L70" s="323" t="s">
        <v>725</v>
      </c>
      <c r="M70" s="510">
        <f>MAX(0,MIN(1,(G70-H70)/(Octave_1_KPIs[[#This Row],[Healthy_Min]]-Octave_1_KPIs[[#This Row],[Target_Min]])))</f>
        <v>0.77666666666666673</v>
      </c>
      <c r="N70" s="359" t="s">
        <v>968</v>
      </c>
      <c r="O70" s="281" t="s">
        <v>578</v>
      </c>
      <c r="P70" s="360" t="s">
        <v>972</v>
      </c>
      <c r="Q70" s="370" t="s">
        <v>971</v>
      </c>
      <c r="R70" s="340" t="s">
        <v>43</v>
      </c>
      <c r="S70" s="335">
        <v>1</v>
      </c>
      <c r="T70" s="337">
        <v>4</v>
      </c>
      <c r="U70" s="326" t="s">
        <v>581</v>
      </c>
      <c r="V70" s="326" t="s">
        <v>581</v>
      </c>
      <c r="W70" s="369" t="s">
        <v>973</v>
      </c>
      <c r="X70" s="308">
        <v>0</v>
      </c>
      <c r="Y70" s="359" t="s">
        <v>1163</v>
      </c>
      <c r="Z70" s="281" t="s">
        <v>578</v>
      </c>
      <c r="AA70" s="372" t="s">
        <v>1168</v>
      </c>
      <c r="AB70" s="339" t="s">
        <v>1167</v>
      </c>
      <c r="AC70" s="340" t="s">
        <v>43</v>
      </c>
      <c r="AD70" s="335">
        <v>1</v>
      </c>
      <c r="AE70" s="337">
        <v>4</v>
      </c>
      <c r="AF70" s="326" t="s">
        <v>581</v>
      </c>
      <c r="AG70" s="326" t="s">
        <v>581</v>
      </c>
      <c r="AH70" s="341" t="s">
        <v>1169</v>
      </c>
      <c r="AI70" s="308">
        <v>0</v>
      </c>
      <c r="AJ70" s="331" t="s">
        <v>1353</v>
      </c>
      <c r="AK70" s="281" t="s">
        <v>578</v>
      </c>
      <c r="AL70" s="332" t="s">
        <v>1358</v>
      </c>
      <c r="AM70" s="333" t="s">
        <v>1357</v>
      </c>
      <c r="AN70" s="334" t="s">
        <v>582</v>
      </c>
      <c r="AO70" s="335" t="s">
        <v>893</v>
      </c>
      <c r="AP70" s="337" t="s">
        <v>983</v>
      </c>
      <c r="AQ70" s="326" t="s">
        <v>581</v>
      </c>
      <c r="AR70" s="326" t="s">
        <v>581</v>
      </c>
      <c r="AS70" s="341" t="s">
        <v>1359</v>
      </c>
      <c r="AT70" s="308">
        <v>0</v>
      </c>
      <c r="AU70" s="373" t="s">
        <v>1519</v>
      </c>
      <c r="AV70" s="281" t="s">
        <v>578</v>
      </c>
      <c r="AW70" s="360" t="s">
        <v>1524</v>
      </c>
      <c r="AX70" s="370" t="s">
        <v>1523</v>
      </c>
      <c r="AY70" s="349" t="s">
        <v>43</v>
      </c>
      <c r="AZ70" s="335">
        <v>1</v>
      </c>
      <c r="BA70" s="337">
        <v>5</v>
      </c>
      <c r="BB70" s="326" t="s">
        <v>581</v>
      </c>
      <c r="BC70" s="326" t="s">
        <v>581</v>
      </c>
      <c r="BD70" s="369" t="s">
        <v>1525</v>
      </c>
      <c r="BE70" s="308">
        <v>0</v>
      </c>
      <c r="BF70" s="374" t="s">
        <v>1737</v>
      </c>
      <c r="BG70" s="281" t="s">
        <v>578</v>
      </c>
      <c r="BH70" s="332" t="s">
        <v>1742</v>
      </c>
      <c r="BI70" s="348" t="s">
        <v>1741</v>
      </c>
      <c r="BJ70" s="361" t="s">
        <v>43</v>
      </c>
      <c r="BK70" s="335">
        <v>1</v>
      </c>
      <c r="BL70" s="337">
        <v>4.5</v>
      </c>
      <c r="BM70" s="326" t="s">
        <v>581</v>
      </c>
      <c r="BN70" s="326" t="s">
        <v>581</v>
      </c>
      <c r="BO70" s="350" t="s">
        <v>1743</v>
      </c>
      <c r="BP70" s="308">
        <v>0</v>
      </c>
      <c r="BQ70" s="374" t="s">
        <v>1931</v>
      </c>
      <c r="BR70" s="281" t="s">
        <v>578</v>
      </c>
      <c r="BS70" s="332" t="s">
        <v>1936</v>
      </c>
      <c r="BT70" s="348" t="s">
        <v>1935</v>
      </c>
      <c r="BU70" s="361" t="s">
        <v>43</v>
      </c>
      <c r="BV70" s="375">
        <v>1</v>
      </c>
      <c r="BW70" s="337">
        <v>5</v>
      </c>
      <c r="BX70" s="326" t="s">
        <v>581</v>
      </c>
      <c r="BY70" s="326" t="s">
        <v>581</v>
      </c>
      <c r="BZ70" s="369" t="s">
        <v>1937</v>
      </c>
      <c r="CA70" s="308">
        <v>0</v>
      </c>
    </row>
    <row r="71" spans="1:79">
      <c r="A71" s="506" t="s">
        <v>711</v>
      </c>
      <c r="B71" s="320" t="s">
        <v>712</v>
      </c>
      <c r="C71" s="281" t="s">
        <v>775</v>
      </c>
      <c r="D71" s="321" t="s">
        <v>715</v>
      </c>
      <c r="E71" s="322" t="s">
        <v>718</v>
      </c>
      <c r="F71" s="412" t="s">
        <v>47</v>
      </c>
      <c r="G71" s="323">
        <v>1</v>
      </c>
      <c r="H71" s="323">
        <v>0</v>
      </c>
      <c r="I71" s="323">
        <v>1</v>
      </c>
      <c r="J71" s="323">
        <v>2</v>
      </c>
      <c r="K71" s="323">
        <v>5</v>
      </c>
      <c r="L71" s="323" t="s">
        <v>724</v>
      </c>
      <c r="M71" s="510">
        <f>IF(AND(Octave_1_KPIs[[#This Row],[Value]] &gt;= Octave_1_KPIs[[#This Row],[Healthy_Min]], Octave_1_KPIs[[#This Row],[Value]] &lt;= Octave_1_KPIs[[#This Row],[Healthy_Max]]), 1, IF(Octave_1_KPIs[[#This Row],[Value]] &lt; Octave_1_KPIs[[#This Row],[Healthy_Min]], MAX(0, (Octave_1_KPIs[[#This Row],[Value]] - Octave_1_KPIs[[#This Row],[Target_Min]]) / (Octave_1_KPIs[[#This Row],[Healthy_Min]] - Octave_1_KPIs[[#This Row],[Target_Min]])), MAX(0, 1 - (Octave_1_KPIs[[#This Row],[Value]] - Octave_1_KPIs[[#This Row],[Healthy_Max]]) / (Octave_1_KPIs[[#This Row],[Absolute_Max]] - Octave_1_KPIs[[#This Row],[Healthy_Max]]))))</f>
        <v>1</v>
      </c>
      <c r="N71" s="359" t="s">
        <v>968</v>
      </c>
      <c r="O71" s="281" t="s">
        <v>775</v>
      </c>
      <c r="P71" s="360" t="s">
        <v>975</v>
      </c>
      <c r="Q71" s="370" t="s">
        <v>974</v>
      </c>
      <c r="R71" s="340" t="s">
        <v>47</v>
      </c>
      <c r="S71" s="335">
        <v>0</v>
      </c>
      <c r="T71" s="337">
        <v>1</v>
      </c>
      <c r="U71" s="335">
        <v>3</v>
      </c>
      <c r="V71" s="337">
        <v>5</v>
      </c>
      <c r="W71" s="369" t="s">
        <v>976</v>
      </c>
      <c r="X71" s="308">
        <v>0</v>
      </c>
      <c r="Y71" s="359" t="s">
        <v>1163</v>
      </c>
      <c r="Z71" s="281" t="s">
        <v>775</v>
      </c>
      <c r="AA71" s="372" t="s">
        <v>1171</v>
      </c>
      <c r="AB71" s="339" t="s">
        <v>1170</v>
      </c>
      <c r="AC71" s="340" t="s">
        <v>582</v>
      </c>
      <c r="AD71" s="335" t="s">
        <v>1079</v>
      </c>
      <c r="AE71" s="337" t="s">
        <v>1080</v>
      </c>
      <c r="AF71" s="326" t="s">
        <v>581</v>
      </c>
      <c r="AG71" s="326" t="s">
        <v>581</v>
      </c>
      <c r="AH71" s="341" t="s">
        <v>1172</v>
      </c>
      <c r="AI71" s="308">
        <v>0</v>
      </c>
      <c r="AJ71" s="331" t="s">
        <v>1353</v>
      </c>
      <c r="AK71" s="281" t="s">
        <v>775</v>
      </c>
      <c r="AL71" s="332" t="s">
        <v>1361</v>
      </c>
      <c r="AM71" s="333" t="s">
        <v>1360</v>
      </c>
      <c r="AN71" s="334" t="s">
        <v>43</v>
      </c>
      <c r="AO71" s="335">
        <v>1</v>
      </c>
      <c r="AP71" s="337">
        <v>4.5</v>
      </c>
      <c r="AQ71" s="326" t="s">
        <v>581</v>
      </c>
      <c r="AR71" s="326" t="s">
        <v>581</v>
      </c>
      <c r="AS71" s="341" t="s">
        <v>1362</v>
      </c>
      <c r="AT71" s="308">
        <v>0</v>
      </c>
      <c r="AU71" s="373" t="s">
        <v>1519</v>
      </c>
      <c r="AV71" s="281" t="s">
        <v>775</v>
      </c>
      <c r="AW71" s="360" t="s">
        <v>1527</v>
      </c>
      <c r="AX71" s="370" t="s">
        <v>1526</v>
      </c>
      <c r="AY71" s="349" t="s">
        <v>47</v>
      </c>
      <c r="AZ71" s="335">
        <v>0</v>
      </c>
      <c r="BA71" s="337">
        <v>1</v>
      </c>
      <c r="BB71" s="335">
        <v>2</v>
      </c>
      <c r="BC71" s="335">
        <v>3</v>
      </c>
      <c r="BD71" s="369" t="s">
        <v>1528</v>
      </c>
      <c r="BE71" s="308">
        <v>0</v>
      </c>
      <c r="BF71" s="374" t="s">
        <v>1737</v>
      </c>
      <c r="BG71" s="281" t="s">
        <v>775</v>
      </c>
      <c r="BH71" s="332" t="s">
        <v>1745</v>
      </c>
      <c r="BI71" s="348" t="s">
        <v>1744</v>
      </c>
      <c r="BJ71" s="361" t="s">
        <v>47</v>
      </c>
      <c r="BK71" s="335">
        <v>0</v>
      </c>
      <c r="BL71" s="337">
        <v>1</v>
      </c>
      <c r="BM71" s="335">
        <v>1</v>
      </c>
      <c r="BN71" s="335">
        <v>2</v>
      </c>
      <c r="BO71" s="350" t="s">
        <v>1746</v>
      </c>
      <c r="BP71" s="308">
        <v>0</v>
      </c>
      <c r="BQ71" s="374" t="s">
        <v>1931</v>
      </c>
      <c r="BR71" s="281" t="s">
        <v>775</v>
      </c>
      <c r="BS71" s="332" t="s">
        <v>1939</v>
      </c>
      <c r="BT71" s="348" t="s">
        <v>1938</v>
      </c>
      <c r="BU71" s="361" t="s">
        <v>43</v>
      </c>
      <c r="BV71" s="375">
        <v>1</v>
      </c>
      <c r="BW71" s="337">
        <v>5</v>
      </c>
      <c r="BX71" s="326" t="s">
        <v>581</v>
      </c>
      <c r="BY71" s="326" t="s">
        <v>581</v>
      </c>
      <c r="BZ71" s="369" t="s">
        <v>1940</v>
      </c>
      <c r="CA71" s="308">
        <v>0</v>
      </c>
    </row>
    <row r="72" spans="1:79">
      <c r="A72" s="506" t="s">
        <v>711</v>
      </c>
      <c r="B72" s="320" t="s">
        <v>712</v>
      </c>
      <c r="C72" s="281" t="s">
        <v>579</v>
      </c>
      <c r="D72" s="321" t="s">
        <v>716</v>
      </c>
      <c r="E72" s="322" t="s">
        <v>719</v>
      </c>
      <c r="F72" s="412" t="s">
        <v>43</v>
      </c>
      <c r="G72" s="323">
        <v>1.5</v>
      </c>
      <c r="H72" s="323">
        <v>1</v>
      </c>
      <c r="I72" s="323">
        <v>4</v>
      </c>
      <c r="J72" s="323" t="s">
        <v>581</v>
      </c>
      <c r="K72" s="323" t="s">
        <v>581</v>
      </c>
      <c r="L72" s="323" t="s">
        <v>723</v>
      </c>
      <c r="M72" s="510">
        <f>MAX(0,MIN(1,(G72-H72)/(Octave_1_KPIs[[#This Row],[Healthy_Min]]-Octave_1_KPIs[[#This Row],[Target_Min]])))</f>
        <v>0.16666666666666666</v>
      </c>
      <c r="N72" s="359" t="s">
        <v>968</v>
      </c>
      <c r="O72" s="281" t="s">
        <v>579</v>
      </c>
      <c r="P72" s="360" t="s">
        <v>978</v>
      </c>
      <c r="Q72" s="370" t="s">
        <v>977</v>
      </c>
      <c r="R72" s="340" t="s">
        <v>43</v>
      </c>
      <c r="S72" s="335">
        <v>1</v>
      </c>
      <c r="T72" s="337">
        <v>5</v>
      </c>
      <c r="U72" s="326" t="s">
        <v>581</v>
      </c>
      <c r="V72" s="326" t="s">
        <v>581</v>
      </c>
      <c r="W72" s="369" t="s">
        <v>979</v>
      </c>
      <c r="X72" s="308">
        <v>0</v>
      </c>
      <c r="Y72" s="359" t="s">
        <v>1163</v>
      </c>
      <c r="Z72" s="281" t="s">
        <v>579</v>
      </c>
      <c r="AA72" s="372" t="s">
        <v>1174</v>
      </c>
      <c r="AB72" s="339" t="s">
        <v>1173</v>
      </c>
      <c r="AC72" s="340" t="s">
        <v>43</v>
      </c>
      <c r="AD72" s="335">
        <v>1</v>
      </c>
      <c r="AE72" s="337">
        <v>5</v>
      </c>
      <c r="AF72" s="326" t="s">
        <v>581</v>
      </c>
      <c r="AG72" s="326" t="s">
        <v>581</v>
      </c>
      <c r="AH72" s="341" t="s">
        <v>1175</v>
      </c>
      <c r="AI72" s="308">
        <v>0</v>
      </c>
      <c r="AJ72" s="331" t="s">
        <v>1353</v>
      </c>
      <c r="AK72" s="281" t="s">
        <v>579</v>
      </c>
      <c r="AL72" s="332" t="s">
        <v>1364</v>
      </c>
      <c r="AM72" s="333" t="s">
        <v>1363</v>
      </c>
      <c r="AN72" s="334" t="s">
        <v>43</v>
      </c>
      <c r="AO72" s="335">
        <v>1</v>
      </c>
      <c r="AP72" s="337">
        <v>5</v>
      </c>
      <c r="AQ72" s="326" t="s">
        <v>581</v>
      </c>
      <c r="AR72" s="326" t="s">
        <v>581</v>
      </c>
      <c r="AS72" s="341" t="s">
        <v>1365</v>
      </c>
      <c r="AT72" s="308">
        <v>0</v>
      </c>
      <c r="AU72" s="373" t="s">
        <v>1519</v>
      </c>
      <c r="AV72" s="281" t="s">
        <v>579</v>
      </c>
      <c r="AW72" s="360" t="s">
        <v>1530</v>
      </c>
      <c r="AX72" s="370" t="s">
        <v>1529</v>
      </c>
      <c r="AY72" s="349" t="s">
        <v>43</v>
      </c>
      <c r="AZ72" s="335">
        <v>1</v>
      </c>
      <c r="BA72" s="337">
        <v>4.8</v>
      </c>
      <c r="BB72" s="326" t="s">
        <v>581</v>
      </c>
      <c r="BC72" s="326" t="s">
        <v>581</v>
      </c>
      <c r="BD72" s="369" t="s">
        <v>1531</v>
      </c>
      <c r="BE72" s="308">
        <v>0</v>
      </c>
      <c r="BF72" s="374" t="s">
        <v>1737</v>
      </c>
      <c r="BG72" s="281" t="s">
        <v>579</v>
      </c>
      <c r="BH72" s="332" t="s">
        <v>1748</v>
      </c>
      <c r="BI72" s="348" t="s">
        <v>1747</v>
      </c>
      <c r="BJ72" s="361" t="s">
        <v>43</v>
      </c>
      <c r="BK72" s="335">
        <v>1</v>
      </c>
      <c r="BL72" s="337">
        <v>5</v>
      </c>
      <c r="BM72" s="326" t="s">
        <v>581</v>
      </c>
      <c r="BN72" s="326" t="s">
        <v>581</v>
      </c>
      <c r="BO72" s="350" t="s">
        <v>1749</v>
      </c>
      <c r="BP72" s="308">
        <v>0</v>
      </c>
      <c r="BQ72" s="374" t="s">
        <v>1931</v>
      </c>
      <c r="BR72" s="281" t="s">
        <v>579</v>
      </c>
      <c r="BS72" s="332" t="s">
        <v>1942</v>
      </c>
      <c r="BT72" s="348" t="s">
        <v>1941</v>
      </c>
      <c r="BU72" s="361" t="s">
        <v>43</v>
      </c>
      <c r="BV72" s="375">
        <v>1</v>
      </c>
      <c r="BW72" s="337">
        <v>5</v>
      </c>
      <c r="BX72" s="326" t="s">
        <v>581</v>
      </c>
      <c r="BY72" s="326" t="s">
        <v>581</v>
      </c>
      <c r="BZ72" s="369" t="s">
        <v>1943</v>
      </c>
      <c r="CA72" s="308">
        <v>0</v>
      </c>
    </row>
    <row r="73" spans="1:79">
      <c r="A73" s="507" t="s">
        <v>711</v>
      </c>
      <c r="B73" s="383" t="s">
        <v>712</v>
      </c>
      <c r="C73" s="281" t="s">
        <v>580</v>
      </c>
      <c r="D73" s="384" t="s">
        <v>721</v>
      </c>
      <c r="E73" s="385" t="s">
        <v>720</v>
      </c>
      <c r="F73" s="414" t="s">
        <v>43</v>
      </c>
      <c r="G73" s="386">
        <v>4</v>
      </c>
      <c r="H73" s="386">
        <v>1</v>
      </c>
      <c r="I73" s="386">
        <v>4.5</v>
      </c>
      <c r="J73" s="386" t="s">
        <v>581</v>
      </c>
      <c r="K73" s="386" t="s">
        <v>581</v>
      </c>
      <c r="L73" s="386" t="s">
        <v>722</v>
      </c>
      <c r="M73" s="510">
        <f>MAX(0,MIN(1,(G73-H73)/(Octave_1_KPIs[[#This Row],[Healthy_Min]]-Octave_1_KPIs[[#This Row],[Target_Min]])))</f>
        <v>0.8571428571428571</v>
      </c>
      <c r="N73" s="387" t="s">
        <v>968</v>
      </c>
      <c r="O73" s="281" t="s">
        <v>580</v>
      </c>
      <c r="P73" s="389" t="s">
        <v>980</v>
      </c>
      <c r="Q73" s="390" t="s">
        <v>511</v>
      </c>
      <c r="R73" s="391" t="s">
        <v>43</v>
      </c>
      <c r="S73" s="397">
        <v>1</v>
      </c>
      <c r="T73" s="392">
        <v>4.5</v>
      </c>
      <c r="U73" s="393" t="s">
        <v>581</v>
      </c>
      <c r="V73" s="393" t="s">
        <v>581</v>
      </c>
      <c r="W73" s="388" t="s">
        <v>981</v>
      </c>
      <c r="X73" s="394">
        <v>0</v>
      </c>
      <c r="Y73" s="387" t="s">
        <v>1163</v>
      </c>
      <c r="Z73" s="281" t="s">
        <v>580</v>
      </c>
      <c r="AA73" s="395" t="s">
        <v>1177</v>
      </c>
      <c r="AB73" s="396" t="s">
        <v>1176</v>
      </c>
      <c r="AC73" s="391" t="s">
        <v>43</v>
      </c>
      <c r="AD73" s="397">
        <v>1</v>
      </c>
      <c r="AE73" s="392">
        <v>4.5</v>
      </c>
      <c r="AF73" s="398" t="s">
        <v>581</v>
      </c>
      <c r="AG73" s="398" t="s">
        <v>581</v>
      </c>
      <c r="AH73" s="399" t="s">
        <v>1178</v>
      </c>
      <c r="AI73" s="394">
        <v>0</v>
      </c>
      <c r="AJ73" s="400" t="s">
        <v>1353</v>
      </c>
      <c r="AK73" s="281" t="s">
        <v>580</v>
      </c>
      <c r="AL73" s="401" t="s">
        <v>1367</v>
      </c>
      <c r="AM73" s="402" t="s">
        <v>1366</v>
      </c>
      <c r="AN73" s="403" t="s">
        <v>43</v>
      </c>
      <c r="AO73" s="397">
        <v>1</v>
      </c>
      <c r="AP73" s="392">
        <v>5</v>
      </c>
      <c r="AQ73" s="398" t="s">
        <v>581</v>
      </c>
      <c r="AR73" s="398" t="s">
        <v>581</v>
      </c>
      <c r="AS73" s="399" t="s">
        <v>1368</v>
      </c>
      <c r="AT73" s="394">
        <v>0</v>
      </c>
      <c r="AU73" s="404" t="s">
        <v>1519</v>
      </c>
      <c r="AV73" s="281" t="s">
        <v>580</v>
      </c>
      <c r="AW73" s="389" t="s">
        <v>1533</v>
      </c>
      <c r="AX73" s="390" t="s">
        <v>1532</v>
      </c>
      <c r="AY73" s="405" t="s">
        <v>43</v>
      </c>
      <c r="AZ73" s="397">
        <v>1</v>
      </c>
      <c r="BA73" s="392">
        <v>5</v>
      </c>
      <c r="BB73" s="398" t="s">
        <v>581</v>
      </c>
      <c r="BC73" s="398" t="s">
        <v>581</v>
      </c>
      <c r="BD73" s="388" t="s">
        <v>1534</v>
      </c>
      <c r="BE73" s="394">
        <v>0</v>
      </c>
      <c r="BF73" s="406" t="s">
        <v>1737</v>
      </c>
      <c r="BG73" s="281" t="s">
        <v>580</v>
      </c>
      <c r="BH73" s="401" t="s">
        <v>1751</v>
      </c>
      <c r="BI73" s="407" t="s">
        <v>1750</v>
      </c>
      <c r="BJ73" s="408" t="s">
        <v>43</v>
      </c>
      <c r="BK73" s="397">
        <v>1</v>
      </c>
      <c r="BL73" s="392">
        <v>5</v>
      </c>
      <c r="BM73" s="398" t="s">
        <v>581</v>
      </c>
      <c r="BN73" s="398" t="s">
        <v>581</v>
      </c>
      <c r="BO73" s="409" t="s">
        <v>1752</v>
      </c>
      <c r="BP73" s="394">
        <v>0</v>
      </c>
      <c r="BQ73" s="406" t="s">
        <v>1931</v>
      </c>
      <c r="BR73" s="281" t="s">
        <v>580</v>
      </c>
      <c r="BS73" s="401" t="s">
        <v>1945</v>
      </c>
      <c r="BT73" s="407" t="s">
        <v>1944</v>
      </c>
      <c r="BU73" s="408" t="s">
        <v>43</v>
      </c>
      <c r="BV73" s="410">
        <v>1</v>
      </c>
      <c r="BW73" s="392">
        <v>5</v>
      </c>
      <c r="BX73" s="398" t="s">
        <v>581</v>
      </c>
      <c r="BY73" s="398" t="s">
        <v>581</v>
      </c>
      <c r="BZ73" s="388" t="s">
        <v>1946</v>
      </c>
      <c r="CA73" s="394">
        <v>0</v>
      </c>
    </row>
    <row r="74" spans="1:79">
      <c r="BU74" s="19"/>
      <c r="BV74" s="19"/>
      <c r="BW74" s="19"/>
      <c r="BX74" s="19"/>
    </row>
    <row r="78" spans="1:79" ht="21" customHeight="1">
      <c r="A78" s="560" t="s">
        <v>556</v>
      </c>
      <c r="B78" s="561"/>
      <c r="C78" s="561"/>
      <c r="D78" s="561"/>
      <c r="E78" s="562"/>
    </row>
    <row r="79" spans="1:79" ht="21" customHeight="1">
      <c r="A79" s="563"/>
      <c r="B79" s="564"/>
      <c r="C79" s="564"/>
      <c r="D79" s="564"/>
      <c r="E79" s="565"/>
    </row>
    <row r="80" spans="1:79">
      <c r="A80" s="108" t="s">
        <v>527</v>
      </c>
      <c r="B80" s="108" t="s">
        <v>528</v>
      </c>
      <c r="C80" s="108" t="s">
        <v>529</v>
      </c>
      <c r="D80" s="108" t="s">
        <v>530</v>
      </c>
      <c r="E80" s="108" t="s">
        <v>531</v>
      </c>
      <c r="F80" s="243" t="s">
        <v>557</v>
      </c>
    </row>
    <row r="81" spans="1:22" ht="32.4">
      <c r="A81" s="108" t="s">
        <v>532</v>
      </c>
      <c r="B81" s="49" t="s">
        <v>533</v>
      </c>
      <c r="C81" s="48" t="s">
        <v>534</v>
      </c>
      <c r="D81" s="50" t="s">
        <v>535</v>
      </c>
      <c r="E81" s="49">
        <v>0.25</v>
      </c>
    </row>
    <row r="82" spans="1:22" ht="43.2">
      <c r="A82" s="108" t="s">
        <v>536</v>
      </c>
      <c r="B82" s="49" t="s">
        <v>537</v>
      </c>
      <c r="C82" s="48" t="s">
        <v>538</v>
      </c>
      <c r="D82" s="49" t="s">
        <v>539</v>
      </c>
      <c r="E82" s="49">
        <v>0.3</v>
      </c>
      <c r="F82" s="221" t="s">
        <v>558</v>
      </c>
    </row>
    <row r="83" spans="1:22" ht="54">
      <c r="A83" s="108" t="s">
        <v>540</v>
      </c>
      <c r="B83" s="49" t="s">
        <v>541</v>
      </c>
      <c r="C83" s="48" t="s">
        <v>542</v>
      </c>
      <c r="D83" s="49" t="s">
        <v>543</v>
      </c>
      <c r="E83" s="49">
        <v>0.35</v>
      </c>
      <c r="F83" s="222"/>
    </row>
    <row r="84" spans="1:22" ht="40.799999999999997">
      <c r="A84" s="108" t="s">
        <v>544</v>
      </c>
      <c r="B84" s="49" t="s">
        <v>545</v>
      </c>
      <c r="C84" s="48" t="s">
        <v>546</v>
      </c>
      <c r="D84" s="50" t="s">
        <v>547</v>
      </c>
      <c r="E84" s="49">
        <v>0.4</v>
      </c>
      <c r="F84" s="224" t="s">
        <v>559</v>
      </c>
      <c r="V84" s="142" t="s">
        <v>516</v>
      </c>
    </row>
    <row r="85" spans="1:22" ht="32.4">
      <c r="A85" s="108" t="s">
        <v>548</v>
      </c>
      <c r="B85" s="49" t="s">
        <v>549</v>
      </c>
      <c r="C85" s="48" t="s">
        <v>550</v>
      </c>
      <c r="D85" s="50" t="s">
        <v>551</v>
      </c>
      <c r="E85" s="49">
        <v>0.2</v>
      </c>
      <c r="F85" s="224" t="s">
        <v>560</v>
      </c>
      <c r="V85" s="142" t="s">
        <v>517</v>
      </c>
    </row>
    <row r="86" spans="1:22" ht="32.4">
      <c r="A86" s="108" t="s">
        <v>552</v>
      </c>
      <c r="B86" s="49" t="s">
        <v>553</v>
      </c>
      <c r="C86" s="48" t="s">
        <v>554</v>
      </c>
      <c r="D86" s="50" t="s">
        <v>555</v>
      </c>
      <c r="E86" s="49">
        <v>0.3</v>
      </c>
      <c r="F86" s="16"/>
    </row>
    <row r="87" spans="1:22">
      <c r="F87" s="221" t="s">
        <v>561</v>
      </c>
    </row>
    <row r="88" spans="1:22">
      <c r="A88" s="220" t="s">
        <v>562</v>
      </c>
    </row>
    <row r="89" spans="1:22">
      <c r="A89" s="16"/>
    </row>
    <row r="90" spans="1:22">
      <c r="A90" s="221" t="s">
        <v>564</v>
      </c>
    </row>
    <row r="91" spans="1:22">
      <c r="A91" s="16"/>
    </row>
    <row r="92" spans="1:22">
      <c r="A92" s="244" t="s">
        <v>563</v>
      </c>
    </row>
    <row r="93" spans="1:22">
      <c r="A93" s="16"/>
    </row>
    <row r="94" spans="1:22">
      <c r="A94" s="221" t="s">
        <v>565</v>
      </c>
    </row>
    <row r="96" spans="1:22">
      <c r="A96" s="260" t="s">
        <v>567</v>
      </c>
    </row>
    <row r="97" spans="1:1">
      <c r="A97" s="260" t="s">
        <v>570</v>
      </c>
    </row>
    <row r="98" spans="1:1">
      <c r="A98" s="260" t="s">
        <v>2142</v>
      </c>
    </row>
    <row r="99" spans="1:1">
      <c r="A99" s="260" t="s">
        <v>2143</v>
      </c>
    </row>
    <row r="100" spans="1:1">
      <c r="A100" s="260" t="s">
        <v>2144</v>
      </c>
    </row>
    <row r="127" ht="14.4" customHeight="1"/>
    <row r="128" ht="14.4" customHeight="1"/>
  </sheetData>
  <mergeCells count="7">
    <mergeCell ref="A78:E79"/>
    <mergeCell ref="A11:BZ12"/>
    <mergeCell ref="A1:G1"/>
    <mergeCell ref="C3:C5"/>
    <mergeCell ref="E3:E5"/>
    <mergeCell ref="F3:F5"/>
    <mergeCell ref="G3:G5"/>
  </mergeCells>
  <phoneticPr fontId="14" type="noConversion"/>
  <conditionalFormatting sqref="C14:C73">
    <cfRule type="containsText" dxfId="102" priority="352" operator="containsText" text="Earth">
      <formula>NOT(ISERROR(SEARCH("Earth",C14)))</formula>
    </cfRule>
    <cfRule type="containsText" dxfId="101" priority="350" operator="containsText" text="Fire">
      <formula>NOT(ISERROR(SEARCH("Fire",C14)))</formula>
    </cfRule>
    <cfRule type="containsText" dxfId="100" priority="349" operator="containsText" text="Air">
      <formula>NOT(ISERROR(SEARCH("Air",C14)))</formula>
    </cfRule>
    <cfRule type="containsText" dxfId="99" priority="348" operator="containsText" text="Ether">
      <formula>NOT(ISERROR(SEARCH("Ether",C14)))</formula>
    </cfRule>
    <cfRule type="containsText" dxfId="98" priority="351" operator="containsText" text="Water">
      <formula>NOT(ISERROR(SEARCH("Water",C14)))</formula>
    </cfRule>
  </conditionalFormatting>
  <conditionalFormatting sqref="M14:M73">
    <cfRule type="colorScale" priority="316">
      <colorScale>
        <cfvo type="min"/>
        <cfvo type="percentile" val="50"/>
        <cfvo type="max"/>
        <color rgb="FFF8696B"/>
        <color rgb="FFFFEB84"/>
        <color rgb="FF63BE7B"/>
      </colorScale>
    </cfRule>
  </conditionalFormatting>
  <conditionalFormatting sqref="O14:O73">
    <cfRule type="containsText" dxfId="97" priority="290" operator="containsText" text="Earth">
      <formula>NOT(ISERROR(SEARCH("Earth",O14)))</formula>
    </cfRule>
    <cfRule type="containsText" dxfId="96" priority="289" operator="containsText" text="Water">
      <formula>NOT(ISERROR(SEARCH("Water",O14)))</formula>
    </cfRule>
    <cfRule type="containsText" dxfId="95" priority="288" operator="containsText" text="Fire">
      <formula>NOT(ISERROR(SEARCH("Fire",O14)))</formula>
    </cfRule>
    <cfRule type="containsText" dxfId="94" priority="287" operator="containsText" text="Air">
      <formula>NOT(ISERROR(SEARCH("Air",O14)))</formula>
    </cfRule>
    <cfRule type="containsText" dxfId="93" priority="286" operator="containsText" text="Ether">
      <formula>NOT(ISERROR(SEARCH("Ether",O14)))</formula>
    </cfRule>
  </conditionalFormatting>
  <conditionalFormatting sqref="Z14:Z73">
    <cfRule type="containsText" dxfId="92" priority="245" operator="containsText" text="Earth">
      <formula>NOT(ISERROR(SEARCH("Earth",Z14)))</formula>
    </cfRule>
    <cfRule type="containsText" dxfId="91" priority="244" operator="containsText" text="Water">
      <formula>NOT(ISERROR(SEARCH("Water",Z14)))</formula>
    </cfRule>
    <cfRule type="containsText" dxfId="90" priority="243" operator="containsText" text="Fire">
      <formula>NOT(ISERROR(SEARCH("Fire",Z14)))</formula>
    </cfRule>
    <cfRule type="containsText" dxfId="89" priority="242" operator="containsText" text="Air">
      <formula>NOT(ISERROR(SEARCH("Air",Z14)))</formula>
    </cfRule>
    <cfRule type="containsText" dxfId="88" priority="241" operator="containsText" text="Ether">
      <formula>NOT(ISERROR(SEARCH("Ether",Z14)))</formula>
    </cfRule>
  </conditionalFormatting>
  <conditionalFormatting sqref="AK14:AK73">
    <cfRule type="containsText" dxfId="87" priority="182" operator="containsText" text="Air">
      <formula>NOT(ISERROR(SEARCH("Air",AK14)))</formula>
    </cfRule>
    <cfRule type="containsText" dxfId="86" priority="183" operator="containsText" text="Fire">
      <formula>NOT(ISERROR(SEARCH("Fire",AK14)))</formula>
    </cfRule>
    <cfRule type="containsText" dxfId="85" priority="184" operator="containsText" text="Water">
      <formula>NOT(ISERROR(SEARCH("Water",AK14)))</formula>
    </cfRule>
    <cfRule type="containsText" dxfId="84" priority="185" operator="containsText" text="Earth">
      <formula>NOT(ISERROR(SEARCH("Earth",AK14)))</formula>
    </cfRule>
    <cfRule type="containsText" dxfId="83" priority="181" operator="containsText" text="Ether">
      <formula>NOT(ISERROR(SEARCH("Ether",AK14)))</formula>
    </cfRule>
  </conditionalFormatting>
  <conditionalFormatting sqref="AV14:AV73">
    <cfRule type="containsText" dxfId="82" priority="124" operator="containsText" text="Water">
      <formula>NOT(ISERROR(SEARCH("Water",AV14)))</formula>
    </cfRule>
    <cfRule type="containsText" dxfId="81" priority="123" operator="containsText" text="Fire">
      <formula>NOT(ISERROR(SEARCH("Fire",AV14)))</formula>
    </cfRule>
    <cfRule type="containsText" dxfId="80" priority="122" operator="containsText" text="Air">
      <formula>NOT(ISERROR(SEARCH("Air",AV14)))</formula>
    </cfRule>
    <cfRule type="containsText" dxfId="79" priority="121" operator="containsText" text="Ether">
      <formula>NOT(ISERROR(SEARCH("Ether",AV14)))</formula>
    </cfRule>
    <cfRule type="containsText" dxfId="78" priority="125" operator="containsText" text="Earth">
      <formula>NOT(ISERROR(SEARCH("Earth",AV14)))</formula>
    </cfRule>
  </conditionalFormatting>
  <conditionalFormatting sqref="BG14:BG73">
    <cfRule type="containsText" dxfId="77" priority="65" operator="containsText" text="Earth">
      <formula>NOT(ISERROR(SEARCH("Earth",BG14)))</formula>
    </cfRule>
    <cfRule type="containsText" dxfId="76" priority="64" operator="containsText" text="Water">
      <formula>NOT(ISERROR(SEARCH("Water",BG14)))</formula>
    </cfRule>
    <cfRule type="containsText" dxfId="75" priority="63" operator="containsText" text="Fire">
      <formula>NOT(ISERROR(SEARCH("Fire",BG14)))</formula>
    </cfRule>
    <cfRule type="containsText" dxfId="74" priority="62" operator="containsText" text="Air">
      <formula>NOT(ISERROR(SEARCH("Air",BG14)))</formula>
    </cfRule>
    <cfRule type="containsText" dxfId="73" priority="61" operator="containsText" text="Ether">
      <formula>NOT(ISERROR(SEARCH("Ether",BG14)))</formula>
    </cfRule>
  </conditionalFormatting>
  <conditionalFormatting sqref="BQ74:BQ75">
    <cfRule type="containsText" dxfId="72" priority="337" operator="containsText" text="Earth">
      <formula>NOT(ISERROR(SEARCH("Earth",BQ74)))</formula>
    </cfRule>
  </conditionalFormatting>
  <conditionalFormatting sqref="BR14:BR73">
    <cfRule type="containsText" dxfId="71" priority="5" operator="containsText" text="Earth">
      <formula>NOT(ISERROR(SEARCH("Earth",BR14)))</formula>
    </cfRule>
    <cfRule type="containsText" dxfId="70" priority="4" operator="containsText" text="Water">
      <formula>NOT(ISERROR(SEARCH("Water",BR14)))</formula>
    </cfRule>
    <cfRule type="containsText" dxfId="69" priority="3" operator="containsText" text="Fire">
      <formula>NOT(ISERROR(SEARCH("Fire",BR14)))</formula>
    </cfRule>
    <cfRule type="containsText" dxfId="68" priority="2" operator="containsText" text="Air">
      <formula>NOT(ISERROR(SEARCH("Air",BR14)))</formula>
    </cfRule>
    <cfRule type="containsText" dxfId="67" priority="1" operator="containsText" text="Ether">
      <formula>NOT(ISERROR(SEARCH("Ether",BR14)))</formula>
    </cfRule>
  </conditionalFormatting>
  <dataValidations count="1">
    <dataValidation type="custom" allowBlank="1" showInputMessage="1" showErrorMessage="1" sqref="C14:C73 O14:O73 Z14:Z73 AK14:AK73 AV14:AV73 BG14:BG73 BR14:BR73" xr:uid="{ED593F48-E2A4-415B-A5F5-6776B9F743DF}">
      <formula1>C14</formula1>
    </dataValidation>
  </dataValidations>
  <pageMargins left="0.7" right="0.7" top="0.75" bottom="0.75" header="0.3" footer="0.3"/>
  <pageSetup paperSize="9" orientation="portrait" r:id="rId1"/>
  <legacyDrawing r:id="rId2"/>
  <tableParts count="7">
    <tablePart r:id="rId3"/>
    <tablePart r:id="rId4"/>
    <tablePart r:id="rId5"/>
    <tablePart r:id="rId6"/>
    <tablePart r:id="rId7"/>
    <tablePart r:id="rId8"/>
    <tablePart r:id="rId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734D3-6A46-4581-94E4-B28D150B3E9E}">
  <dimension ref="A1:M62"/>
  <sheetViews>
    <sheetView zoomScale="89" zoomScaleNormal="120" workbookViewId="0">
      <selection activeCell="H12" sqref="H12"/>
    </sheetView>
  </sheetViews>
  <sheetFormatPr defaultRowHeight="14.4"/>
  <cols>
    <col min="1" max="1" width="20.33203125" bestFit="1" customWidth="1"/>
    <col min="2" max="2" width="28.109375" customWidth="1"/>
    <col min="3" max="3" width="9.88671875" customWidth="1"/>
    <col min="4" max="9" width="8.5546875" bestFit="1" customWidth="1"/>
    <col min="10" max="10" width="22.109375" bestFit="1" customWidth="1"/>
    <col min="11" max="11" width="19.88671875" bestFit="1" customWidth="1"/>
    <col min="12" max="12" width="24.44140625" bestFit="1" customWidth="1"/>
  </cols>
  <sheetData>
    <row r="1" spans="1:12">
      <c r="A1" s="73" t="s">
        <v>10</v>
      </c>
      <c r="B1" s="73" t="s">
        <v>263</v>
      </c>
      <c r="C1" s="99" t="s">
        <v>42</v>
      </c>
      <c r="D1" s="99" t="s">
        <v>115</v>
      </c>
      <c r="E1" s="99" t="s">
        <v>46</v>
      </c>
      <c r="F1" s="99" t="s">
        <v>44</v>
      </c>
      <c r="G1" s="99" t="s">
        <v>45</v>
      </c>
      <c r="H1" s="99" t="s">
        <v>116</v>
      </c>
      <c r="I1" s="99" t="s">
        <v>117</v>
      </c>
      <c r="J1" s="73" t="s">
        <v>256</v>
      </c>
      <c r="K1" s="73" t="s">
        <v>257</v>
      </c>
      <c r="L1" s="73" t="s">
        <v>261</v>
      </c>
    </row>
    <row r="2" spans="1:12">
      <c r="A2" s="5" t="str">
        <f>DODECA_ENGINE!B6</f>
        <v>Market Resonance</v>
      </c>
      <c r="B2" s="100" t="s">
        <v>107</v>
      </c>
      <c r="C2" s="95">
        <f>IFERROR(AVERAGEIFS(KPI_DATABASE!$M:$M, KPI_DATABASE!$D:$D, $B2, KPI_DATABASE!$E:$E, C$1), "")</f>
        <v>0</v>
      </c>
      <c r="D2" s="95" t="str">
        <f>IFERROR(AVERAGEIFS(KPI_DATABASE!$M:$M, KPI_DATABASE!$D:$D, $B2, KPI_DATABASE!$E:$E, D$1), "")</f>
        <v/>
      </c>
      <c r="E2" s="95" t="str">
        <f>IFERROR(AVERAGEIFS(KPI_DATABASE!$M:$M, KPI_DATABASE!$D:$D, $B2, KPI_DATABASE!$E:$E, E$1), "")</f>
        <v/>
      </c>
      <c r="F2" s="95" t="str">
        <f>IFERROR(AVERAGEIFS(KPI_DATABASE!$M:$M, KPI_DATABASE!$D:$D, $B2, KPI_DATABASE!$E:$E, F$1), "")</f>
        <v/>
      </c>
      <c r="G2" s="95" t="str">
        <f>IFERROR(AVERAGEIFS(KPI_DATABASE!$M:$M, KPI_DATABASE!$D:$D, $B2, KPI_DATABASE!$E:$E, G$1), "")</f>
        <v/>
      </c>
      <c r="H2" s="95" t="str">
        <f>IFERROR(AVERAGEIFS(KPI_DATABASE!$M:$M, KPI_DATABASE!$D:$D, $B2, KPI_DATABASE!$E:$E, H$1), "")</f>
        <v/>
      </c>
      <c r="I2" s="95" t="str">
        <f>IFERROR(AVERAGEIFS(KPI_DATABASE!$M:$M, KPI_DATABASE!$D:$D, $B2, KPI_DATABASE!$E:$E, I$1), "")</f>
        <v/>
      </c>
      <c r="J2" s="101">
        <f t="shared" ref="J2:J13" si="0">AVERAGE(C2:I2)</f>
        <v>0</v>
      </c>
      <c r="K2" s="94">
        <f t="shared" ref="K2:K13" si="1">_xlfn.VAR.P(C2:I2)</f>
        <v>0</v>
      </c>
      <c r="L2" s="96">
        <f t="shared" ref="L2:L13" si="2">J2 - (0.3 * K2)</f>
        <v>0</v>
      </c>
    </row>
    <row r="3" spans="1:12">
      <c r="A3" s="5" t="str">
        <f>DODECA_ENGINE!B2</f>
        <v>Financial Capital</v>
      </c>
      <c r="B3" s="100" t="s">
        <v>103</v>
      </c>
      <c r="C3" s="95">
        <f>IFERROR(AVERAGEIFS(KPI_DATABASE!$M:$M, KPI_DATABASE!$D:$D, $B3, KPI_DATABASE!$E:$E, C$1), "")</f>
        <v>0.39297662337662337</v>
      </c>
      <c r="D3" s="95" t="str">
        <f>IFERROR(AVERAGEIFS(KPI_DATABASE!$M:$M, KPI_DATABASE!$D:$D, $B3, KPI_DATABASE!$E:$E, D$1), "")</f>
        <v/>
      </c>
      <c r="E3" s="95" t="str">
        <f>IFERROR(AVERAGEIFS(KPI_DATABASE!$M:$M, KPI_DATABASE!$D:$D, $B3, KPI_DATABASE!$E:$E, E$1), "")</f>
        <v/>
      </c>
      <c r="F3" s="95" t="str">
        <f>IFERROR(AVERAGEIFS(KPI_DATABASE!$M:$M, KPI_DATABASE!$D:$D, $B3, KPI_DATABASE!$E:$E, F$1), "")</f>
        <v/>
      </c>
      <c r="G3" s="95" t="str">
        <f>IFERROR(AVERAGEIFS(KPI_DATABASE!$M:$M, KPI_DATABASE!$D:$D, $B3, KPI_DATABASE!$E:$E, G$1), "")</f>
        <v/>
      </c>
      <c r="H3" s="95" t="str">
        <f>IFERROR(AVERAGEIFS(KPI_DATABASE!$M:$M, KPI_DATABASE!$D:$D, $B3, KPI_DATABASE!$E:$E, H$1), "")</f>
        <v/>
      </c>
      <c r="I3" s="95" t="str">
        <f>IFERROR(AVERAGEIFS(KPI_DATABASE!$M:$M, KPI_DATABASE!$D:$D, $B3, KPI_DATABASE!$E:$E, I$1), "")</f>
        <v/>
      </c>
      <c r="J3" s="101">
        <f t="shared" si="0"/>
        <v>0.39297662337662337</v>
      </c>
      <c r="K3" s="94">
        <f t="shared" si="1"/>
        <v>0</v>
      </c>
      <c r="L3" s="96">
        <f t="shared" si="2"/>
        <v>0.39297662337662337</v>
      </c>
    </row>
    <row r="4" spans="1:12">
      <c r="A4" s="5" t="str">
        <f>DODECA_ENGINE!B4</f>
        <v>Human Capital</v>
      </c>
      <c r="B4" s="100" t="s">
        <v>105</v>
      </c>
      <c r="C4" s="95">
        <f>IFERROR(AVERAGEIFS(KPI_DATABASE!$M:$M, KPI_DATABASE!$D:$D, $B4, KPI_DATABASE!$E:$E, C$1), "")</f>
        <v>0.18719999999999981</v>
      </c>
      <c r="D4" s="95" t="str">
        <f>IFERROR(AVERAGEIFS(KPI_DATABASE!$M:$M, KPI_DATABASE!$D:$D, $B4, KPI_DATABASE!$E:$E, D$1), "")</f>
        <v/>
      </c>
      <c r="E4" s="95" t="str">
        <f>IFERROR(AVERAGEIFS(KPI_DATABASE!$M:$M, KPI_DATABASE!$D:$D, $B4, KPI_DATABASE!$E:$E, E$1), "")</f>
        <v/>
      </c>
      <c r="F4" s="95" t="str">
        <f>IFERROR(AVERAGEIFS(KPI_DATABASE!$M:$M, KPI_DATABASE!$D:$D, $B4, KPI_DATABASE!$E:$E, F$1), "")</f>
        <v/>
      </c>
      <c r="G4" s="95" t="str">
        <f>IFERROR(AVERAGEIFS(KPI_DATABASE!$M:$M, KPI_DATABASE!$D:$D, $B4, KPI_DATABASE!$E:$E, G$1), "")</f>
        <v/>
      </c>
      <c r="H4" s="95" t="str">
        <f>IFERROR(AVERAGEIFS(KPI_DATABASE!$M:$M, KPI_DATABASE!$D:$D, $B4, KPI_DATABASE!$E:$E, H$1), "")</f>
        <v/>
      </c>
      <c r="I4" s="95" t="str">
        <f>IFERROR(AVERAGEIFS(KPI_DATABASE!$M:$M, KPI_DATABASE!$D:$D, $B4, KPI_DATABASE!$E:$E, I$1), "")</f>
        <v/>
      </c>
      <c r="J4" s="101">
        <f t="shared" si="0"/>
        <v>0.18719999999999981</v>
      </c>
      <c r="K4" s="94">
        <f t="shared" si="1"/>
        <v>0</v>
      </c>
      <c r="L4" s="96">
        <f t="shared" si="2"/>
        <v>0.18719999999999981</v>
      </c>
    </row>
    <row r="5" spans="1:12">
      <c r="A5" s="5" t="str">
        <f>DODECA_ENGINE!B11</f>
        <v>Foundational Values</v>
      </c>
      <c r="B5" s="100" t="s">
        <v>112</v>
      </c>
      <c r="C5" s="95">
        <f>IFERROR(AVERAGEIFS(KPI_DATABASE!$M:$M, KPI_DATABASE!$D:$D, $B5, KPI_DATABASE!$E:$E, C$1), "")</f>
        <v>0.67021333333333333</v>
      </c>
      <c r="D5" s="95" t="str">
        <f>IFERROR(AVERAGEIFS(KPI_DATABASE!$M:$M, KPI_DATABASE!$D:$D, $B5, KPI_DATABASE!$E:$E, D$1), "")</f>
        <v/>
      </c>
      <c r="E5" s="95" t="str">
        <f>IFERROR(AVERAGEIFS(KPI_DATABASE!$M:$M, KPI_DATABASE!$D:$D, $B5, KPI_DATABASE!$E:$E, E$1), "")</f>
        <v/>
      </c>
      <c r="F5" s="95" t="str">
        <f>IFERROR(AVERAGEIFS(KPI_DATABASE!$M:$M, KPI_DATABASE!$D:$D, $B5, KPI_DATABASE!$E:$E, F$1), "")</f>
        <v/>
      </c>
      <c r="G5" s="95" t="str">
        <f>IFERROR(AVERAGEIFS(KPI_DATABASE!$M:$M, KPI_DATABASE!$D:$D, $B5, KPI_DATABASE!$E:$E, G$1), "")</f>
        <v/>
      </c>
      <c r="H5" s="95" t="str">
        <f>IFERROR(AVERAGEIFS(KPI_DATABASE!$M:$M, KPI_DATABASE!$D:$D, $B5, KPI_DATABASE!$E:$E, H$1), "")</f>
        <v/>
      </c>
      <c r="I5" s="95" t="str">
        <f>IFERROR(AVERAGEIFS(KPI_DATABASE!$M:$M, KPI_DATABASE!$D:$D, $B5, KPI_DATABASE!$E:$E, I$1), "")</f>
        <v/>
      </c>
      <c r="J5" s="101">
        <f t="shared" si="0"/>
        <v>0.67021333333333333</v>
      </c>
      <c r="K5" s="94">
        <f t="shared" si="1"/>
        <v>0</v>
      </c>
      <c r="L5" s="96">
        <f t="shared" si="2"/>
        <v>0.67021333333333333</v>
      </c>
    </row>
    <row r="6" spans="1:12">
      <c r="A6" s="5" t="str">
        <f>DODECA_ENGINE!B5</f>
        <v>Structural Capital</v>
      </c>
      <c r="B6" s="100" t="s">
        <v>106</v>
      </c>
      <c r="C6" s="95">
        <f>IFERROR(AVERAGEIFS(KPI_DATABASE!$M:$M, KPI_DATABASE!$D:$D, $B6, KPI_DATABASE!$E:$E, C$1), "")</f>
        <v>0.37200000000000005</v>
      </c>
      <c r="D6" s="95" t="str">
        <f>IFERROR(AVERAGEIFS(KPI_DATABASE!$M:$M, KPI_DATABASE!$D:$D, $B6, KPI_DATABASE!$E:$E, D$1), "")</f>
        <v/>
      </c>
      <c r="E6" s="95" t="str">
        <f>IFERROR(AVERAGEIFS(KPI_DATABASE!$M:$M, KPI_DATABASE!$D:$D, $B6, KPI_DATABASE!$E:$E, E$1), "")</f>
        <v/>
      </c>
      <c r="F6" s="95" t="str">
        <f>IFERROR(AVERAGEIFS(KPI_DATABASE!$M:$M, KPI_DATABASE!$D:$D, $B6, KPI_DATABASE!$E:$E, F$1), "")</f>
        <v/>
      </c>
      <c r="G6" s="95" t="str">
        <f>IFERROR(AVERAGEIFS(KPI_DATABASE!$M:$M, KPI_DATABASE!$D:$D, $B6, KPI_DATABASE!$E:$E, G$1), "")</f>
        <v/>
      </c>
      <c r="H6" s="95" t="str">
        <f>IFERROR(AVERAGEIFS(KPI_DATABASE!$M:$M, KPI_DATABASE!$D:$D, $B6, KPI_DATABASE!$E:$E, H$1), "")</f>
        <v/>
      </c>
      <c r="I6" s="95" t="str">
        <f>IFERROR(AVERAGEIFS(KPI_DATABASE!$M:$M, KPI_DATABASE!$D:$D, $B6, KPI_DATABASE!$E:$E, I$1), "")</f>
        <v/>
      </c>
      <c r="J6" s="101">
        <f t="shared" si="0"/>
        <v>0.37200000000000005</v>
      </c>
      <c r="K6" s="94">
        <f t="shared" si="1"/>
        <v>0</v>
      </c>
      <c r="L6" s="96">
        <f t="shared" si="2"/>
        <v>0.37200000000000005</v>
      </c>
    </row>
    <row r="7" spans="1:12">
      <c r="A7" s="5" t="str">
        <f>DODECA_ENGINE!B8</f>
        <v>Brand &amp; Reputation</v>
      </c>
      <c r="B7" s="100" t="s">
        <v>109</v>
      </c>
      <c r="C7" s="95">
        <f>IFERROR(AVERAGEIFS(KPI_DATABASE!$M:$M, KPI_DATABASE!$D:$D, $B7, KPI_DATABASE!$E:$E, C$1), "")</f>
        <v>0.3132380952380952</v>
      </c>
      <c r="D7" s="95" t="str">
        <f>IFERROR(AVERAGEIFS(KPI_DATABASE!$M:$M, KPI_DATABASE!$D:$D, $B7, KPI_DATABASE!$E:$E, D$1), "")</f>
        <v/>
      </c>
      <c r="E7" s="95" t="str">
        <f>IFERROR(AVERAGEIFS(KPI_DATABASE!$M:$M, KPI_DATABASE!$D:$D, $B7, KPI_DATABASE!$E:$E, E$1), "")</f>
        <v/>
      </c>
      <c r="F7" s="95" t="str">
        <f>IFERROR(AVERAGEIFS(KPI_DATABASE!$M:$M, KPI_DATABASE!$D:$D, $B7, KPI_DATABASE!$E:$E, F$1), "")</f>
        <v/>
      </c>
      <c r="G7" s="95" t="str">
        <f>IFERROR(AVERAGEIFS(KPI_DATABASE!$M:$M, KPI_DATABASE!$D:$D, $B7, KPI_DATABASE!$E:$E, G$1), "")</f>
        <v/>
      </c>
      <c r="H7" s="95" t="str">
        <f>IFERROR(AVERAGEIFS(KPI_DATABASE!$M:$M, KPI_DATABASE!$D:$D, $B7, KPI_DATABASE!$E:$E, H$1), "")</f>
        <v/>
      </c>
      <c r="I7" s="95" t="str">
        <f>IFERROR(AVERAGEIFS(KPI_DATABASE!$M:$M, KPI_DATABASE!$D:$D, $B7, KPI_DATABASE!$E:$E, I$1), "")</f>
        <v/>
      </c>
      <c r="J7" s="101">
        <f t="shared" si="0"/>
        <v>0.3132380952380952</v>
      </c>
      <c r="K7" s="94">
        <f t="shared" si="1"/>
        <v>0</v>
      </c>
      <c r="L7" s="96">
        <f t="shared" si="2"/>
        <v>0.3132380952380952</v>
      </c>
    </row>
    <row r="8" spans="1:12">
      <c r="A8" s="5" t="str">
        <f>DODECA_ENGINE!B10</f>
        <v>Regenerative Flow</v>
      </c>
      <c r="B8" s="100" t="s">
        <v>111</v>
      </c>
      <c r="C8" s="95">
        <f>IFERROR(AVERAGEIFS(KPI_DATABASE!$M:$M, KPI_DATABASE!$D:$D, $B8, KPI_DATABASE!$E:$E, C$1), "")</f>
        <v>0.67021333333333333</v>
      </c>
      <c r="D8" s="95" t="str">
        <f>IFERROR(AVERAGEIFS(KPI_DATABASE!$M:$M, KPI_DATABASE!$D:$D, $B8, KPI_DATABASE!$E:$E, D$1), "")</f>
        <v/>
      </c>
      <c r="E8" s="95" t="str">
        <f>IFERROR(AVERAGEIFS(KPI_DATABASE!$M:$M, KPI_DATABASE!$D:$D, $B8, KPI_DATABASE!$E:$E, E$1), "")</f>
        <v/>
      </c>
      <c r="F8" s="95" t="str">
        <f>IFERROR(AVERAGEIFS(KPI_DATABASE!$M:$M, KPI_DATABASE!$D:$D, $B8, KPI_DATABASE!$E:$E, F$1), "")</f>
        <v/>
      </c>
      <c r="G8" s="95" t="str">
        <f>IFERROR(AVERAGEIFS(KPI_DATABASE!$M:$M, KPI_DATABASE!$D:$D, $B8, KPI_DATABASE!$E:$E, G$1), "")</f>
        <v/>
      </c>
      <c r="H8" s="95" t="str">
        <f>IFERROR(AVERAGEIFS(KPI_DATABASE!$M:$M, KPI_DATABASE!$D:$D, $B8, KPI_DATABASE!$E:$E, H$1), "")</f>
        <v/>
      </c>
      <c r="I8" s="95" t="str">
        <f>IFERROR(AVERAGEIFS(KPI_DATABASE!$M:$M, KPI_DATABASE!$D:$D, $B8, KPI_DATABASE!$E:$E, I$1), "")</f>
        <v/>
      </c>
      <c r="J8" s="101">
        <f t="shared" si="0"/>
        <v>0.67021333333333333</v>
      </c>
      <c r="K8" s="94">
        <f t="shared" si="1"/>
        <v>0</v>
      </c>
      <c r="L8" s="96">
        <f t="shared" si="2"/>
        <v>0.67021333333333333</v>
      </c>
    </row>
    <row r="9" spans="1:12">
      <c r="A9" s="5" t="str">
        <f>DODECA_ENGINE!B12</f>
        <v>Funding Pipeline</v>
      </c>
      <c r="B9" s="100" t="s">
        <v>113</v>
      </c>
      <c r="C9" s="95">
        <f>IFERROR(AVERAGEIFS(KPI_DATABASE!$M:$M, KPI_DATABASE!$D:$D, $B9, KPI_DATABASE!$E:$E, C$1), "")</f>
        <v>0.1924609523809524</v>
      </c>
      <c r="D9" s="95" t="str">
        <f>IFERROR(AVERAGEIFS(KPI_DATABASE!$M:$M, KPI_DATABASE!$D:$D, $B9, KPI_DATABASE!$E:$E, D$1), "")</f>
        <v/>
      </c>
      <c r="E9" s="95" t="str">
        <f>IFERROR(AVERAGEIFS(KPI_DATABASE!$M:$M, KPI_DATABASE!$D:$D, $B9, KPI_DATABASE!$E:$E, E$1), "")</f>
        <v/>
      </c>
      <c r="F9" s="95" t="str">
        <f>IFERROR(AVERAGEIFS(KPI_DATABASE!$M:$M, KPI_DATABASE!$D:$D, $B9, KPI_DATABASE!$E:$E, F$1), "")</f>
        <v/>
      </c>
      <c r="G9" s="95" t="str">
        <f>IFERROR(AVERAGEIFS(KPI_DATABASE!$M:$M, KPI_DATABASE!$D:$D, $B9, KPI_DATABASE!$E:$E, G$1), "")</f>
        <v/>
      </c>
      <c r="H9" s="95" t="str">
        <f>IFERROR(AVERAGEIFS(KPI_DATABASE!$M:$M, KPI_DATABASE!$D:$D, $B9, KPI_DATABASE!$E:$E, H$1), "")</f>
        <v/>
      </c>
      <c r="I9" s="95" t="str">
        <f>IFERROR(AVERAGEIFS(KPI_DATABASE!$M:$M, KPI_DATABASE!$D:$D, $B9, KPI_DATABASE!$E:$E, I$1), "")</f>
        <v/>
      </c>
      <c r="J9" s="101">
        <f t="shared" si="0"/>
        <v>0.1924609523809524</v>
      </c>
      <c r="K9" s="94">
        <f t="shared" si="1"/>
        <v>0</v>
      </c>
      <c r="L9" s="96">
        <f t="shared" si="2"/>
        <v>0.1924609523809524</v>
      </c>
    </row>
    <row r="10" spans="1:12">
      <c r="A10" s="5" t="str">
        <f>DODECA_ENGINE!B7</f>
        <v>Community &amp; Partners</v>
      </c>
      <c r="B10" s="100" t="s">
        <v>108</v>
      </c>
      <c r="C10" s="95">
        <f>IFERROR(AVERAGEIFS(KPI_DATABASE!$M:$M, KPI_DATABASE!$D:$D, $B10, KPI_DATABASE!$E:$E, C$1), "")</f>
        <v>0.40247619047619049</v>
      </c>
      <c r="D10" s="95" t="str">
        <f>IFERROR(AVERAGEIFS(KPI_DATABASE!$M:$M, KPI_DATABASE!$D:$D, $B10, KPI_DATABASE!$E:$E, D$1), "")</f>
        <v/>
      </c>
      <c r="E10" s="95" t="str">
        <f>IFERROR(AVERAGEIFS(KPI_DATABASE!$M:$M, KPI_DATABASE!$D:$D, $B10, KPI_DATABASE!$E:$E, E$1), "")</f>
        <v/>
      </c>
      <c r="F10" s="95" t="str">
        <f>IFERROR(AVERAGEIFS(KPI_DATABASE!$M:$M, KPI_DATABASE!$D:$D, $B10, KPI_DATABASE!$E:$E, F$1), "")</f>
        <v/>
      </c>
      <c r="G10" s="95" t="str">
        <f>IFERROR(AVERAGEIFS(KPI_DATABASE!$M:$M, KPI_DATABASE!$D:$D, $B10, KPI_DATABASE!$E:$E, G$1), "")</f>
        <v/>
      </c>
      <c r="H10" s="95" t="str">
        <f>IFERROR(AVERAGEIFS(KPI_DATABASE!$M:$M, KPI_DATABASE!$D:$D, $B10, KPI_DATABASE!$E:$E, H$1), "")</f>
        <v/>
      </c>
      <c r="I10" s="95" t="str">
        <f>IFERROR(AVERAGEIFS(KPI_DATABASE!$M:$M, KPI_DATABASE!$D:$D, $B10, KPI_DATABASE!$E:$E, I$1), "")</f>
        <v/>
      </c>
      <c r="J10" s="101">
        <f t="shared" si="0"/>
        <v>0.40247619047619049</v>
      </c>
      <c r="K10" s="94">
        <f t="shared" si="1"/>
        <v>0</v>
      </c>
      <c r="L10" s="96">
        <f t="shared" si="2"/>
        <v>0.40247619047619049</v>
      </c>
    </row>
    <row r="11" spans="1:12">
      <c r="A11" s="5" t="str">
        <f>DODECA_ENGINE!B3</f>
        <v>Intellectual Capital</v>
      </c>
      <c r="B11" s="100" t="s">
        <v>104</v>
      </c>
      <c r="C11" s="95">
        <f>IFERROR(AVERAGEIFS(KPI_DATABASE!$M:$M, KPI_DATABASE!$D:$D, $B11, KPI_DATABASE!$E:$E, C$1), "")</f>
        <v>0.60937142857142867</v>
      </c>
      <c r="D11" s="95" t="str">
        <f>IFERROR(AVERAGEIFS(KPI_DATABASE!$M:$M, KPI_DATABASE!$D:$D, $B11, KPI_DATABASE!$E:$E, D$1), "")</f>
        <v/>
      </c>
      <c r="E11" s="95" t="str">
        <f>IFERROR(AVERAGEIFS(KPI_DATABASE!$M:$M, KPI_DATABASE!$D:$D, $B11, KPI_DATABASE!$E:$E, E$1), "")</f>
        <v/>
      </c>
      <c r="F11" s="95" t="str">
        <f>IFERROR(AVERAGEIFS(KPI_DATABASE!$M:$M, KPI_DATABASE!$D:$D, $B11, KPI_DATABASE!$E:$E, F$1), "")</f>
        <v/>
      </c>
      <c r="G11" s="95" t="str">
        <f>IFERROR(AVERAGEIFS(KPI_DATABASE!$M:$M, KPI_DATABASE!$D:$D, $B11, KPI_DATABASE!$E:$E, G$1), "")</f>
        <v/>
      </c>
      <c r="H11" s="95" t="str">
        <f>IFERROR(AVERAGEIFS(KPI_DATABASE!$M:$M, KPI_DATABASE!$D:$D, $B11, KPI_DATABASE!$E:$E, H$1), "")</f>
        <v/>
      </c>
      <c r="I11" s="95" t="str">
        <f>IFERROR(AVERAGEIFS(KPI_DATABASE!$M:$M, KPI_DATABASE!$D:$D, $B11, KPI_DATABASE!$E:$E, I$1), "")</f>
        <v/>
      </c>
      <c r="J11" s="101">
        <f t="shared" si="0"/>
        <v>0.60937142857142867</v>
      </c>
      <c r="K11" s="94">
        <f t="shared" si="1"/>
        <v>0</v>
      </c>
      <c r="L11" s="96">
        <f t="shared" si="2"/>
        <v>0.60937142857142867</v>
      </c>
    </row>
    <row r="12" spans="1:12">
      <c r="A12" s="5" t="str">
        <f>DODECA_ENGINE!B13</f>
        <v>Risk &amp; Resilience</v>
      </c>
      <c r="B12" s="100" t="s">
        <v>114</v>
      </c>
      <c r="C12" s="95">
        <f>IFERROR(AVERAGEIFS(KPI_DATABASE!$M:$M, KPI_DATABASE!$D:$D, $B12, KPI_DATABASE!$E:$E, C$1), "")</f>
        <v>0.26907809523809512</v>
      </c>
      <c r="D12" s="95" t="str">
        <f>IFERROR(AVERAGEIFS(KPI_DATABASE!$M:$M, KPI_DATABASE!$D:$D, $B12, KPI_DATABASE!$E:$E, D$1), "")</f>
        <v/>
      </c>
      <c r="E12" s="95" t="str">
        <f>IFERROR(AVERAGEIFS(KPI_DATABASE!$M:$M, KPI_DATABASE!$D:$D, $B12, KPI_DATABASE!$E:$E, E$1), "")</f>
        <v/>
      </c>
      <c r="F12" s="95" t="str">
        <f>IFERROR(AVERAGEIFS(KPI_DATABASE!$M:$M, KPI_DATABASE!$D:$D, $B12, KPI_DATABASE!$E:$E, F$1), "")</f>
        <v/>
      </c>
      <c r="G12" s="95" t="str">
        <f>IFERROR(AVERAGEIFS(KPI_DATABASE!$M:$M, KPI_DATABASE!$D:$D, $B12, KPI_DATABASE!$E:$E, G$1), "")</f>
        <v/>
      </c>
      <c r="H12" s="95" t="str">
        <f>IFERROR(AVERAGEIFS(KPI_DATABASE!$M:$M, KPI_DATABASE!$D:$D, $B12, KPI_DATABASE!$E:$E, H$1), "")</f>
        <v/>
      </c>
      <c r="I12" s="95" t="str">
        <f>IFERROR(AVERAGEIFS(KPI_DATABASE!$M:$M, KPI_DATABASE!$D:$D, $B12, KPI_DATABASE!$E:$E, I$1), "")</f>
        <v/>
      </c>
      <c r="J12" s="101">
        <f t="shared" si="0"/>
        <v>0.26907809523809512</v>
      </c>
      <c r="K12" s="94">
        <f t="shared" si="1"/>
        <v>0</v>
      </c>
      <c r="L12" s="96">
        <f t="shared" si="2"/>
        <v>0.26907809523809512</v>
      </c>
    </row>
    <row r="13" spans="1:12">
      <c r="A13" s="5" t="str">
        <f>DODECA_ENGINE!B9</f>
        <v>Core Operations</v>
      </c>
      <c r="B13" s="100" t="s">
        <v>110</v>
      </c>
      <c r="C13" s="95">
        <f>IFERROR(AVERAGEIFS(KPI_DATABASE!$M:$M, KPI_DATABASE!$D:$D, $B13, KPI_DATABASE!$E:$E, C$1), "")</f>
        <v>0.4074028686173265</v>
      </c>
      <c r="D13" s="95" t="str">
        <f>IFERROR(AVERAGEIFS(KPI_DATABASE!$M:$M, KPI_DATABASE!$D:$D, $B13, KPI_DATABASE!$E:$E, D$1), "")</f>
        <v/>
      </c>
      <c r="E13" s="95" t="str">
        <f>IFERROR(AVERAGEIFS(KPI_DATABASE!$M:$M, KPI_DATABASE!$D:$D, $B13, KPI_DATABASE!$E:$E, E$1), "")</f>
        <v/>
      </c>
      <c r="F13" s="95" t="str">
        <f>IFERROR(AVERAGEIFS(KPI_DATABASE!$M:$M, KPI_DATABASE!$D:$D, $B13, KPI_DATABASE!$E:$E, F$1), "")</f>
        <v/>
      </c>
      <c r="G13" s="95" t="str">
        <f>IFERROR(AVERAGEIFS(KPI_DATABASE!$M:$M, KPI_DATABASE!$D:$D, $B13, KPI_DATABASE!$E:$E, G$1), "")</f>
        <v/>
      </c>
      <c r="H13" s="95" t="str">
        <f>IFERROR(AVERAGEIFS(KPI_DATABASE!$M:$M, KPI_DATABASE!$D:$D, $B13, KPI_DATABASE!$E:$E, H$1), "")</f>
        <v/>
      </c>
      <c r="I13" s="95" t="str">
        <f>IFERROR(AVERAGEIFS(KPI_DATABASE!$M:$M, KPI_DATABASE!$D:$D, $B13, KPI_DATABASE!$E:$E, I$1), "")</f>
        <v/>
      </c>
      <c r="J13" s="101">
        <f t="shared" si="0"/>
        <v>0.4074028686173265</v>
      </c>
      <c r="K13" s="94">
        <f t="shared" si="1"/>
        <v>0</v>
      </c>
      <c r="L13" s="96">
        <f t="shared" si="2"/>
        <v>0.4074028686173265</v>
      </c>
    </row>
    <row r="15" spans="1:12" ht="14.4" customHeight="1">
      <c r="B15" s="98" t="s">
        <v>258</v>
      </c>
      <c r="C15" s="103">
        <f>AVERAGE(C2:C13)</f>
        <v>0.37388591004711486</v>
      </c>
      <c r="D15" s="103">
        <f t="shared" ref="D15:I15" si="3">IFERROR(AVERAGE(D2:D13),0)</f>
        <v>0</v>
      </c>
      <c r="E15" s="103">
        <f t="shared" si="3"/>
        <v>0</v>
      </c>
      <c r="F15" s="103">
        <f t="shared" si="3"/>
        <v>0</v>
      </c>
      <c r="G15" s="103">
        <f t="shared" si="3"/>
        <v>0</v>
      </c>
      <c r="H15" s="103">
        <f t="shared" si="3"/>
        <v>0</v>
      </c>
      <c r="I15" s="103">
        <f t="shared" si="3"/>
        <v>0</v>
      </c>
      <c r="J15" s="573" t="s">
        <v>262</v>
      </c>
      <c r="K15" s="573"/>
      <c r="L15" s="572">
        <f>AVERAGE(C17:I17) - (0.25 * _xlfn.VAR.P(C17:I17))</f>
        <v>4.7991524030845834E-2</v>
      </c>
    </row>
    <row r="16" spans="1:12" ht="14.4" customHeight="1">
      <c r="B16" s="98" t="s">
        <v>259</v>
      </c>
      <c r="C16" s="102">
        <f>_xlfn.VAR.P(C2:C13)</f>
        <v>3.7966855762392324E-2</v>
      </c>
      <c r="D16" s="102">
        <f t="shared" ref="D16:I16" si="4">IFERROR(_xlfn.VAR.P(D2:D13),0)</f>
        <v>0</v>
      </c>
      <c r="E16" s="102">
        <f t="shared" si="4"/>
        <v>0</v>
      </c>
      <c r="F16" s="102">
        <f t="shared" si="4"/>
        <v>0</v>
      </c>
      <c r="G16" s="102">
        <f t="shared" si="4"/>
        <v>0</v>
      </c>
      <c r="H16" s="102">
        <f t="shared" si="4"/>
        <v>0</v>
      </c>
      <c r="I16" s="102">
        <f t="shared" si="4"/>
        <v>0</v>
      </c>
      <c r="J16" s="573"/>
      <c r="K16" s="573"/>
      <c r="L16" s="572"/>
    </row>
    <row r="17" spans="2:12" ht="14.4" customHeight="1">
      <c r="B17" s="97" t="s">
        <v>260</v>
      </c>
      <c r="C17" s="104">
        <f>C15-(0.25*C16)</f>
        <v>0.3643941961065168</v>
      </c>
      <c r="D17" s="104">
        <f t="shared" ref="D17:I17" si="5">D15-(0.25*D16)</f>
        <v>0</v>
      </c>
      <c r="E17" s="104">
        <f>E15-(0.25*E16)</f>
        <v>0</v>
      </c>
      <c r="F17" s="104">
        <f t="shared" si="5"/>
        <v>0</v>
      </c>
      <c r="G17" s="104">
        <f t="shared" si="5"/>
        <v>0</v>
      </c>
      <c r="H17" s="104">
        <f t="shared" si="5"/>
        <v>0</v>
      </c>
      <c r="I17" s="104">
        <f t="shared" si="5"/>
        <v>0</v>
      </c>
      <c r="J17" s="573"/>
      <c r="K17" s="573"/>
      <c r="L17" s="572"/>
    </row>
    <row r="19" spans="2:12">
      <c r="B19" s="574" t="s">
        <v>277</v>
      </c>
      <c r="C19" s="574"/>
      <c r="J19" s="154">
        <f>C17</f>
        <v>0.3643941961065168</v>
      </c>
      <c r="K19" s="58"/>
    </row>
    <row r="20" spans="2:12">
      <c r="B20" s="108" t="s">
        <v>275</v>
      </c>
      <c r="C20" s="113">
        <f>SUMPRODUCT({1;2;3;4;5;6;7}, J19:J25)/SUM(J19:J25)</f>
        <v>1</v>
      </c>
      <c r="J20" s="154">
        <f>D17</f>
        <v>0</v>
      </c>
      <c r="K20" s="58"/>
    </row>
    <row r="21" spans="2:12">
      <c r="B21" s="108" t="s">
        <v>276</v>
      </c>
      <c r="C21" s="113">
        <f>IFERROR(GEOMEAN(J19:J25),1)</f>
        <v>1</v>
      </c>
      <c r="J21" s="154">
        <f>E17</f>
        <v>0</v>
      </c>
      <c r="K21" s="58"/>
    </row>
    <row r="22" spans="2:12" ht="26.4">
      <c r="B22" s="242" t="s">
        <v>278</v>
      </c>
      <c r="C22" s="241">
        <f>C20*C21</f>
        <v>1</v>
      </c>
      <c r="G22" t="s">
        <v>264</v>
      </c>
      <c r="J22" s="154">
        <f>F17</f>
        <v>0</v>
      </c>
      <c r="K22" s="58"/>
    </row>
    <row r="23" spans="2:12">
      <c r="J23" s="154">
        <f>G17</f>
        <v>0</v>
      </c>
      <c r="K23" s="58"/>
    </row>
    <row r="24" spans="2:12">
      <c r="B24" s="108" t="s">
        <v>270</v>
      </c>
      <c r="C24" s="5" t="str" cm="1">
        <f t="array" ref="C24">_xlfn.LET(
    _xlpm.positive_data, _xlfn._xlws.FILTER(DODECA_ENGINE!B123:J134, DODECA_ENGINE!E123:E134 &gt; 0),
    _xlpm.scores, INDEX(_xlpm.positive_data, 0, 5),
    _xlpm.max_score, MAX(_xlpm.scores),
    _xlpm.kpi_name, _xlfn.XLOOKUP(_xlpm.max_score, _xlpm.scores, INDEX(_xlpm.positive_data, 0, 1)),
    _xlpm.target, _xlfn.XLOOKUP(_xlpm.max_score, _xlpm.scores, INDEX(_xlpm.positive_data, 0, 7)),
    _xlfn.CONCAT(_xlpm.kpi_name, " achieve the target of ", _xlpm.target)
)</f>
        <v>Founder Energy Lvl achieve the target of 0.573591881535853</v>
      </c>
      <c r="J24" s="154">
        <f>H17</f>
        <v>0</v>
      </c>
      <c r="K24" s="58"/>
    </row>
    <row r="25" spans="2:12">
      <c r="J25" s="154">
        <f>I17</f>
        <v>0</v>
      </c>
      <c r="K25" s="58"/>
    </row>
    <row r="26" spans="2:12">
      <c r="J26" s="58"/>
      <c r="K26" s="58"/>
    </row>
    <row r="27" spans="2:12">
      <c r="J27" s="58"/>
      <c r="K27" s="58"/>
    </row>
    <row r="28" spans="2:12">
      <c r="J28" s="58"/>
      <c r="K28" s="58"/>
    </row>
    <row r="29" spans="2:12">
      <c r="J29" s="58"/>
      <c r="K29" s="58"/>
    </row>
    <row r="30" spans="2:12">
      <c r="J30" s="58"/>
      <c r="K30" s="58"/>
    </row>
    <row r="31" spans="2:12">
      <c r="J31" s="58"/>
      <c r="K31" s="58"/>
    </row>
    <row r="32" spans="2:12">
      <c r="J32" s="58"/>
      <c r="K32" s="58"/>
    </row>
    <row r="33" spans="10:11">
      <c r="J33" s="58"/>
      <c r="K33" s="58"/>
    </row>
    <row r="62" spans="13:13">
      <c r="M62" s="8"/>
    </row>
  </sheetData>
  <mergeCells count="3">
    <mergeCell ref="L15:L17"/>
    <mergeCell ref="J15:K17"/>
    <mergeCell ref="B19:C19"/>
  </mergeCells>
  <phoneticPr fontId="14" type="noConversion"/>
  <conditionalFormatting sqref="C16:I16">
    <cfRule type="colorScale" priority="1">
      <colorScale>
        <cfvo type="min"/>
        <cfvo type="max"/>
        <color rgb="FFFCFCFF"/>
        <color rgb="FFF8696B"/>
      </colorScale>
    </cfRule>
  </conditionalFormatting>
  <conditionalFormatting sqref="C17:I17">
    <cfRule type="colorScale" priority="2">
      <colorScale>
        <cfvo type="min"/>
        <cfvo type="max"/>
        <color rgb="FFFCFCFF"/>
        <color rgb="FF63BE7B"/>
      </colorScale>
    </cfRule>
  </conditionalFormatting>
  <conditionalFormatting sqref="L2:L13">
    <cfRule type="colorScale" priority="3">
      <colorScale>
        <cfvo type="min"/>
        <cfvo type="max"/>
        <color rgb="FFFCFCFF"/>
        <color rgb="FF63BE7B"/>
      </colorScale>
    </cfRule>
  </conditionalFormatting>
  <pageMargins left="0.70000000000000007" right="0.70000000000000007" top="0.75" bottom="0.75" header="0.30000000000000004" footer="0.30000000000000004"/>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F133F-2D5B-48CE-9F86-B5317356A6CC}">
  <dimension ref="A1:X394"/>
  <sheetViews>
    <sheetView zoomScale="109" zoomScaleNormal="90" workbookViewId="0">
      <selection activeCell="A19" sqref="A19"/>
    </sheetView>
  </sheetViews>
  <sheetFormatPr defaultRowHeight="14.4"/>
  <cols>
    <col min="1" max="1" width="55.33203125" bestFit="1" customWidth="1"/>
    <col min="2" max="2" width="12.44140625" bestFit="1" customWidth="1"/>
    <col min="3" max="3" width="22" bestFit="1" customWidth="1"/>
    <col min="4" max="4" width="27.6640625" style="456" bestFit="1" customWidth="1"/>
    <col min="5" max="5" width="10.33203125" customWidth="1"/>
    <col min="6" max="6" width="8.88671875" customWidth="1"/>
    <col min="7" max="7" width="20.88671875" customWidth="1"/>
    <col min="8" max="8" width="29" bestFit="1" customWidth="1"/>
    <col min="9" max="9" width="9.5546875" customWidth="1"/>
    <col min="10" max="10" width="10.109375" bestFit="1" customWidth="1"/>
    <col min="11" max="11" width="14" customWidth="1"/>
    <col min="16" max="16" width="10.44140625" customWidth="1"/>
    <col min="17" max="17" width="9" bestFit="1" customWidth="1"/>
    <col min="18" max="18" width="10.44140625" customWidth="1"/>
    <col min="19" max="19" width="8.77734375" customWidth="1"/>
    <col min="20" max="21" width="9" bestFit="1" customWidth="1"/>
    <col min="22" max="22" width="10.77734375" customWidth="1"/>
    <col min="23" max="23" width="10" bestFit="1" customWidth="1"/>
  </cols>
  <sheetData>
    <row r="1" spans="1:11">
      <c r="A1" s="169" t="str">
        <f>DODECA_ENGINE!A2</f>
        <v>Face 1</v>
      </c>
      <c r="B1" s="578" t="str">
        <f>VLOOKUP(A1,DODECA_ENGINE!A1:B13,2,FALSE)</f>
        <v>Financial Capital</v>
      </c>
      <c r="C1" s="579"/>
      <c r="D1" s="455" t="str">
        <f>REFRENCE_MODELS!A14</f>
        <v>Financial Capital (F1)</v>
      </c>
      <c r="E1" s="170"/>
      <c r="F1" s="170"/>
      <c r="G1" s="575" t="s">
        <v>389</v>
      </c>
      <c r="H1" s="575"/>
      <c r="I1" s="170"/>
      <c r="J1" s="576" t="s">
        <v>430</v>
      </c>
      <c r="K1" s="577"/>
    </row>
    <row r="2" spans="1:11">
      <c r="A2" s="171" t="s">
        <v>399</v>
      </c>
      <c r="B2" s="155" t="s">
        <v>2</v>
      </c>
      <c r="C2" s="452" t="s">
        <v>2163</v>
      </c>
      <c r="D2" s="163" t="str">
        <f>_xlfn.XLOOKUP(D1,Octave_1_KPIs[Face (Domain) F. ID],Octave_1_KPIs[O1 - Survival (Focus: Existence)])</f>
        <v>Months of Runway</v>
      </c>
      <c r="G2" s="157" t="s">
        <v>417</v>
      </c>
      <c r="H2" s="158">
        <f>REFRENCE_MODELS!$B$6</f>
        <v>0.6</v>
      </c>
      <c r="J2" s="156" t="s">
        <v>425</v>
      </c>
      <c r="K2" s="172">
        <f>C5+C7</f>
        <v>0.81666666666666665</v>
      </c>
    </row>
    <row r="3" spans="1:11">
      <c r="A3" s="173" t="str">
        <f>VLOOKUP(A1,KPI_Database[],2)</f>
        <v>Months of Runway</v>
      </c>
      <c r="B3" t="str">
        <f>_xlfn.XLOOKUP(A1,KPI_DATABASE!D:D,KPI_DATABASE!A:A)</f>
        <v>F1.1</v>
      </c>
      <c r="C3">
        <f>VLOOKUP(B3,KPI_Database[],13,FALSE)</f>
        <v>0.39297662337662337</v>
      </c>
      <c r="G3" s="157" t="s">
        <v>390</v>
      </c>
      <c r="H3" s="159">
        <f>SUMPRODUCT(C5:C9, D5:D9)</f>
        <v>0.47761904761904761</v>
      </c>
      <c r="J3" s="156" t="s">
        <v>426</v>
      </c>
      <c r="K3" s="172">
        <f>C6+C8</f>
        <v>1.1428571428571428</v>
      </c>
    </row>
    <row r="4" spans="1:11">
      <c r="A4" s="171" t="s">
        <v>400</v>
      </c>
      <c r="B4" s="155" t="str">
        <f>Octave_1_KPIs[[#Headers],[Element]]</f>
        <v>Element</v>
      </c>
      <c r="C4" s="452" t="s">
        <v>2055</v>
      </c>
      <c r="D4" s="452" t="s">
        <v>388</v>
      </c>
      <c r="G4" s="157" t="s">
        <v>391</v>
      </c>
      <c r="H4" s="160" t="s">
        <v>392</v>
      </c>
      <c r="J4" s="156" t="s">
        <v>427</v>
      </c>
      <c r="K4" s="172">
        <f>C7+C9</f>
        <v>0.82857142857142851</v>
      </c>
    </row>
    <row r="5" spans="1:11">
      <c r="A5" s="173" t="str" cm="1">
        <f t="array" ref="A5">_xlfn.XLOOKUP(1,(REFRENCE_MODELS!$A:$A=$D$1)*(REFRENCE_MODELS!$C:$C=$B5),REFRENCE_MODELS!$E:$E,"Not Found")</f>
        <v>Raw Cash in Bank (€)</v>
      </c>
      <c r="B5" s="451" t="s">
        <v>577</v>
      </c>
      <c r="C5">
        <f>_xlfn.XLOOKUP(A5,Octave_1_KPIs[KPI Name (Pillar)],Octave_1_KPIs[Elemental_KPI_Normalized])</f>
        <v>0.41666666666666669</v>
      </c>
      <c r="D5" s="456">
        <v>0.2</v>
      </c>
      <c r="G5" s="161" t="s">
        <v>393</v>
      </c>
      <c r="H5" s="159">
        <f>$H$2*((C5+C7)/2) + (1-$H$2)*(C5*C7)</f>
        <v>0.31166666666666665</v>
      </c>
      <c r="J5" s="156" t="s">
        <v>428</v>
      </c>
      <c r="K5" s="172">
        <f>C8+C5</f>
        <v>0.55952380952380953</v>
      </c>
    </row>
    <row r="6" spans="1:11">
      <c r="A6" s="173" t="str" cm="1">
        <f t="array" ref="A6">_xlfn.XLOOKUP(1,(REFRENCE_MODELS!$A:$A=$D$1)*(REFRENCE_MODELS!$C:$C=$B6),REFRENCE_MODELS!$E:$E,"Not Found")</f>
        <v>Monthly Burn Rate (€)</v>
      </c>
      <c r="B6" s="451" t="s">
        <v>578</v>
      </c>
      <c r="C6">
        <f>_xlfn.XLOOKUP(A6,Octave_1_KPIs[KPI Name (Pillar)],Octave_1_KPIs[Elemental_KPI_Normalized])</f>
        <v>1</v>
      </c>
      <c r="D6" s="456">
        <v>0.2</v>
      </c>
      <c r="G6" s="161" t="s">
        <v>394</v>
      </c>
      <c r="H6" s="159">
        <f>$H$2*((C6+C8)/2) + (1-$H$2)*(C6*C8)</f>
        <v>0.39999999999999997</v>
      </c>
      <c r="J6" s="156" t="s">
        <v>429</v>
      </c>
      <c r="K6" s="172">
        <f>C9+C6</f>
        <v>1.4285714285714286</v>
      </c>
    </row>
    <row r="7" spans="1:11">
      <c r="A7" s="173" t="str" cm="1">
        <f t="array" ref="A7">_xlfn.XLOOKUP(1,(REFRENCE_MODELS!$A:$A=$D$1)*(REFRENCE_MODELS!$C:$C=$B7),REFRENCE_MODELS!$E:$E,"Not Found")</f>
        <v># of Funding Opportunities Pursued</v>
      </c>
      <c r="B7" s="451" t="s">
        <v>775</v>
      </c>
      <c r="C7">
        <f>_xlfn.XLOOKUP(A7,Octave_1_KPIs[KPI Name (Pillar)],Octave_1_KPIs[Elemental_KPI_Normalized])</f>
        <v>0.4</v>
      </c>
      <c r="D7" s="456">
        <v>0.2</v>
      </c>
      <c r="G7" s="161" t="s">
        <v>414</v>
      </c>
      <c r="H7" s="159">
        <f>$H$2*((C7+C9)/2) + (1-$H$2)*(C7*C9)</f>
        <v>0.31714285714285712</v>
      </c>
      <c r="K7" s="174"/>
    </row>
    <row r="8" spans="1:11">
      <c r="A8" s="173" t="str" cm="1">
        <f t="array" ref="A8">_xlfn.XLOOKUP(1,(REFRENCE_MODELS!$A:$A=$D$1)*(REFRENCE_MODELS!$C:$C=$B8),REFRENCE_MODELS!$E:$E,"Not Found")</f>
        <v>Clarity Score of Financials to Stakeholders (1-5)</v>
      </c>
      <c r="B8" s="451" t="s">
        <v>579</v>
      </c>
      <c r="C8">
        <f>_xlfn.XLOOKUP(A8,Octave_1_KPIs[KPI Name (Pillar)],Octave_1_KPIs[Elemental_KPI_Normalized])</f>
        <v>0.14285714285714285</v>
      </c>
      <c r="D8" s="456">
        <v>0.2</v>
      </c>
      <c r="G8" s="161" t="s">
        <v>415</v>
      </c>
      <c r="H8" s="159">
        <f>$H$2*((C8+C5)/2) + (1-$H$2)*(C8*C5)</f>
        <v>0.19166666666666665</v>
      </c>
      <c r="K8" s="174"/>
    </row>
    <row r="9" spans="1:11">
      <c r="A9" s="173" t="str" cm="1">
        <f t="array" ref="A9">_xlfn.XLOOKUP(1,(REFRENCE_MODELS!$A:$A=$D$1)*(REFRENCE_MODELS!$C:$C=$B9),REFRENCE_MODELS!$E:$E,"Not Found")</f>
        <v>Funding Alignment Index (1-5)</v>
      </c>
      <c r="B9" s="451" t="s">
        <v>580</v>
      </c>
      <c r="C9">
        <f>_xlfn.XLOOKUP(A9,Octave_1_KPIs[KPI Name (Pillar)],Octave_1_KPIs[Elemental_KPI_Normalized])</f>
        <v>0.42857142857142855</v>
      </c>
      <c r="D9" s="456">
        <v>0.2</v>
      </c>
      <c r="G9" s="161" t="s">
        <v>416</v>
      </c>
      <c r="H9" s="159">
        <f>$H$2*((C9+C6)/2) + (1-$H$2)*(C9*C6)</f>
        <v>0.6</v>
      </c>
      <c r="K9" s="174"/>
    </row>
    <row r="10" spans="1:11">
      <c r="A10" s="173"/>
      <c r="K10" s="174"/>
    </row>
    <row r="11" spans="1:11">
      <c r="A11" s="175" t="s">
        <v>401</v>
      </c>
      <c r="B11" s="73" t="s">
        <v>33</v>
      </c>
      <c r="G11" s="157" t="s">
        <v>418</v>
      </c>
      <c r="H11" s="162">
        <f>REFRENCE_MODELS!$B$7</f>
        <v>0.5</v>
      </c>
      <c r="K11" s="174"/>
    </row>
    <row r="12" spans="1:11">
      <c r="A12" s="176" t="s">
        <v>402</v>
      </c>
      <c r="B12" s="163">
        <f>SUMPRODUCT(C5:C9, D5:D9)</f>
        <v>0.47761904761904761</v>
      </c>
      <c r="G12" s="157" t="s">
        <v>395</v>
      </c>
      <c r="H12" s="160" t="s">
        <v>396</v>
      </c>
      <c r="K12" s="174"/>
    </row>
    <row r="13" spans="1:11">
      <c r="A13" s="176" t="s">
        <v>431</v>
      </c>
      <c r="B13" s="163">
        <f>H19</f>
        <v>0.36409523809523808</v>
      </c>
      <c r="G13" s="161" t="s">
        <v>397</v>
      </c>
      <c r="H13" s="158">
        <f>$H$11*H5+(1-$H$11)*H9</f>
        <v>0.45583333333333331</v>
      </c>
      <c r="K13" s="174"/>
    </row>
    <row r="14" spans="1:11">
      <c r="A14" s="176" t="s">
        <v>403</v>
      </c>
      <c r="B14" s="164">
        <f>H21</f>
        <v>0.44356190476190477</v>
      </c>
      <c r="G14" s="161" t="s">
        <v>419</v>
      </c>
      <c r="H14" s="158">
        <f>$H$11 * H6 + (1-$H$11) * H5</f>
        <v>0.35583333333333333</v>
      </c>
      <c r="K14" s="174"/>
    </row>
    <row r="15" spans="1:11">
      <c r="A15" s="176" t="s">
        <v>404</v>
      </c>
      <c r="B15" s="165">
        <f>1 - (_xlfn.STDEV.P(K2:K6) / 2)</f>
        <v>0.84981983608794065</v>
      </c>
      <c r="G15" s="161" t="s">
        <v>420</v>
      </c>
      <c r="H15" s="158">
        <f>$H$11 * H7 + (1-$H$11) * H6</f>
        <v>0.35857142857142854</v>
      </c>
      <c r="K15" s="174"/>
    </row>
    <row r="16" spans="1:11">
      <c r="A16" s="173"/>
      <c r="G16" s="161" t="s">
        <v>421</v>
      </c>
      <c r="H16" s="158">
        <f>$H$11 * H8 + (1-$H$11) * H7</f>
        <v>0.25440476190476191</v>
      </c>
      <c r="K16" s="174"/>
    </row>
    <row r="17" spans="1:11">
      <c r="A17" s="175" t="s">
        <v>405</v>
      </c>
      <c r="B17" s="73" t="s">
        <v>33</v>
      </c>
      <c r="G17" s="161" t="s">
        <v>422</v>
      </c>
      <c r="H17" s="158">
        <f>$H$11 * H9 + (1-$H$11) * H8</f>
        <v>0.39583333333333331</v>
      </c>
      <c r="K17" s="174"/>
    </row>
    <row r="18" spans="1:11">
      <c r="A18" s="176" t="s">
        <v>406</v>
      </c>
      <c r="B18" s="163">
        <f>C3</f>
        <v>0.39297662337662337</v>
      </c>
      <c r="K18" s="174"/>
    </row>
    <row r="19" spans="1:11">
      <c r="A19" s="176" t="s">
        <v>407</v>
      </c>
      <c r="B19" s="163">
        <f>B14</f>
        <v>0.44356190476190477</v>
      </c>
      <c r="G19" s="157" t="s">
        <v>398</v>
      </c>
      <c r="H19" s="159">
        <f>AVERAGE(H13:H17)</f>
        <v>0.36409523809523808</v>
      </c>
      <c r="K19" s="174"/>
    </row>
    <row r="20" spans="1:11">
      <c r="A20" s="176" t="s">
        <v>408</v>
      </c>
      <c r="B20" s="163">
        <f>B15</f>
        <v>0.84981983608794065</v>
      </c>
      <c r="G20" s="157" t="s">
        <v>423</v>
      </c>
      <c r="H20" s="159">
        <f>REFRENCE_MODELS!$B$8</f>
        <v>0.7</v>
      </c>
      <c r="K20" s="174"/>
    </row>
    <row r="21" spans="1:11">
      <c r="A21" s="173"/>
      <c r="G21" s="157" t="s">
        <v>424</v>
      </c>
      <c r="H21" s="159">
        <f>H20*H3+((1-H20)*H19)</f>
        <v>0.44356190476190477</v>
      </c>
      <c r="K21" s="174"/>
    </row>
    <row r="22" spans="1:11">
      <c r="A22" s="177" t="s">
        <v>409</v>
      </c>
      <c r="B22" s="166">
        <f>B18* ((B19 + B20)/2)</f>
        <v>0.25413439462807558</v>
      </c>
      <c r="H22" s="167"/>
      <c r="K22" s="174"/>
    </row>
    <row r="23" spans="1:11">
      <c r="A23" s="173"/>
      <c r="K23" s="174"/>
    </row>
    <row r="24" spans="1:11">
      <c r="A24" s="175" t="s">
        <v>410</v>
      </c>
      <c r="B24" s="73" t="s">
        <v>25</v>
      </c>
      <c r="K24" s="174"/>
    </row>
    <row r="25" spans="1:11">
      <c r="A25" s="171" t="s">
        <v>411</v>
      </c>
      <c r="B25">
        <f>B22</f>
        <v>0.25413439462807558</v>
      </c>
      <c r="K25" s="174"/>
    </row>
    <row r="26" spans="1:11">
      <c r="A26" s="171" t="s">
        <v>432</v>
      </c>
      <c r="B26" s="168">
        <f>B352</f>
        <v>0.10891296998152664</v>
      </c>
      <c r="K26" s="174"/>
    </row>
    <row r="27" spans="1:11">
      <c r="A27" s="171" t="s">
        <v>412</v>
      </c>
      <c r="B27">
        <f>REFRENCE_MODELS!B9</f>
        <v>0.9</v>
      </c>
      <c r="K27" s="174"/>
    </row>
    <row r="28" spans="1:11">
      <c r="A28" s="173"/>
      <c r="K28" s="174"/>
    </row>
    <row r="29" spans="1:11" ht="15" thickBot="1">
      <c r="A29" s="178" t="s">
        <v>413</v>
      </c>
      <c r="B29" s="462">
        <f xml:space="preserve"> (B27* B25) + ((1-B27) * B26)</f>
        <v>0.23961225216342069</v>
      </c>
      <c r="C29" s="179"/>
      <c r="D29" s="457"/>
      <c r="E29" s="179"/>
      <c r="F29" s="179"/>
      <c r="G29" s="179"/>
      <c r="H29" s="179"/>
      <c r="I29" s="179"/>
      <c r="J29" s="179"/>
      <c r="K29" s="180"/>
    </row>
    <row r="30" spans="1:11">
      <c r="A30" s="73"/>
      <c r="B30" s="168"/>
    </row>
    <row r="31" spans="1:11">
      <c r="A31" s="453" t="s">
        <v>2054</v>
      </c>
      <c r="B31" s="454">
        <f>1 / (1 + EXP(-REFRENCE_MODELS!$B$10 * (B29 - 0.5)))</f>
        <v>0.26085083997202263</v>
      </c>
    </row>
    <row r="33" spans="1:11" ht="15" thickBot="1"/>
    <row r="34" spans="1:11">
      <c r="A34" s="169" t="str">
        <f>DODECA_ENGINE!A3</f>
        <v>Face 2</v>
      </c>
      <c r="B34" s="578" t="str">
        <f>VLOOKUP(A34,DODECA_ENGINE!A1:B13,2,FALSE)</f>
        <v>Intellectual Capital</v>
      </c>
      <c r="C34" s="579"/>
      <c r="D34" s="455" t="str">
        <f>REFRENCE_MODELS!A19</f>
        <v>Intellectual Capital (F2)</v>
      </c>
      <c r="E34" s="170"/>
      <c r="F34" s="170"/>
      <c r="G34" s="575" t="s">
        <v>389</v>
      </c>
      <c r="H34" s="575"/>
      <c r="I34" s="170"/>
      <c r="J34" s="576" t="s">
        <v>430</v>
      </c>
      <c r="K34" s="577"/>
    </row>
    <row r="35" spans="1:11">
      <c r="A35" s="171" t="s">
        <v>399</v>
      </c>
      <c r="B35" s="155" t="s">
        <v>2</v>
      </c>
      <c r="C35" s="452" t="s">
        <v>2163</v>
      </c>
      <c r="D35" s="163" t="str">
        <f>_xlfn.XLOOKUP(D34,Octave_1_KPIs[Face (Domain) F. ID],Octave_1_KPIs[O1 - Survival (Focus: Existence)])</f>
        <v>IP Security &amp; Formalization</v>
      </c>
      <c r="G35" s="157" t="s">
        <v>417</v>
      </c>
      <c r="H35" s="158">
        <f>REFRENCE_MODELS!$B$6</f>
        <v>0.6</v>
      </c>
      <c r="J35" s="156" t="s">
        <v>425</v>
      </c>
      <c r="K35" s="172">
        <f>C38+C40</f>
        <v>0.9</v>
      </c>
    </row>
    <row r="36" spans="1:11">
      <c r="A36" s="173" t="str">
        <f>_xlfn.XLOOKUP(A34,KPI_DATABASE!D:D,KPI_DATABASE!B:B)</f>
        <v>% Thesis Drafted</v>
      </c>
      <c r="B36" t="str">
        <f>_xlfn.XLOOKUP(A34,KPI_DATABASE!D:D,KPI_DATABASE!A:A)</f>
        <v>L2.1</v>
      </c>
      <c r="C36">
        <f>VLOOKUP(B36,KPI_Database[],13,FALSE)</f>
        <v>0.60937142857142867</v>
      </c>
      <c r="G36" s="157" t="s">
        <v>390</v>
      </c>
      <c r="H36" s="159">
        <f>SUMPRODUCT(C38:C42, D38:D42)</f>
        <v>0.63714285714285723</v>
      </c>
      <c r="J36" s="156" t="s">
        <v>426</v>
      </c>
      <c r="K36" s="172">
        <f>C39+C41</f>
        <v>1.2857142857142856</v>
      </c>
    </row>
    <row r="37" spans="1:11">
      <c r="A37" s="171" t="s">
        <v>400</v>
      </c>
      <c r="B37" s="155" t="str">
        <f>Octave_1_KPIs[[#Headers],[Element]]</f>
        <v>Element</v>
      </c>
      <c r="C37" s="452" t="s">
        <v>2055</v>
      </c>
      <c r="D37" s="452" t="s">
        <v>388</v>
      </c>
      <c r="E37" s="155"/>
      <c r="G37" s="157" t="s">
        <v>391</v>
      </c>
      <c r="H37" s="160" t="s">
        <v>392</v>
      </c>
      <c r="J37" s="156" t="s">
        <v>427</v>
      </c>
      <c r="K37" s="172">
        <f>C40+C42</f>
        <v>1.4</v>
      </c>
    </row>
    <row r="38" spans="1:11">
      <c r="A38" s="173" t="str" cm="1">
        <f t="array" ref="A38">_xlfn.XLOOKUP(1,(REFRENCE_MODELS!$A:$A=$D$34)*(REFRENCE_MODELS!$C:$C=$B38),REFRENCE_MODELS!$E:$E,"Not Found")</f>
        <v>Data Backup Frequency</v>
      </c>
      <c r="B38" s="451" t="s">
        <v>577</v>
      </c>
      <c r="C38">
        <f>_xlfn.XLOOKUP(A38,Octave_1_KPIs[KPI Name (Pillar)],Octave_1_KPIs[Elemental_KPI_Normalized])</f>
        <v>0.5</v>
      </c>
      <c r="D38" s="456">
        <v>0.2</v>
      </c>
      <c r="G38" s="161" t="s">
        <v>393</v>
      </c>
      <c r="H38" s="159">
        <f>$H$2*((C38+C40)/2) + (1-$H$2)*(C38*C40)</f>
        <v>0.35000000000000003</v>
      </c>
      <c r="J38" s="156" t="s">
        <v>428</v>
      </c>
      <c r="K38" s="172">
        <f>C41+C38</f>
        <v>0.7857142857142857</v>
      </c>
    </row>
    <row r="39" spans="1:11">
      <c r="A39" s="173" t="str" cm="1">
        <f t="array" ref="A39">_xlfn.XLOOKUP(1,(REFRENCE_MODELS!$A:$A=$D$34)*(REFRENCE_MODELS!$C:$C=$B39),REFRENCE_MODELS!$E:$E,"Not Found")</f>
        <v>Weekly Progress on Thesis (%)</v>
      </c>
      <c r="B39" s="451" t="s">
        <v>578</v>
      </c>
      <c r="C39">
        <f>_xlfn.XLOOKUP(A39,Octave_1_KPIs[KPI Name (Pillar)],Octave_1_KPIs[Elemental_KPI_Normalized])</f>
        <v>1</v>
      </c>
      <c r="D39" s="456">
        <v>0.2</v>
      </c>
      <c r="G39" s="161" t="s">
        <v>394</v>
      </c>
      <c r="H39" s="159">
        <f>$H$2*((C39+C41)/2) + (1-$H$2)*(C39*C41)</f>
        <v>0.49999999999999994</v>
      </c>
      <c r="J39" s="156" t="s">
        <v>429</v>
      </c>
      <c r="K39" s="172">
        <f>C42+C39</f>
        <v>2</v>
      </c>
    </row>
    <row r="40" spans="1:11">
      <c r="A40" s="173" t="str" cm="1">
        <f t="array" ref="A40">_xlfn.XLOOKUP(1,(REFRENCE_MODELS!$A:$A=$D$34)*(REFRENCE_MODELS!$C:$C=$B40),REFRENCE_MODELS!$E:$E,"Not Found")</f>
        <v>Hours Logged on IP Dev</v>
      </c>
      <c r="B40" s="451" t="s">
        <v>775</v>
      </c>
      <c r="C40">
        <f>_xlfn.XLOOKUP(A40,Octave_1_KPIs[KPI Name (Pillar)],Octave_1_KPIs[Elemental_KPI_Normalized])</f>
        <v>0.4</v>
      </c>
      <c r="D40" s="456">
        <v>0.2</v>
      </c>
      <c r="G40" s="161" t="s">
        <v>414</v>
      </c>
      <c r="H40" s="159">
        <f>$H$2*((C40+C42)/2) + (1-$H$2)*(C40*C42)</f>
        <v>0.58000000000000007</v>
      </c>
      <c r="K40" s="174"/>
    </row>
    <row r="41" spans="1:11">
      <c r="A41" s="173" t="str" cm="1">
        <f t="array" ref="A41">_xlfn.XLOOKUP(1,(REFRENCE_MODELS!$A:$A=$D$34)*(REFRENCE_MODELS!$C:$C=$B41),REFRENCE_MODELS!$E:$E,"Not Found")</f>
        <v>Clarity of Core Model Docs</v>
      </c>
      <c r="B41" s="451" t="s">
        <v>579</v>
      </c>
      <c r="C41">
        <f>_xlfn.XLOOKUP(A41,Octave_1_KPIs[KPI Name (Pillar)],Octave_1_KPIs[Elemental_KPI_Normalized])</f>
        <v>0.2857142857142857</v>
      </c>
      <c r="D41" s="456">
        <v>0.2</v>
      </c>
      <c r="G41" s="161" t="s">
        <v>415</v>
      </c>
      <c r="H41" s="159">
        <f>$H$2*((C41+C38)/2) + (1-$H$2)*(C41*C38)</f>
        <v>0.29285714285714287</v>
      </c>
      <c r="K41" s="174"/>
    </row>
    <row r="42" spans="1:11">
      <c r="A42" s="173" t="str" cm="1">
        <f t="array" ref="A42">_xlfn.XLOOKUP(1,(REFRENCE_MODELS!$A:$A=$D$34)*(REFRENCE_MODELS!$C:$C=$B42),REFRENCE_MODELS!$E:$E,"Not Found")</f>
        <v>Ethical IP Score</v>
      </c>
      <c r="B42" s="451" t="s">
        <v>580</v>
      </c>
      <c r="C42">
        <f>_xlfn.XLOOKUP(A42,Octave_1_KPIs[KPI Name (Pillar)],Octave_1_KPIs[Elemental_KPI_Normalized])</f>
        <v>1</v>
      </c>
      <c r="D42" s="456">
        <v>0.2</v>
      </c>
      <c r="G42" s="161" t="s">
        <v>416</v>
      </c>
      <c r="H42" s="159">
        <f>$H$2*((C42+C39)/2) + (1-$H$2)*(C42*C39)</f>
        <v>1</v>
      </c>
      <c r="K42" s="174"/>
    </row>
    <row r="43" spans="1:11">
      <c r="A43" s="173"/>
      <c r="K43" s="174"/>
    </row>
    <row r="44" spans="1:11">
      <c r="A44" s="175" t="s">
        <v>401</v>
      </c>
      <c r="B44" s="73" t="s">
        <v>33</v>
      </c>
      <c r="G44" s="157" t="s">
        <v>418</v>
      </c>
      <c r="H44" s="162">
        <f>REFRENCE_MODELS!$B$7</f>
        <v>0.5</v>
      </c>
      <c r="K44" s="174"/>
    </row>
    <row r="45" spans="1:11">
      <c r="A45" s="176" t="s">
        <v>402</v>
      </c>
      <c r="B45" s="163">
        <f>SUMPRODUCT(C38:C42, D38:D42)</f>
        <v>0.63714285714285723</v>
      </c>
      <c r="G45" s="157" t="s">
        <v>395</v>
      </c>
      <c r="H45" s="160" t="s">
        <v>396</v>
      </c>
      <c r="K45" s="174"/>
    </row>
    <row r="46" spans="1:11">
      <c r="A46" s="176" t="s">
        <v>431</v>
      </c>
      <c r="B46" s="163">
        <f>H52</f>
        <v>0.5445714285714286</v>
      </c>
      <c r="G46" s="161" t="s">
        <v>397</v>
      </c>
      <c r="H46" s="158">
        <f>$H$11*H38+(1-$H$11)*H42</f>
        <v>0.67500000000000004</v>
      </c>
      <c r="K46" s="174"/>
    </row>
    <row r="47" spans="1:11">
      <c r="A47" s="176" t="s">
        <v>403</v>
      </c>
      <c r="B47" s="164">
        <f>H54</f>
        <v>0.60937142857142867</v>
      </c>
      <c r="G47" s="161" t="s">
        <v>419</v>
      </c>
      <c r="H47" s="158">
        <f>$H$11 * H39 + (1-$H$11) * H38</f>
        <v>0.42499999999999999</v>
      </c>
      <c r="K47" s="174"/>
    </row>
    <row r="48" spans="1:11">
      <c r="A48" s="176" t="s">
        <v>404</v>
      </c>
      <c r="B48" s="165">
        <f>1 - (_xlfn.STDEV.P(K35:K39) / 2)</f>
        <v>0.78536219402187779</v>
      </c>
      <c r="G48" s="161" t="s">
        <v>420</v>
      </c>
      <c r="H48" s="158">
        <f>$H$11 * H40 + (1-$H$11) * H39</f>
        <v>0.54</v>
      </c>
      <c r="K48" s="174"/>
    </row>
    <row r="49" spans="1:11">
      <c r="A49" s="173"/>
      <c r="G49" s="161" t="s">
        <v>421</v>
      </c>
      <c r="H49" s="158">
        <f>$H$11 * H41 + (1-$H$11) * H40</f>
        <v>0.4364285714285715</v>
      </c>
      <c r="K49" s="174"/>
    </row>
    <row r="50" spans="1:11">
      <c r="A50" s="175" t="s">
        <v>405</v>
      </c>
      <c r="B50" s="73" t="s">
        <v>33</v>
      </c>
      <c r="G50" s="161" t="s">
        <v>422</v>
      </c>
      <c r="H50" s="158">
        <f>$H$11 * H42 + (1-$H$11) * H41</f>
        <v>0.64642857142857146</v>
      </c>
      <c r="K50" s="174"/>
    </row>
    <row r="51" spans="1:11">
      <c r="A51" s="176" t="s">
        <v>406</v>
      </c>
      <c r="B51" s="163">
        <f>C36</f>
        <v>0.60937142857142867</v>
      </c>
      <c r="K51" s="174"/>
    </row>
    <row r="52" spans="1:11">
      <c r="A52" s="176" t="s">
        <v>407</v>
      </c>
      <c r="B52" s="163">
        <f>B47</f>
        <v>0.60937142857142867</v>
      </c>
      <c r="G52" s="157" t="s">
        <v>398</v>
      </c>
      <c r="H52" s="159">
        <f>AVERAGE(H46:H50)</f>
        <v>0.5445714285714286</v>
      </c>
      <c r="K52" s="174"/>
    </row>
    <row r="53" spans="1:11">
      <c r="A53" s="176" t="s">
        <v>408</v>
      </c>
      <c r="B53" s="163">
        <f>B48</f>
        <v>0.78536219402187779</v>
      </c>
      <c r="G53" s="157" t="s">
        <v>423</v>
      </c>
      <c r="H53" s="159">
        <f>REFRENCE_MODELS!$B$8</f>
        <v>0.7</v>
      </c>
      <c r="K53" s="174"/>
    </row>
    <row r="54" spans="1:11">
      <c r="A54" s="173"/>
      <c r="G54" s="157" t="s">
        <v>424</v>
      </c>
      <c r="H54" s="159">
        <f>H53*H36+((1-H53)*H52)</f>
        <v>0.60937142857142867</v>
      </c>
      <c r="K54" s="174"/>
    </row>
    <row r="55" spans="1:11">
      <c r="A55" s="177" t="s">
        <v>409</v>
      </c>
      <c r="B55" s="166">
        <f>B51* ((B52 + B53)/2)</f>
        <v>0.42495541003814352</v>
      </c>
      <c r="H55" s="167"/>
      <c r="K55" s="174"/>
    </row>
    <row r="56" spans="1:11">
      <c r="A56" s="173"/>
      <c r="K56" s="174"/>
    </row>
    <row r="57" spans="1:11">
      <c r="A57" s="175" t="s">
        <v>410</v>
      </c>
      <c r="B57" s="73" t="s">
        <v>25</v>
      </c>
      <c r="K57" s="174"/>
    </row>
    <row r="58" spans="1:11">
      <c r="A58" s="171" t="s">
        <v>411</v>
      </c>
      <c r="B58">
        <f>B55</f>
        <v>0.42495541003814352</v>
      </c>
      <c r="K58" s="174"/>
    </row>
    <row r="59" spans="1:11">
      <c r="A59" s="171" t="s">
        <v>433</v>
      </c>
      <c r="B59" s="168">
        <f>B220</f>
        <v>0.18403850665871574</v>
      </c>
      <c r="K59" s="174"/>
    </row>
    <row r="60" spans="1:11">
      <c r="A60" s="171" t="s">
        <v>412</v>
      </c>
      <c r="B60">
        <f>REFRENCE_MODELS!B9</f>
        <v>0.9</v>
      </c>
      <c r="K60" s="174"/>
    </row>
    <row r="61" spans="1:11">
      <c r="A61" s="173"/>
      <c r="K61" s="174"/>
    </row>
    <row r="62" spans="1:11" ht="15" thickBot="1">
      <c r="A62" s="178" t="s">
        <v>413</v>
      </c>
      <c r="B62" s="245">
        <f xml:space="preserve"> (B60* B58) + ((1-B60) * B59)</f>
        <v>0.40086371970020074</v>
      </c>
      <c r="C62" s="179"/>
      <c r="D62" s="457"/>
      <c r="E62" s="179"/>
      <c r="F62" s="179"/>
      <c r="G62" s="179"/>
      <c r="H62" s="179"/>
      <c r="I62" s="179"/>
      <c r="J62" s="179"/>
      <c r="K62" s="180"/>
    </row>
    <row r="63" spans="1:11">
      <c r="A63" s="73"/>
      <c r="B63" s="168"/>
    </row>
    <row r="64" spans="1:11">
      <c r="A64" s="459" t="s">
        <v>2054</v>
      </c>
      <c r="B64" s="460">
        <f>1 / (1 + EXP(-REFRENCE_MODELS!$B$10 * (B62 - 0.5)))</f>
        <v>0.40214269393119079</v>
      </c>
    </row>
    <row r="66" spans="1:11" ht="15" thickBot="1"/>
    <row r="67" spans="1:11">
      <c r="A67" s="169" t="str">
        <f>DODECA_ENGINE!A4</f>
        <v>Face 3</v>
      </c>
      <c r="B67" s="578" t="str">
        <f>VLOOKUP(A67,DODECA_ENGINE!A1:B13,2,FALSE)</f>
        <v>Human Capital</v>
      </c>
      <c r="C67" s="579"/>
      <c r="D67" s="455" t="str">
        <f>REFRENCE_MODELS!A24</f>
        <v>Human Capital (F3)</v>
      </c>
      <c r="E67" s="170"/>
      <c r="F67" s="170"/>
      <c r="G67" s="575" t="s">
        <v>389</v>
      </c>
      <c r="H67" s="575"/>
      <c r="I67" s="170"/>
      <c r="J67" s="576" t="s">
        <v>430</v>
      </c>
      <c r="K67" s="577"/>
    </row>
    <row r="68" spans="1:11">
      <c r="A68" s="171" t="s">
        <v>399</v>
      </c>
      <c r="B68" s="155" t="s">
        <v>2</v>
      </c>
      <c r="C68" s="452" t="s">
        <v>2163</v>
      </c>
      <c r="D68" s="163" t="str">
        <f>_xlfn.XLOOKUP(D67,Octave_1_KPIs[Face (Domain) F. ID],Octave_1_KPIs[O1 - Survival (Focus: Existence)])</f>
        <v>Founder Sustainability</v>
      </c>
      <c r="G68" s="157" t="s">
        <v>417</v>
      </c>
      <c r="H68" s="158">
        <f>REFRENCE_MODELS!$B$6</f>
        <v>0.6</v>
      </c>
      <c r="J68" s="156" t="s">
        <v>425</v>
      </c>
      <c r="K68" s="172">
        <f>C71+C73</f>
        <v>1.6</v>
      </c>
    </row>
    <row r="69" spans="1:11">
      <c r="A69" s="173" t="str">
        <f>_xlfn.XLOOKUP(A67,KPI_DATABASE!D:D,KPI_DATABASE!B:B)</f>
        <v>Founder Energy Lvl</v>
      </c>
      <c r="B69" t="str">
        <f>_xlfn.XLOOKUP(A67,KPI_DATABASE!D:D,KPI_DATABASE!A:A)</f>
        <v>L1.1</v>
      </c>
      <c r="C69">
        <f>VLOOKUP(B69,KPI_Database[],13,FALSE)</f>
        <v>0.18719999999999981</v>
      </c>
      <c r="G69" s="157" t="s">
        <v>390</v>
      </c>
      <c r="H69" s="159">
        <f>SUMPRODUCT(C71:C75, D71:D75)</f>
        <v>0.79142857142857137</v>
      </c>
      <c r="J69" s="156" t="s">
        <v>426</v>
      </c>
      <c r="K69" s="172">
        <f>C72+C74</f>
        <v>1.5</v>
      </c>
    </row>
    <row r="70" spans="1:11">
      <c r="A70" s="171" t="s">
        <v>400</v>
      </c>
      <c r="B70" s="155" t="str">
        <f>Octave_1_KPIs[[#Headers],[Element]]</f>
        <v>Element</v>
      </c>
      <c r="C70" s="452" t="s">
        <v>2055</v>
      </c>
      <c r="D70" s="452" t="s">
        <v>388</v>
      </c>
      <c r="E70" s="155"/>
      <c r="G70" s="157" t="s">
        <v>391</v>
      </c>
      <c r="H70" s="160" t="s">
        <v>392</v>
      </c>
      <c r="J70" s="156" t="s">
        <v>427</v>
      </c>
      <c r="K70" s="172">
        <f>C73+C75</f>
        <v>1.4571428571428571</v>
      </c>
    </row>
    <row r="71" spans="1:11">
      <c r="A71" s="173" t="str" cm="1">
        <f t="array" ref="A71">_xlfn.XLOOKUP(1,(REFRENCE_MODELS!$A:$A=$D$67)*(REFRENCE_MODELS!$C:$C=$B71),REFRENCE_MODELS!$E:$E,"Not Found")</f>
        <v>Average Hours of Sleep</v>
      </c>
      <c r="B71" s="451" t="s">
        <v>577</v>
      </c>
      <c r="C71">
        <f>_xlfn.XLOOKUP(A71,Octave_1_KPIs[KPI Name (Pillar)],Octave_1_KPIs[Elemental_KPI_Normalized])</f>
        <v>1</v>
      </c>
      <c r="D71" s="456">
        <v>0.2</v>
      </c>
      <c r="G71" s="161" t="s">
        <v>393</v>
      </c>
      <c r="H71" s="159">
        <f>$H$2*((C71+C73)/2) + (1-$H$2)*(C71*C73)</f>
        <v>0.72</v>
      </c>
      <c r="J71" s="156" t="s">
        <v>428</v>
      </c>
      <c r="K71" s="172">
        <f>C74+C71</f>
        <v>1.5</v>
      </c>
    </row>
    <row r="72" spans="1:11">
      <c r="A72" s="173" t="str" cm="1">
        <f t="array" ref="A72">_xlfn.XLOOKUP(1,(REFRENCE_MODELS!$A:$A=$D$67)*(REFRENCE_MODELS!$C:$C=$B72),REFRENCE_MODELS!$E:$E,"Not Found")</f>
        <v>Founder Energy Level (1-10)</v>
      </c>
      <c r="B72" s="451" t="s">
        <v>578</v>
      </c>
      <c r="C72">
        <f>_xlfn.XLOOKUP(A72,Octave_1_KPIs[KPI Name (Pillar)],Octave_1_KPIs[Elemental_KPI_Normalized])</f>
        <v>1</v>
      </c>
      <c r="D72" s="456">
        <v>0.2</v>
      </c>
      <c r="G72" s="161" t="s">
        <v>394</v>
      </c>
      <c r="H72" s="159">
        <f>$H$2*((C72+C74)/2) + (1-$H$2)*(C72*C74)</f>
        <v>0.64999999999999991</v>
      </c>
      <c r="J72" s="156" t="s">
        <v>429</v>
      </c>
      <c r="K72" s="172">
        <f>C75+C72</f>
        <v>1.8571428571428572</v>
      </c>
    </row>
    <row r="73" spans="1:11">
      <c r="A73" s="173" t="str" cm="1">
        <f t="array" ref="A73">_xlfn.XLOOKUP(1,(REFRENCE_MODELS!$A:$A=$D$67)*(REFRENCE_MODELS!$C:$C=$B73),REFRENCE_MODELS!$E:$E,"Not Found")</f>
        <v>Hours Spent in Learning/Development</v>
      </c>
      <c r="B73" s="451" t="s">
        <v>775</v>
      </c>
      <c r="C73">
        <f>_xlfn.XLOOKUP(A73,Octave_1_KPIs[KPI Name (Pillar)],Octave_1_KPIs[Elemental_KPI_Normalized])</f>
        <v>0.6</v>
      </c>
      <c r="D73" s="456">
        <v>0.2</v>
      </c>
      <c r="G73" s="161" t="s">
        <v>414</v>
      </c>
      <c r="H73" s="159">
        <f>$H$2*((C73+C75)/2) + (1-$H$2)*(C73*C75)</f>
        <v>0.64285714285714279</v>
      </c>
      <c r="K73" s="174"/>
    </row>
    <row r="74" spans="1:11">
      <c r="A74" s="173" t="str" cm="1">
        <f t="array" ref="A74">_xlfn.XLOOKUP(1,(REFRENCE_MODELS!$A:$A=$D$67)*(REFRENCE_MODELS!$C:$C=$B74),REFRENCE_MODELS!$E:$E,"Not Found")</f>
        <v>Frequency of Self-Reflection/Journaling</v>
      </c>
      <c r="B74" s="451" t="s">
        <v>579</v>
      </c>
      <c r="C74">
        <f>_xlfn.XLOOKUP(A74,Octave_1_KPIs[KPI Name (Pillar)],Octave_1_KPIs[Elemental_KPI_Normalized])</f>
        <v>0.5</v>
      </c>
      <c r="D74" s="456">
        <v>0.2</v>
      </c>
      <c r="G74" s="161" t="s">
        <v>415</v>
      </c>
      <c r="H74" s="159">
        <f>$H$2*((C74+C71)/2) + (1-$H$2)*(C74*C71)</f>
        <v>0.64999999999999991</v>
      </c>
      <c r="K74" s="174"/>
    </row>
    <row r="75" spans="1:11">
      <c r="A75" s="173" t="str" cm="1">
        <f t="array" ref="A75">_xlfn.XLOOKUP(1,(REFRENCE_MODELS!$A:$A=$D$67)*(REFRENCE_MODELS!$C:$C=$B75),REFRENCE_MODELS!$E:$E,"Not Found")</f>
        <v>"Joy in the Work" Score (1-5)</v>
      </c>
      <c r="B75" s="451" t="s">
        <v>580</v>
      </c>
      <c r="C75">
        <f>_xlfn.XLOOKUP(A75,Octave_1_KPIs[KPI Name (Pillar)],Octave_1_KPIs[Elemental_KPI_Normalized])</f>
        <v>0.8571428571428571</v>
      </c>
      <c r="D75" s="456">
        <v>0.2</v>
      </c>
      <c r="G75" s="161" t="s">
        <v>416</v>
      </c>
      <c r="H75" s="159">
        <f>$H$2*((C75+C72)/2) + (1-$H$2)*(C75*C72)</f>
        <v>0.9</v>
      </c>
      <c r="K75" s="174"/>
    </row>
    <row r="76" spans="1:11">
      <c r="A76" s="173"/>
      <c r="K76" s="174"/>
    </row>
    <row r="77" spans="1:11">
      <c r="A77" s="175" t="s">
        <v>401</v>
      </c>
      <c r="B77" s="73" t="s">
        <v>33</v>
      </c>
      <c r="G77" s="157" t="s">
        <v>418</v>
      </c>
      <c r="H77" s="162">
        <f>REFRENCE_MODELS!$B$7</f>
        <v>0.5</v>
      </c>
      <c r="K77" s="174"/>
    </row>
    <row r="78" spans="1:11">
      <c r="A78" s="176" t="s">
        <v>402</v>
      </c>
      <c r="B78" s="163">
        <f>SUMPRODUCT(C71:C75, D71:D75)</f>
        <v>0.79142857142857137</v>
      </c>
      <c r="G78" s="157" t="s">
        <v>395</v>
      </c>
      <c r="H78" s="160" t="s">
        <v>396</v>
      </c>
      <c r="K78" s="174"/>
    </row>
    <row r="79" spans="1:11">
      <c r="A79" s="176" t="s">
        <v>431</v>
      </c>
      <c r="B79" s="163">
        <f>H85</f>
        <v>0.71257142857142852</v>
      </c>
      <c r="G79" s="161" t="s">
        <v>397</v>
      </c>
      <c r="H79" s="158">
        <f>$H$11*H71+(1-$H$11)*H75</f>
        <v>0.81</v>
      </c>
      <c r="K79" s="174"/>
    </row>
    <row r="80" spans="1:11">
      <c r="A80" s="176" t="s">
        <v>403</v>
      </c>
      <c r="B80" s="164">
        <f>H87</f>
        <v>0.76777142857142855</v>
      </c>
      <c r="G80" s="161" t="s">
        <v>419</v>
      </c>
      <c r="H80" s="158">
        <f>$H$11 * H72 + (1-$H$11) * H71</f>
        <v>0.68499999999999994</v>
      </c>
      <c r="K80" s="174"/>
    </row>
    <row r="81" spans="1:11">
      <c r="A81" s="176" t="s">
        <v>404</v>
      </c>
      <c r="B81" s="165">
        <f>1 - (_xlfn.STDEV.P(K68:K72) / 2)</f>
        <v>0.92752199489162379</v>
      </c>
      <c r="G81" s="161" t="s">
        <v>420</v>
      </c>
      <c r="H81" s="158">
        <f>$H$11 * H73 + (1-$H$11) * H72</f>
        <v>0.64642857142857135</v>
      </c>
      <c r="K81" s="174"/>
    </row>
    <row r="82" spans="1:11">
      <c r="A82" s="173"/>
      <c r="G82" s="161" t="s">
        <v>421</v>
      </c>
      <c r="H82" s="158">
        <f>$H$11 * H74 + (1-$H$11) * H73</f>
        <v>0.64642857142857135</v>
      </c>
      <c r="K82" s="174"/>
    </row>
    <row r="83" spans="1:11">
      <c r="A83" s="175" t="s">
        <v>405</v>
      </c>
      <c r="B83" s="73" t="s">
        <v>33</v>
      </c>
      <c r="G83" s="161" t="s">
        <v>422</v>
      </c>
      <c r="H83" s="158">
        <f>$H$11 * H75 + (1-$H$11) * H74</f>
        <v>0.77499999999999991</v>
      </c>
      <c r="K83" s="174"/>
    </row>
    <row r="84" spans="1:11">
      <c r="A84" s="176" t="s">
        <v>406</v>
      </c>
      <c r="B84" s="163">
        <f>C69</f>
        <v>0.18719999999999981</v>
      </c>
      <c r="K84" s="174"/>
    </row>
    <row r="85" spans="1:11">
      <c r="A85" s="176" t="s">
        <v>407</v>
      </c>
      <c r="B85" s="163">
        <f>B80</f>
        <v>0.76777142857142855</v>
      </c>
      <c r="G85" s="157" t="s">
        <v>398</v>
      </c>
      <c r="H85" s="159">
        <f>AVERAGE(H79:H83)</f>
        <v>0.71257142857142852</v>
      </c>
      <c r="K85" s="174"/>
    </row>
    <row r="86" spans="1:11">
      <c r="A86" s="176" t="s">
        <v>408</v>
      </c>
      <c r="B86" s="163">
        <f>B81</f>
        <v>0.92752199489162379</v>
      </c>
      <c r="G86" s="157" t="s">
        <v>423</v>
      </c>
      <c r="H86" s="159">
        <f>REFRENCE_MODELS!$B$8</f>
        <v>0.7</v>
      </c>
      <c r="K86" s="174"/>
    </row>
    <row r="87" spans="1:11">
      <c r="A87" s="173"/>
      <c r="G87" s="157" t="s">
        <v>424</v>
      </c>
      <c r="H87" s="159">
        <f>H86*H69+((1-H86)*H85)</f>
        <v>0.76777142857142855</v>
      </c>
      <c r="K87" s="174"/>
    </row>
    <row r="88" spans="1:11">
      <c r="A88" s="177" t="s">
        <v>409</v>
      </c>
      <c r="B88" s="166">
        <f>B84* ((B85 + B86)/2)</f>
        <v>0.15867946443614153</v>
      </c>
      <c r="H88" s="167"/>
      <c r="K88" s="174"/>
    </row>
    <row r="89" spans="1:11">
      <c r="A89" s="173"/>
      <c r="K89" s="174"/>
    </row>
    <row r="90" spans="1:11">
      <c r="A90" s="175" t="s">
        <v>410</v>
      </c>
      <c r="B90" s="73" t="s">
        <v>25</v>
      </c>
      <c r="K90" s="174"/>
    </row>
    <row r="91" spans="1:11">
      <c r="A91" s="171" t="s">
        <v>411</v>
      </c>
      <c r="B91">
        <f>B88</f>
        <v>0.15867946443614153</v>
      </c>
      <c r="K91" s="174"/>
    </row>
    <row r="92" spans="1:11">
      <c r="A92" s="171" t="s">
        <v>434</v>
      </c>
      <c r="B92" s="168">
        <f>B253</f>
        <v>0.2278036354332538</v>
      </c>
      <c r="K92" s="174"/>
    </row>
    <row r="93" spans="1:11">
      <c r="A93" s="171" t="s">
        <v>412</v>
      </c>
      <c r="B93">
        <f>REFRENCE_MODELS!B9</f>
        <v>0.9</v>
      </c>
      <c r="K93" s="174"/>
    </row>
    <row r="94" spans="1:11">
      <c r="A94" s="173"/>
      <c r="K94" s="174"/>
    </row>
    <row r="95" spans="1:11" ht="15" thickBot="1">
      <c r="A95" s="178" t="s">
        <v>413</v>
      </c>
      <c r="B95" s="245">
        <f xml:space="preserve"> (B93* B91) + ((1-B93) * B92)</f>
        <v>0.16559188153585278</v>
      </c>
      <c r="C95" s="179"/>
      <c r="D95" s="457"/>
      <c r="E95" s="179"/>
      <c r="F95" s="179"/>
      <c r="G95" s="179"/>
      <c r="H95" s="179"/>
      <c r="I95" s="179"/>
      <c r="J95" s="179"/>
      <c r="K95" s="180"/>
    </row>
    <row r="96" spans="1:11">
      <c r="A96" s="73"/>
      <c r="B96" s="168"/>
    </row>
    <row r="97" spans="1:11">
      <c r="A97" s="459" t="s">
        <v>2054</v>
      </c>
      <c r="B97" s="460">
        <f>1 / (1 + EXP(-REFRENCE_MODELS!$B$10 * (B95 - 0.5)))</f>
        <v>0.20789966698088727</v>
      </c>
    </row>
    <row r="99" spans="1:11" ht="15" thickBot="1"/>
    <row r="100" spans="1:11">
      <c r="A100" s="169" t="str">
        <f>DODECA_ENGINE!A5</f>
        <v>Face 4</v>
      </c>
      <c r="B100" s="578" t="str">
        <f>VLOOKUP(A100,DODECA_ENGINE!A1:B13,2,FALSE)</f>
        <v>Structural Capital</v>
      </c>
      <c r="C100" s="579"/>
      <c r="D100" s="455" t="str">
        <f>REFRENCE_MODELS!A29</f>
        <v>Structural Capital (F4)</v>
      </c>
      <c r="E100" s="170"/>
      <c r="F100" s="170"/>
      <c r="G100" s="575" t="s">
        <v>389</v>
      </c>
      <c r="H100" s="575"/>
      <c r="I100" s="170"/>
      <c r="J100" s="576" t="s">
        <v>430</v>
      </c>
      <c r="K100" s="577"/>
    </row>
    <row r="101" spans="1:11">
      <c r="A101" s="171" t="s">
        <v>399</v>
      </c>
      <c r="B101" s="155" t="s">
        <v>2</v>
      </c>
      <c r="C101" s="452" t="s">
        <v>2163</v>
      </c>
      <c r="D101" s="456" t="str">
        <f>_xlfn.XLOOKUP(D100,Octave_1_KPIs[Face (Domain) F. ID],Octave_1_KPIs[O1 - Survival (Focus: Existence)])</f>
        <v>Governance Foundation Integrity</v>
      </c>
      <c r="G101" s="157" t="s">
        <v>417</v>
      </c>
      <c r="H101" s="158">
        <f>REFRENCE_MODELS!$B$6</f>
        <v>0.6</v>
      </c>
      <c r="J101" s="156" t="s">
        <v>425</v>
      </c>
      <c r="K101" s="172">
        <f>C104+C106</f>
        <v>1</v>
      </c>
    </row>
    <row r="102" spans="1:11">
      <c r="A102" s="173" t="str">
        <f>_xlfn.XLOOKUP(A100,KPI_DATABASE!D:D,KPI_DATABASE!B:B)</f>
        <v>% Gov Docs Drafted</v>
      </c>
      <c r="B102" t="str">
        <f>_xlfn.XLOOKUP(A100,KPI_DATABASE!D:D,KPI_DATABASE!A:A)</f>
        <v>P2.1</v>
      </c>
      <c r="C102">
        <f>VLOOKUP(B102,KPI_Database[],13,FALSE)</f>
        <v>0.37200000000000005</v>
      </c>
      <c r="G102" s="157" t="s">
        <v>390</v>
      </c>
      <c r="H102" s="159">
        <f>SUMPRODUCT(C104:C108, D104:D108)</f>
        <v>0.42000000000000004</v>
      </c>
      <c r="J102" s="156" t="s">
        <v>426</v>
      </c>
      <c r="K102" s="172">
        <f>C105+C107</f>
        <v>0.1</v>
      </c>
    </row>
    <row r="103" spans="1:11">
      <c r="A103" s="171" t="s">
        <v>400</v>
      </c>
      <c r="B103" s="155" t="str">
        <f>Octave_1_KPIs[[#Headers],[Element]]</f>
        <v>Element</v>
      </c>
      <c r="C103" s="452" t="s">
        <v>2055</v>
      </c>
      <c r="D103" s="452" t="s">
        <v>388</v>
      </c>
      <c r="E103" s="155"/>
      <c r="G103" s="157" t="s">
        <v>391</v>
      </c>
      <c r="H103" s="160" t="s">
        <v>392</v>
      </c>
      <c r="J103" s="156" t="s">
        <v>427</v>
      </c>
      <c r="K103" s="172">
        <f>C106+C108</f>
        <v>1</v>
      </c>
    </row>
    <row r="104" spans="1:11">
      <c r="A104" s="173" t="str" cm="1">
        <f t="array" ref="A104">_xlfn.XLOOKUP(1,(REFRENCE_MODELS!$A:$A=$D$100)*(REFRENCE_MODELS!$C:$C=$B104),REFRENCE_MODELS!$E:$E,"Not Found")</f>
        <v>% of Legal Registration Complete</v>
      </c>
      <c r="B104" s="451" t="s">
        <v>577</v>
      </c>
      <c r="C104">
        <f>_xlfn.XLOOKUP(A104,Octave_1_KPIs[KPI Name (Pillar)],Octave_1_KPIs[Elemental_KPI_Normalized])</f>
        <v>1</v>
      </c>
      <c r="D104" s="456">
        <v>0.2</v>
      </c>
      <c r="G104" s="161" t="s">
        <v>393</v>
      </c>
      <c r="H104" s="159">
        <f>$H$2*((C104+C106)/2) + (1-$H$2)*(C104*C106)</f>
        <v>0.3</v>
      </c>
      <c r="J104" s="156" t="s">
        <v>428</v>
      </c>
      <c r="K104" s="172">
        <f>C107+C104</f>
        <v>1.1000000000000001</v>
      </c>
    </row>
    <row r="105" spans="1:11">
      <c r="A105" s="173" t="str" cm="1">
        <f t="array" ref="A105">_xlfn.XLOOKUP(1,(REFRENCE_MODELS!$A:$A=$D$100)*(REFRENCE_MODELS!$C:$C=$B105),REFRENCE_MODELS!$E:$E,"Not Found")</f>
        <v>Decision Protocol Clarity (1-5)</v>
      </c>
      <c r="B105" s="451" t="s">
        <v>578</v>
      </c>
      <c r="C105">
        <f>_xlfn.XLOOKUP(A105,Octave_1_KPIs[KPI Name (Pillar)],Octave_1_KPIs[Elemental_KPI_Normalized])</f>
        <v>0</v>
      </c>
      <c r="D105" s="456">
        <v>0.2</v>
      </c>
      <c r="G105" s="161" t="s">
        <v>394</v>
      </c>
      <c r="H105" s="159">
        <f>$H$2*((C105+C107)/2) + (1-$H$2)*(C105*C107)</f>
        <v>0.03</v>
      </c>
      <c r="J105" s="156" t="s">
        <v>429</v>
      </c>
      <c r="K105" s="172">
        <f>C108+C105</f>
        <v>1</v>
      </c>
    </row>
    <row r="106" spans="1:11">
      <c r="A106" s="173" t="str" cm="1">
        <f t="array" ref="A106">_xlfn.XLOOKUP(1,(REFRENCE_MODELS!$A:$A=$D$100)*(REFRENCE_MODELS!$C:$C=$B106),REFRENCE_MODELS!$E:$E,"Not Found")</f>
        <v># of Documented "Value Alignment Checks"</v>
      </c>
      <c r="B106" s="451" t="s">
        <v>775</v>
      </c>
      <c r="C106">
        <f>_xlfn.XLOOKUP(A106,Octave_1_KPIs[KPI Name (Pillar)],Octave_1_KPIs[Elemental_KPI_Normalized])</f>
        <v>0</v>
      </c>
      <c r="D106" s="456">
        <v>0.2</v>
      </c>
      <c r="G106" s="161" t="s">
        <v>414</v>
      </c>
      <c r="H106" s="159">
        <f>$H$2*((C106+C108)/2) + (1-$H$2)*(C106*C108)</f>
        <v>0.3</v>
      </c>
      <c r="K106" s="174"/>
    </row>
    <row r="107" spans="1:11">
      <c r="A107" s="173" t="str" cm="1">
        <f t="array" ref="A107">_xlfn.XLOOKUP(1,(REFRENCE_MODELS!$A:$A=$D$100)*(REFRENCE_MODELS!$C:$C=$B107),REFRENCE_MODELS!$E:$E,"Not Found")</f>
        <v>% of Core Governance Docs Drafted</v>
      </c>
      <c r="B107" s="451" t="s">
        <v>579</v>
      </c>
      <c r="C107">
        <f>_xlfn.XLOOKUP(A107,Octave_1_KPIs[KPI Name (Pillar)],Octave_1_KPIs[Elemental_KPI_Normalized])</f>
        <v>0.1</v>
      </c>
      <c r="D107" s="456">
        <v>0.2</v>
      </c>
      <c r="G107" s="161" t="s">
        <v>415</v>
      </c>
      <c r="H107" s="159">
        <f>$H$2*((C107+C104)/2) + (1-$H$2)*(C107*C104)</f>
        <v>0.37</v>
      </c>
      <c r="K107" s="174"/>
    </row>
    <row r="108" spans="1:11">
      <c r="A108" s="173" t="str" cm="1">
        <f t="array" ref="A108">_xlfn.XLOOKUP(1,(REFRENCE_MODELS!$A:$A=$D$100)*(REFRENCE_MODELS!$C:$C=$B108),REFRENCE_MODELS!$E:$E,"Not Found")</f>
        <v>Perceived Fairness of Structure (1-5)</v>
      </c>
      <c r="B108" s="451" t="s">
        <v>580</v>
      </c>
      <c r="C108">
        <f>_xlfn.XLOOKUP(A108,Octave_1_KPIs[KPI Name (Pillar)],Octave_1_KPIs[Elemental_KPI_Normalized])</f>
        <v>1</v>
      </c>
      <c r="D108" s="456">
        <v>0.2</v>
      </c>
      <c r="G108" s="161" t="s">
        <v>416</v>
      </c>
      <c r="H108" s="159">
        <f>$H$2*((C108+C105)/2) + (1-$H$2)*(C108*C105)</f>
        <v>0.3</v>
      </c>
      <c r="K108" s="174"/>
    </row>
    <row r="109" spans="1:11">
      <c r="A109" s="173"/>
      <c r="K109" s="174"/>
    </row>
    <row r="110" spans="1:11">
      <c r="A110" s="175" t="s">
        <v>401</v>
      </c>
      <c r="B110" s="73" t="s">
        <v>33</v>
      </c>
      <c r="G110" s="157" t="s">
        <v>418</v>
      </c>
      <c r="H110" s="162">
        <f>REFRENCE_MODELS!$B$7</f>
        <v>0.5</v>
      </c>
      <c r="K110" s="174"/>
    </row>
    <row r="111" spans="1:11">
      <c r="A111" s="176" t="s">
        <v>402</v>
      </c>
      <c r="B111" s="163">
        <f>SUMPRODUCT(C104:C108, D104:D108)</f>
        <v>0.42000000000000004</v>
      </c>
      <c r="G111" s="157" t="s">
        <v>395</v>
      </c>
      <c r="H111" s="160" t="s">
        <v>396</v>
      </c>
      <c r="K111" s="174"/>
    </row>
    <row r="112" spans="1:11">
      <c r="A112" s="176" t="s">
        <v>431</v>
      </c>
      <c r="B112" s="163">
        <f>H118</f>
        <v>0.25999999999999995</v>
      </c>
      <c r="G112" s="161" t="s">
        <v>397</v>
      </c>
      <c r="H112" s="158">
        <f>$H$11*H104+(1-$H$11)*H108</f>
        <v>0.3</v>
      </c>
      <c r="K112" s="174"/>
    </row>
    <row r="113" spans="1:11">
      <c r="A113" s="176" t="s">
        <v>403</v>
      </c>
      <c r="B113" s="164">
        <f>H120</f>
        <v>0.372</v>
      </c>
      <c r="G113" s="161" t="s">
        <v>419</v>
      </c>
      <c r="H113" s="158">
        <f>$H$11 * H105 + (1-$H$11) * H104</f>
        <v>0.16499999999999998</v>
      </c>
      <c r="K113" s="174"/>
    </row>
    <row r="114" spans="1:11">
      <c r="A114" s="176" t="s">
        <v>404</v>
      </c>
      <c r="B114" s="165">
        <f>1 - (_xlfn.STDEV.P(K101:K105) / 2)</f>
        <v>0.81398924762261737</v>
      </c>
      <c r="G114" s="161" t="s">
        <v>420</v>
      </c>
      <c r="H114" s="158">
        <f>$H$11 * H106 + (1-$H$11) * H105</f>
        <v>0.16499999999999998</v>
      </c>
      <c r="K114" s="174"/>
    </row>
    <row r="115" spans="1:11">
      <c r="A115" s="173"/>
      <c r="G115" s="161" t="s">
        <v>421</v>
      </c>
      <c r="H115" s="158">
        <f>$H$11 * H107 + (1-$H$11) * H106</f>
        <v>0.33499999999999996</v>
      </c>
      <c r="K115" s="174"/>
    </row>
    <row r="116" spans="1:11">
      <c r="A116" s="175" t="s">
        <v>405</v>
      </c>
      <c r="B116" s="73" t="s">
        <v>33</v>
      </c>
      <c r="G116" s="161" t="s">
        <v>422</v>
      </c>
      <c r="H116" s="158">
        <f>$H$11 * H108 + (1-$H$11) * H107</f>
        <v>0.33499999999999996</v>
      </c>
      <c r="K116" s="174"/>
    </row>
    <row r="117" spans="1:11">
      <c r="A117" s="176" t="s">
        <v>406</v>
      </c>
      <c r="B117" s="163">
        <f>C102</f>
        <v>0.37200000000000005</v>
      </c>
      <c r="K117" s="174"/>
    </row>
    <row r="118" spans="1:11">
      <c r="A118" s="176" t="s">
        <v>407</v>
      </c>
      <c r="B118" s="163">
        <f>B113</f>
        <v>0.372</v>
      </c>
      <c r="G118" s="157" t="s">
        <v>398</v>
      </c>
      <c r="H118" s="159">
        <f>AVERAGE(H112:H116)</f>
        <v>0.25999999999999995</v>
      </c>
      <c r="K118" s="174"/>
    </row>
    <row r="119" spans="1:11">
      <c r="A119" s="176" t="s">
        <v>408</v>
      </c>
      <c r="B119" s="163">
        <f>B114</f>
        <v>0.81398924762261737</v>
      </c>
      <c r="G119" s="157" t="s">
        <v>423</v>
      </c>
      <c r="H119" s="159">
        <f>REFRENCE_MODELS!$B$8</f>
        <v>0.7</v>
      </c>
      <c r="K119" s="174"/>
    </row>
    <row r="120" spans="1:11">
      <c r="A120" s="173"/>
      <c r="G120" s="157" t="s">
        <v>424</v>
      </c>
      <c r="H120" s="159">
        <f>H119*H102+((1-H119)*H118)</f>
        <v>0.372</v>
      </c>
      <c r="K120" s="174"/>
    </row>
    <row r="121" spans="1:11">
      <c r="A121" s="177" t="s">
        <v>409</v>
      </c>
      <c r="B121" s="166">
        <f>B117* ((B118 + B119)/2)</f>
        <v>0.22059400005780685</v>
      </c>
      <c r="H121" s="167"/>
      <c r="K121" s="174"/>
    </row>
    <row r="122" spans="1:11">
      <c r="A122" s="173"/>
      <c r="K122" s="174"/>
    </row>
    <row r="123" spans="1:11">
      <c r="A123" s="175" t="s">
        <v>410</v>
      </c>
      <c r="B123" s="73" t="s">
        <v>25</v>
      </c>
      <c r="K123" s="174"/>
    </row>
    <row r="124" spans="1:11">
      <c r="A124" s="171" t="s">
        <v>411</v>
      </c>
      <c r="B124">
        <f>B121</f>
        <v>0.22059400005780685</v>
      </c>
      <c r="K124" s="174"/>
    </row>
    <row r="125" spans="1:11">
      <c r="A125" s="171" t="s">
        <v>435</v>
      </c>
      <c r="B125" s="168">
        <f>B286</f>
        <v>0.46253795033477557</v>
      </c>
      <c r="K125" s="174"/>
    </row>
    <row r="126" spans="1:11">
      <c r="A126" s="171" t="s">
        <v>412</v>
      </c>
      <c r="B126">
        <f>REFRENCE_MODELS!B9</f>
        <v>0.9</v>
      </c>
      <c r="K126" s="174"/>
    </row>
    <row r="127" spans="1:11">
      <c r="A127" s="173"/>
      <c r="K127" s="174"/>
    </row>
    <row r="128" spans="1:11" ht="15" thickBot="1">
      <c r="A128" s="178" t="s">
        <v>413</v>
      </c>
      <c r="B128" s="245">
        <f xml:space="preserve"> (B126* B124) + ((1-B126) * B125)</f>
        <v>0.24478839508550371</v>
      </c>
      <c r="C128" s="179"/>
      <c r="D128" s="457"/>
      <c r="E128" s="179"/>
      <c r="F128" s="179"/>
      <c r="G128" s="179"/>
      <c r="H128" s="179"/>
      <c r="I128" s="179"/>
      <c r="J128" s="179"/>
      <c r="K128" s="180"/>
    </row>
    <row r="129" spans="1:17">
      <c r="A129" s="73"/>
      <c r="B129" s="168"/>
    </row>
    <row r="130" spans="1:17">
      <c r="A130" s="459" t="s">
        <v>2054</v>
      </c>
      <c r="B130" s="460">
        <f>1 / (1 + EXP(-REFRENCE_MODELS!$B$10 * (B128 - 0.5)))</f>
        <v>0.26486256103884259</v>
      </c>
    </row>
    <row r="132" spans="1:17" ht="15" thickBot="1"/>
    <row r="133" spans="1:17">
      <c r="A133" s="169" t="str">
        <f>DODECA_ENGINE!A6</f>
        <v>Face 5</v>
      </c>
      <c r="B133" s="578" t="str">
        <f>VLOOKUP(A133,DODECA_ENGINE!A1:B13,2,FALSE)</f>
        <v>Market Resonance</v>
      </c>
      <c r="C133" s="579"/>
      <c r="D133" s="455" t="str">
        <f>REFRENCE_MODELS!A34</f>
        <v>Market Resonance (F5)</v>
      </c>
      <c r="E133" s="170"/>
      <c r="F133" s="170"/>
      <c r="G133" s="575" t="s">
        <v>389</v>
      </c>
      <c r="H133" s="575"/>
      <c r="I133" s="170"/>
      <c r="J133" s="576" t="s">
        <v>430</v>
      </c>
      <c r="K133" s="577"/>
    </row>
    <row r="134" spans="1:17">
      <c r="A134" s="171" t="s">
        <v>399</v>
      </c>
      <c r="B134" s="155" t="s">
        <v>2</v>
      </c>
      <c r="C134" s="452" t="s">
        <v>2163</v>
      </c>
      <c r="D134" s="456" t="str">
        <f>_xlfn.XLOOKUP(D133,Octave_1_KPIs[Face (Domain) F. ID],Octave_1_KPIs[O1 - Survival (Focus: Existence)])</f>
        <v>Initial Message Coherence</v>
      </c>
      <c r="G134" s="157" t="s">
        <v>417</v>
      </c>
      <c r="H134" s="158">
        <f>REFRENCE_MODELS!$B$6</f>
        <v>0.6</v>
      </c>
      <c r="J134" s="156" t="s">
        <v>425</v>
      </c>
      <c r="K134" s="172">
        <f>C137+C139</f>
        <v>4.0000000000000036E-2</v>
      </c>
      <c r="Q134" s="252"/>
    </row>
    <row r="135" spans="1:17">
      <c r="A135" s="173" t="str">
        <f>_xlfn.XLOOKUP(A133,KPI_DATABASE!D:D,KPI_DATABASE!B:B)</f>
        <v>Clarity Score</v>
      </c>
      <c r="B135" t="str">
        <f>_xlfn.XLOOKUP(A133,KPI_DATABASE!D:D,KPI_DATABASE!A:A)</f>
        <v>P1.1</v>
      </c>
      <c r="C135">
        <f>VLOOKUP(B135,KPI_Database[],13,FALSE)</f>
        <v>0</v>
      </c>
      <c r="G135" s="157" t="s">
        <v>390</v>
      </c>
      <c r="H135" s="159">
        <f>SUMPRODUCT(C137:C141, D137:D141)</f>
        <v>0.32240000000000002</v>
      </c>
      <c r="J135" s="156" t="s">
        <v>426</v>
      </c>
      <c r="K135" s="172">
        <f>C138+C140</f>
        <v>0.57200000000000006</v>
      </c>
      <c r="Q135" s="252"/>
    </row>
    <row r="136" spans="1:17">
      <c r="A136" s="171" t="s">
        <v>400</v>
      </c>
      <c r="B136" s="155" t="str">
        <f>Octave_1_KPIs[[#Headers],[Element]]</f>
        <v>Element</v>
      </c>
      <c r="C136" s="452" t="s">
        <v>2055</v>
      </c>
      <c r="D136" s="452" t="s">
        <v>388</v>
      </c>
      <c r="E136" s="155"/>
      <c r="G136" s="157" t="s">
        <v>391</v>
      </c>
      <c r="H136" s="160" t="s">
        <v>392</v>
      </c>
      <c r="J136" s="156" t="s">
        <v>427</v>
      </c>
      <c r="K136" s="172">
        <f>C139+C141</f>
        <v>1</v>
      </c>
      <c r="Q136" s="252"/>
    </row>
    <row r="137" spans="1:17">
      <c r="A137" s="173" t="str" cm="1">
        <f t="array" ref="A137">_xlfn.XLOOKUP(1,(REFRENCE_MODELS!$A:$A=$D$133)*(REFRENCE_MODELS!$C:$C=$B137),REFRENCE_MODELS!$E:$E,"Not Found")</f>
        <v>Clarity Score of one-sentence pitch (1-5)</v>
      </c>
      <c r="B137" s="451" t="s">
        <v>577</v>
      </c>
      <c r="C137">
        <f>_xlfn.XLOOKUP(A137,Octave_1_KPIs[KPI Name (Pillar)],Octave_1_KPIs[Elemental_KPI_Normalized])</f>
        <v>4.0000000000000036E-2</v>
      </c>
      <c r="D137" s="456">
        <v>0.2</v>
      </c>
      <c r="G137" s="161" t="s">
        <v>393</v>
      </c>
      <c r="H137" s="159">
        <f>$H$2*((C137+C139)/2) + (1-$H$2)*(C137*C139)</f>
        <v>1.2000000000000011E-2</v>
      </c>
      <c r="J137" s="156" t="s">
        <v>428</v>
      </c>
      <c r="K137" s="172">
        <f>C140+C137</f>
        <v>0.54</v>
      </c>
      <c r="Q137" s="252"/>
    </row>
    <row r="138" spans="1:17">
      <c r="A138" s="173" t="str" cm="1">
        <f t="array" ref="A138">_xlfn.XLOOKUP(1,(REFRENCE_MODELS!$A:$A=$D$133)*(REFRENCE_MODELS!$C:$C=$B138),REFRENCE_MODELS!$E:$E,"Not Found")</f>
        <v>Weekly Website Traffic</v>
      </c>
      <c r="B138" s="451" t="s">
        <v>578</v>
      </c>
      <c r="C138">
        <f>_xlfn.XLOOKUP(A138,Octave_1_KPIs[KPI Name (Pillar)],Octave_1_KPIs[Elemental_KPI_Normalized])</f>
        <v>7.2000000000000008E-2</v>
      </c>
      <c r="D138" s="456">
        <v>0.2</v>
      </c>
      <c r="G138" s="161" t="s">
        <v>394</v>
      </c>
      <c r="H138" s="159">
        <f>$H$2*((C138+C140)/2) + (1-$H$2)*(C138*C140)</f>
        <v>0.186</v>
      </c>
      <c r="J138" s="156" t="s">
        <v>429</v>
      </c>
      <c r="K138" s="172">
        <f>C141+C138</f>
        <v>1.0720000000000001</v>
      </c>
      <c r="P138" s="5"/>
      <c r="Q138" s="253"/>
    </row>
    <row r="139" spans="1:17">
      <c r="A139" s="173" t="str" cm="1">
        <f t="array" ref="A139">_xlfn.XLOOKUP(1,(REFRENCE_MODELS!$A:$A=$D$133)*(REFRENCE_MODELS!$C:$C=$B139),REFRENCE_MODELS!$E:$E,"Not Found")</f>
        <v># of Engaging Social Media Posts</v>
      </c>
      <c r="B139" s="451" t="s">
        <v>775</v>
      </c>
      <c r="C139">
        <f>_xlfn.XLOOKUP(A139,Octave_1_KPIs[KPI Name (Pillar)],Octave_1_KPIs[Elemental_KPI_Normalized])</f>
        <v>0</v>
      </c>
      <c r="D139" s="456">
        <v>0.2</v>
      </c>
      <c r="G139" s="161" t="s">
        <v>414</v>
      </c>
      <c r="H139" s="159">
        <f>$H$2*((C139+C141)/2) + (1-$H$2)*(C139*C141)</f>
        <v>0.3</v>
      </c>
      <c r="K139" s="174"/>
    </row>
    <row r="140" spans="1:17">
      <c r="A140" s="173" t="str" cm="1">
        <f t="array" ref="A140">_xlfn.XLOOKUP(1,(REFRENCE_MODELS!$A:$A=$D$133)*(REFRENCE_MODELS!$C:$C=$B140),REFRENCE_MODELS!$E:$E,"Not Found")</f>
        <v>Quality of Feedback from listeners</v>
      </c>
      <c r="B140" s="451" t="s">
        <v>579</v>
      </c>
      <c r="C140">
        <f>_xlfn.XLOOKUP(A140,Octave_1_KPIs[KPI Name (Pillar)],Octave_1_KPIs[Elemental_KPI_Normalized])</f>
        <v>0.5</v>
      </c>
      <c r="D140" s="456">
        <v>0.2</v>
      </c>
      <c r="G140" s="161" t="s">
        <v>415</v>
      </c>
      <c r="H140" s="159">
        <f>$H$2*((C140+C137)/2) + (1-$H$2)*(C140*C137)</f>
        <v>0.17</v>
      </c>
      <c r="K140" s="174"/>
    </row>
    <row r="141" spans="1:17">
      <c r="A141" s="173" t="str" cm="1">
        <f t="array" ref="A141">_xlfn.XLOOKUP(1,(REFRENCE_MODELS!$A:$A=$D$133)*(REFRENCE_MODELS!$C:$C=$B141),REFRENCE_MODELS!$E:$E,"Not Found")</f>
        <v>Founder's "Felt Resonance" when speaking (1-5)</v>
      </c>
      <c r="B141" s="451" t="s">
        <v>580</v>
      </c>
      <c r="C141">
        <f>_xlfn.XLOOKUP(A141,Octave_1_KPIs[KPI Name (Pillar)],Octave_1_KPIs[Elemental_KPI_Normalized])</f>
        <v>1</v>
      </c>
      <c r="D141" s="456">
        <v>0.2</v>
      </c>
      <c r="G141" s="161" t="s">
        <v>416</v>
      </c>
      <c r="H141" s="159">
        <f>$H$2*((C141+C138)/2) + (1-$H$2)*(C141*C138)</f>
        <v>0.35039999999999999</v>
      </c>
      <c r="K141" s="174"/>
    </row>
    <row r="142" spans="1:17">
      <c r="A142" s="173"/>
      <c r="K142" s="174"/>
    </row>
    <row r="143" spans="1:17">
      <c r="A143" s="175" t="s">
        <v>401</v>
      </c>
      <c r="B143" s="73" t="s">
        <v>33</v>
      </c>
      <c r="G143" s="157" t="s">
        <v>418</v>
      </c>
      <c r="H143" s="162">
        <f>REFRENCE_MODELS!$B$7</f>
        <v>0.5</v>
      </c>
      <c r="K143" s="174"/>
    </row>
    <row r="144" spans="1:17">
      <c r="A144" s="176" t="s">
        <v>402</v>
      </c>
      <c r="B144" s="163">
        <f>SUMPRODUCT(C137:C141, D137:D141)</f>
        <v>0.32240000000000002</v>
      </c>
      <c r="G144" s="157" t="s">
        <v>395</v>
      </c>
      <c r="H144" s="160" t="s">
        <v>396</v>
      </c>
      <c r="K144" s="174"/>
    </row>
    <row r="145" spans="1:19">
      <c r="A145" s="176" t="s">
        <v>431</v>
      </c>
      <c r="B145" s="163">
        <f>H151</f>
        <v>0.20368</v>
      </c>
      <c r="G145" s="161" t="s">
        <v>397</v>
      </c>
      <c r="H145" s="158">
        <f>$H$11*H137+(1-$H$11)*H141</f>
        <v>0.1812</v>
      </c>
      <c r="K145" s="174"/>
      <c r="Q145" s="5"/>
      <c r="S145" s="5"/>
    </row>
    <row r="146" spans="1:19">
      <c r="A146" s="176" t="s">
        <v>403</v>
      </c>
      <c r="B146" s="164">
        <f>H153</f>
        <v>0.28678399999999998</v>
      </c>
      <c r="G146" s="161" t="s">
        <v>419</v>
      </c>
      <c r="H146" s="158">
        <f>$H$11 * H138 + (1-$H$11) * H137</f>
        <v>9.9000000000000005E-2</v>
      </c>
      <c r="K146" s="174"/>
    </row>
    <row r="147" spans="1:19">
      <c r="A147" s="176" t="s">
        <v>404</v>
      </c>
      <c r="B147" s="165">
        <f>1 - (_xlfn.STDEV.P(K134:K138) / 2)</f>
        <v>0.81415963839897421</v>
      </c>
      <c r="G147" s="161" t="s">
        <v>420</v>
      </c>
      <c r="H147" s="158">
        <f>$H$11 * H139 + (1-$H$11) * H138</f>
        <v>0.24299999999999999</v>
      </c>
      <c r="K147" s="174"/>
      <c r="Q147" s="250"/>
      <c r="S147" s="250"/>
    </row>
    <row r="148" spans="1:19">
      <c r="A148" s="173"/>
      <c r="G148" s="161" t="s">
        <v>421</v>
      </c>
      <c r="H148" s="158">
        <f>$H$11 * H140 + (1-$H$11) * H139</f>
        <v>0.23499999999999999</v>
      </c>
      <c r="K148" s="174"/>
    </row>
    <row r="149" spans="1:19">
      <c r="A149" s="175" t="s">
        <v>405</v>
      </c>
      <c r="B149" s="73" t="s">
        <v>33</v>
      </c>
      <c r="G149" s="161" t="s">
        <v>422</v>
      </c>
      <c r="H149" s="158">
        <f>$H$11 * H141 + (1-$H$11) * H140</f>
        <v>0.26019999999999999</v>
      </c>
      <c r="K149" s="174"/>
    </row>
    <row r="150" spans="1:19">
      <c r="A150" s="176" t="s">
        <v>406</v>
      </c>
      <c r="B150" s="163">
        <f>C135</f>
        <v>0</v>
      </c>
      <c r="K150" s="174"/>
    </row>
    <row r="151" spans="1:19">
      <c r="A151" s="176" t="s">
        <v>407</v>
      </c>
      <c r="B151" s="163">
        <f>B146</f>
        <v>0.28678399999999998</v>
      </c>
      <c r="G151" s="157" t="s">
        <v>398</v>
      </c>
      <c r="H151" s="159">
        <f>AVERAGE(H145:H149)</f>
        <v>0.20368</v>
      </c>
      <c r="K151" s="174"/>
    </row>
    <row r="152" spans="1:19">
      <c r="A152" s="176" t="s">
        <v>408</v>
      </c>
      <c r="B152" s="163">
        <f>B147</f>
        <v>0.81415963839897421</v>
      </c>
      <c r="G152" s="157" t="s">
        <v>423</v>
      </c>
      <c r="H152" s="159">
        <f>REFRENCE_MODELS!$B$8</f>
        <v>0.7</v>
      </c>
      <c r="K152" s="174"/>
    </row>
    <row r="153" spans="1:19">
      <c r="A153" s="173"/>
      <c r="G153" s="157" t="s">
        <v>424</v>
      </c>
      <c r="H153" s="159">
        <f>H152*H135+((1-H152)*H151)</f>
        <v>0.28678399999999998</v>
      </c>
      <c r="K153" s="174"/>
      <c r="Q153" s="249"/>
    </row>
    <row r="154" spans="1:19">
      <c r="A154" s="177" t="s">
        <v>409</v>
      </c>
      <c r="B154" s="166">
        <f>B150* ((B151 + B152)/2)</f>
        <v>0</v>
      </c>
      <c r="H154" s="167"/>
      <c r="K154" s="174"/>
      <c r="Q154" s="249"/>
      <c r="S154" s="254"/>
    </row>
    <row r="155" spans="1:19">
      <c r="A155" s="173"/>
      <c r="K155" s="174"/>
      <c r="Q155" s="249"/>
    </row>
    <row r="156" spans="1:19">
      <c r="A156" s="175" t="s">
        <v>410</v>
      </c>
      <c r="B156" s="73" t="s">
        <v>25</v>
      </c>
      <c r="K156" s="174"/>
      <c r="Q156" s="251"/>
    </row>
    <row r="157" spans="1:19">
      <c r="A157" s="171" t="s">
        <v>411</v>
      </c>
      <c r="B157">
        <f>B154</f>
        <v>0</v>
      </c>
      <c r="K157" s="174"/>
    </row>
    <row r="158" spans="1:19">
      <c r="A158" s="171" t="s">
        <v>436</v>
      </c>
      <c r="B158" s="168">
        <f>B319</f>
        <v>0.46253795033477557</v>
      </c>
      <c r="K158" s="174"/>
      <c r="S158" s="5"/>
    </row>
    <row r="159" spans="1:19">
      <c r="A159" s="171" t="s">
        <v>412</v>
      </c>
      <c r="B159">
        <f>REFRENCE_MODELS!B9</f>
        <v>0.9</v>
      </c>
      <c r="K159" s="174"/>
    </row>
    <row r="160" spans="1:19">
      <c r="A160" s="173"/>
      <c r="K160" s="174"/>
    </row>
    <row r="161" spans="1:24" ht="15" thickBot="1">
      <c r="A161" s="178" t="s">
        <v>413</v>
      </c>
      <c r="B161" s="245">
        <f xml:space="preserve"> (B159* B157) + ((1-B159) * B158)</f>
        <v>4.6253795033477547E-2</v>
      </c>
      <c r="C161" s="179"/>
      <c r="D161" s="457"/>
      <c r="E161" s="179"/>
      <c r="F161" s="179"/>
      <c r="G161" s="179"/>
      <c r="H161" s="179"/>
      <c r="I161" s="179"/>
      <c r="J161" s="179"/>
      <c r="K161" s="180"/>
      <c r="P161" s="258"/>
      <c r="Q161" s="259"/>
      <c r="R161" s="259"/>
      <c r="S161" s="259"/>
      <c r="T161" s="259"/>
      <c r="U161" s="258"/>
      <c r="W161" s="258"/>
    </row>
    <row r="162" spans="1:24">
      <c r="A162" s="73"/>
      <c r="B162" s="168"/>
      <c r="P162" s="259"/>
      <c r="Q162" s="255"/>
      <c r="R162" s="255"/>
      <c r="S162" s="255"/>
      <c r="T162" s="256"/>
      <c r="U162" s="257"/>
      <c r="V162" s="256"/>
      <c r="W162" s="256"/>
      <c r="X162" s="256"/>
    </row>
    <row r="163" spans="1:24">
      <c r="A163" s="459" t="s">
        <v>2054</v>
      </c>
      <c r="B163" s="460">
        <f>1 / (1 + EXP(-REFRENCE_MODELS!$B$10 * (B161 - 0.5)))</f>
        <v>0.1400367437074834</v>
      </c>
      <c r="P163" s="259"/>
      <c r="Q163" s="255"/>
      <c r="R163" s="255"/>
      <c r="S163" s="255"/>
      <c r="T163" s="256"/>
      <c r="U163" s="257"/>
      <c r="V163" s="256"/>
      <c r="W163" s="256"/>
      <c r="X163" s="256"/>
    </row>
    <row r="164" spans="1:24">
      <c r="P164" s="259"/>
      <c r="Q164" s="255"/>
      <c r="R164" s="255"/>
      <c r="S164" s="255"/>
      <c r="T164" s="256"/>
      <c r="U164" s="257"/>
      <c r="V164" s="256"/>
      <c r="W164" s="256"/>
      <c r="X164" s="256"/>
    </row>
    <row r="165" spans="1:24" ht="15" thickBot="1">
      <c r="P165" s="259"/>
      <c r="Q165" s="255"/>
      <c r="R165" s="255"/>
      <c r="S165" s="255"/>
      <c r="T165" s="256"/>
      <c r="U165" s="257"/>
      <c r="V165" s="256"/>
      <c r="W165" s="256"/>
      <c r="X165" s="256"/>
    </row>
    <row r="166" spans="1:24">
      <c r="A166" s="169" t="str">
        <f>DODECA_ENGINE!A7</f>
        <v>Face 6</v>
      </c>
      <c r="B166" s="578" t="str">
        <f>VLOOKUP(A166,DODECA_ENGINE!A1:B13,2,FALSE)</f>
        <v>Community &amp; Partners</v>
      </c>
      <c r="C166" s="579"/>
      <c r="D166" s="455" t="str">
        <f>REFRENCE_MODELS!A39</f>
        <v>Community &amp; Partners (F6)</v>
      </c>
      <c r="E166" s="170"/>
      <c r="F166" s="170"/>
      <c r="G166" s="575" t="s">
        <v>389</v>
      </c>
      <c r="H166" s="575"/>
      <c r="I166" s="170"/>
      <c r="J166" s="576" t="s">
        <v>430</v>
      </c>
      <c r="K166" s="577"/>
      <c r="Q166" s="256"/>
      <c r="R166" s="256"/>
      <c r="S166" s="256"/>
      <c r="T166" s="256"/>
      <c r="U166" s="256"/>
      <c r="V166" s="256"/>
      <c r="W166" s="256"/>
      <c r="X166" s="256"/>
    </row>
    <row r="167" spans="1:24">
      <c r="A167" s="171" t="s">
        <v>399</v>
      </c>
      <c r="B167" s="155" t="s">
        <v>2</v>
      </c>
      <c r="C167" s="452" t="s">
        <v>2163</v>
      </c>
      <c r="D167" s="456" t="str">
        <f>_xlfn.XLOOKUP(D166,Octave_1_KPIs[Face (Domain) F. ID],Octave_1_KPIs[O1 - Survival (Focus: Existence)])</f>
        <v>Network Foundation Strength</v>
      </c>
      <c r="G167" s="157" t="s">
        <v>417</v>
      </c>
      <c r="H167" s="158">
        <f>REFRENCE_MODELS!$B$6</f>
        <v>0.6</v>
      </c>
      <c r="J167" s="156" t="s">
        <v>425</v>
      </c>
      <c r="K167" s="172">
        <f>C170+C172</f>
        <v>0.66666666666666663</v>
      </c>
      <c r="P167" s="259"/>
      <c r="Q167" s="256"/>
      <c r="R167" s="256"/>
      <c r="S167" s="256"/>
      <c r="T167" s="256"/>
      <c r="U167" s="256"/>
      <c r="V167" s="256"/>
      <c r="W167" s="257"/>
      <c r="X167" s="256"/>
    </row>
    <row r="168" spans="1:24">
      <c r="A168" s="173" t="str">
        <f>_xlfn.XLOOKUP(A166,KPI_DATABASE!D:D,KPI_DATABASE!B:B)</f>
        <v>Strat. Convos</v>
      </c>
      <c r="B168" t="str">
        <f>_xlfn.XLOOKUP(A166,KPI_DATABASE!D:D,KPI_DATABASE!A:A)</f>
        <v>S2.1</v>
      </c>
      <c r="C168">
        <f>VLOOKUP(B168,KPI_Database[],13,FALSE)</f>
        <v>0.40247619047619049</v>
      </c>
      <c r="G168" s="157" t="s">
        <v>390</v>
      </c>
      <c r="H168" s="159">
        <f>SUMPRODUCT(C170:C174, D170:D174)</f>
        <v>0.43333333333333335</v>
      </c>
      <c r="J168" s="156" t="s">
        <v>426</v>
      </c>
      <c r="K168" s="172">
        <f>C171+C173</f>
        <v>1.0714285714285714</v>
      </c>
      <c r="P168" s="259"/>
      <c r="T168" s="256"/>
    </row>
    <row r="169" spans="1:24">
      <c r="A169" s="171" t="s">
        <v>400</v>
      </c>
      <c r="B169" s="155" t="str">
        <f>Octave_1_KPIs[[#Headers],[Element]]</f>
        <v>Element</v>
      </c>
      <c r="C169" s="452" t="s">
        <v>2055</v>
      </c>
      <c r="D169" s="452" t="s">
        <v>388</v>
      </c>
      <c r="E169" s="155"/>
      <c r="G169" s="157" t="s">
        <v>391</v>
      </c>
      <c r="H169" s="160" t="s">
        <v>392</v>
      </c>
      <c r="J169" s="156" t="s">
        <v>427</v>
      </c>
      <c r="K169" s="172">
        <f>C172+C174</f>
        <v>0.42857142857142855</v>
      </c>
      <c r="P169" s="259"/>
    </row>
    <row r="170" spans="1:24">
      <c r="A170" s="173" t="str" cm="1">
        <f t="array" ref="A170">_xlfn.XLOOKUP(1,(REFRENCE_MODELS!$A:$A=$D$166)*(REFRENCE_MODELS!$C:$C=$B170),REFRENCE_MODELS!$E:$E,"Not Found")</f>
        <v># of Committed Advisors</v>
      </c>
      <c r="B170" s="451" t="s">
        <v>577</v>
      </c>
      <c r="C170">
        <f>_xlfn.XLOOKUP(A170,Octave_1_KPIs[KPI Name (Pillar)],Octave_1_KPIs[Elemental_KPI_Normalized])</f>
        <v>0.66666666666666663</v>
      </c>
      <c r="D170" s="456">
        <v>0.2</v>
      </c>
      <c r="G170" s="161" t="s">
        <v>393</v>
      </c>
      <c r="H170" s="159">
        <f>$H$2*((C170+C172)/2) + (1-$H$2)*(C170*C172)</f>
        <v>0.19999999999999998</v>
      </c>
      <c r="J170" s="156" t="s">
        <v>428</v>
      </c>
      <c r="K170" s="172">
        <f>C173+C170</f>
        <v>1.2380952380952381</v>
      </c>
    </row>
    <row r="171" spans="1:24">
      <c r="A171" s="173" t="str" cm="1">
        <f t="array" ref="A171">_xlfn.XLOOKUP(1,(REFRENCE_MODELS!$A:$A=$D$166)*(REFRENCE_MODELS!$C:$C=$B171),REFRENCE_MODELS!$E:$E,"Not Found")</f>
        <v># of In-Depth Strategic Conversations</v>
      </c>
      <c r="B171" s="451" t="s">
        <v>578</v>
      </c>
      <c r="C171">
        <f>_xlfn.XLOOKUP(A171,Octave_1_KPIs[KPI Name (Pillar)],Octave_1_KPIs[Elemental_KPI_Normalized])</f>
        <v>0.5</v>
      </c>
      <c r="D171" s="456">
        <v>0.2</v>
      </c>
      <c r="G171" s="161" t="s">
        <v>394</v>
      </c>
      <c r="H171" s="159">
        <f>$H$2*((C171+C173)/2) + (1-$H$2)*(C171*C173)</f>
        <v>0.43571428571428567</v>
      </c>
      <c r="J171" s="156" t="s">
        <v>429</v>
      </c>
      <c r="K171" s="172">
        <f>C174+C171</f>
        <v>0.9285714285714286</v>
      </c>
    </row>
    <row r="172" spans="1:24">
      <c r="A172" s="173" t="str" cm="1">
        <f t="array" ref="A172">_xlfn.XLOOKUP(1,(REFRENCE_MODELS!$A:$A=$D$166)*(REFRENCE_MODELS!$C:$C=$B172),REFRENCE_MODELS!$E:$E,"Not Found")</f>
        <v># of Active Collaboration Projects</v>
      </c>
      <c r="B172" s="451" t="s">
        <v>775</v>
      </c>
      <c r="C172">
        <f>_xlfn.XLOOKUP(A172,Octave_1_KPIs[KPI Name (Pillar)],Octave_1_KPIs[Elemental_KPI_Normalized])</f>
        <v>0</v>
      </c>
      <c r="D172" s="456">
        <v>0.2</v>
      </c>
      <c r="G172" s="161" t="s">
        <v>414</v>
      </c>
      <c r="H172" s="159">
        <f>$H$2*((C172+C174)/2) + (1-$H$2)*(C172*C174)</f>
        <v>0.12857142857142856</v>
      </c>
      <c r="K172" s="174"/>
    </row>
    <row r="173" spans="1:24">
      <c r="A173" s="173" t="str" cm="1">
        <f t="array" ref="A173">_xlfn.XLOOKUP(1,(REFRENCE_MODELS!$A:$A=$D$166)*(REFRENCE_MODELS!$C:$C=$B173),REFRENCE_MODELS!$E:$E,"Not Found")</f>
        <v>Clarity of Partnership "Ask" (1-5)</v>
      </c>
      <c r="B173" s="451" t="s">
        <v>579</v>
      </c>
      <c r="C173">
        <f>_xlfn.XLOOKUP(A173,Octave_1_KPIs[KPI Name (Pillar)],Octave_1_KPIs[Elemental_KPI_Normalized])</f>
        <v>0.5714285714285714</v>
      </c>
      <c r="D173" s="456">
        <v>0.2</v>
      </c>
      <c r="G173" s="161" t="s">
        <v>415</v>
      </c>
      <c r="H173" s="159">
        <f>$H$2*((C173+C170)/2) + (1-$H$2)*(C173*C170)</f>
        <v>0.52380952380952384</v>
      </c>
      <c r="K173" s="174"/>
    </row>
    <row r="174" spans="1:24">
      <c r="A174" s="173" t="str" cm="1">
        <f t="array" ref="A174">_xlfn.XLOOKUP(1,(REFRENCE_MODELS!$A:$A=$D$166)*(REFRENCE_MODELS!$C:$C=$B174),REFRENCE_MODELS!$E:$E,"Not Found")</f>
        <v>Values Alignment Score of Top 3 Partners (1-5)</v>
      </c>
      <c r="B174" s="451" t="s">
        <v>580</v>
      </c>
      <c r="C174">
        <f>_xlfn.XLOOKUP(A174,Octave_1_KPIs[KPI Name (Pillar)],Octave_1_KPIs[Elemental_KPI_Normalized])</f>
        <v>0.42857142857142855</v>
      </c>
      <c r="D174" s="456">
        <v>0.2</v>
      </c>
      <c r="G174" s="161" t="s">
        <v>416</v>
      </c>
      <c r="H174" s="159">
        <f>$H$2*((C174+C171)/2) + (1-$H$2)*(C174*C171)</f>
        <v>0.36428571428571432</v>
      </c>
      <c r="K174" s="174"/>
    </row>
    <row r="175" spans="1:24">
      <c r="A175" s="173"/>
      <c r="K175" s="174"/>
    </row>
    <row r="176" spans="1:24">
      <c r="A176" s="175" t="s">
        <v>401</v>
      </c>
      <c r="B176" s="73" t="s">
        <v>33</v>
      </c>
      <c r="G176" s="157" t="s">
        <v>418</v>
      </c>
      <c r="H176" s="162">
        <f>REFRENCE_MODELS!$B$7</f>
        <v>0.5</v>
      </c>
      <c r="K176" s="174"/>
    </row>
    <row r="177" spans="1:11">
      <c r="A177" s="176" t="s">
        <v>402</v>
      </c>
      <c r="B177" s="163">
        <f>SUMPRODUCT(C170:C174, D170:D174)</f>
        <v>0.43333333333333335</v>
      </c>
      <c r="G177" s="157" t="s">
        <v>395</v>
      </c>
      <c r="H177" s="160" t="s">
        <v>396</v>
      </c>
      <c r="K177" s="174"/>
    </row>
    <row r="178" spans="1:11">
      <c r="A178" s="176" t="s">
        <v>431</v>
      </c>
      <c r="B178" s="163">
        <f>H184</f>
        <v>0.33047619047619048</v>
      </c>
      <c r="G178" s="161" t="s">
        <v>397</v>
      </c>
      <c r="H178" s="158">
        <f>$H$11*H170+(1-$H$11)*H174</f>
        <v>0.28214285714285714</v>
      </c>
      <c r="K178" s="174"/>
    </row>
    <row r="179" spans="1:11">
      <c r="A179" s="176" t="s">
        <v>403</v>
      </c>
      <c r="B179" s="164">
        <f>H186</f>
        <v>0.40247619047619049</v>
      </c>
      <c r="G179" s="161" t="s">
        <v>419</v>
      </c>
      <c r="H179" s="158">
        <f>$H$11 * H171 + (1-$H$11) * H170</f>
        <v>0.31785714285714284</v>
      </c>
      <c r="K179" s="174"/>
    </row>
    <row r="180" spans="1:11">
      <c r="A180" s="176" t="s">
        <v>404</v>
      </c>
      <c r="B180" s="165">
        <f>1 - (_xlfn.STDEV.P(K167:K171) / 2)</f>
        <v>0.85583928092170836</v>
      </c>
      <c r="G180" s="161" t="s">
        <v>420</v>
      </c>
      <c r="H180" s="158">
        <f>$H$11 * H172 + (1-$H$11) * H171</f>
        <v>0.28214285714285714</v>
      </c>
      <c r="K180" s="174"/>
    </row>
    <row r="181" spans="1:11">
      <c r="A181" s="173"/>
      <c r="G181" s="161" t="s">
        <v>421</v>
      </c>
      <c r="H181" s="158">
        <f>$H$11 * H173 + (1-$H$11) * H172</f>
        <v>0.3261904761904762</v>
      </c>
      <c r="K181" s="174"/>
    </row>
    <row r="182" spans="1:11">
      <c r="A182" s="175" t="s">
        <v>405</v>
      </c>
      <c r="B182" s="73" t="s">
        <v>33</v>
      </c>
      <c r="G182" s="161" t="s">
        <v>422</v>
      </c>
      <c r="H182" s="158">
        <f>$H$11 * H174 + (1-$H$11) * H173</f>
        <v>0.44404761904761908</v>
      </c>
      <c r="K182" s="174"/>
    </row>
    <row r="183" spans="1:11">
      <c r="A183" s="176" t="s">
        <v>406</v>
      </c>
      <c r="B183" s="163">
        <f>C168</f>
        <v>0.40247619047619049</v>
      </c>
      <c r="K183" s="174"/>
    </row>
    <row r="184" spans="1:11">
      <c r="A184" s="176" t="s">
        <v>407</v>
      </c>
      <c r="B184" s="163">
        <f>B179</f>
        <v>0.40247619047619049</v>
      </c>
      <c r="G184" s="157" t="s">
        <v>398</v>
      </c>
      <c r="H184" s="159">
        <f>AVERAGE(H178:H182)</f>
        <v>0.33047619047619048</v>
      </c>
      <c r="K184" s="174"/>
    </row>
    <row r="185" spans="1:11">
      <c r="A185" s="176" t="s">
        <v>408</v>
      </c>
      <c r="B185" s="163">
        <f>B180</f>
        <v>0.85583928092170836</v>
      </c>
      <c r="G185" s="157" t="s">
        <v>423</v>
      </c>
      <c r="H185" s="159">
        <f>REFRENCE_MODELS!$B$8</f>
        <v>0.7</v>
      </c>
      <c r="K185" s="174"/>
    </row>
    <row r="186" spans="1:11">
      <c r="A186" s="173"/>
      <c r="G186" s="157" t="s">
        <v>424</v>
      </c>
      <c r="H186" s="159">
        <f>H185*H168+((1-H185)*H184)</f>
        <v>0.40247619047619049</v>
      </c>
      <c r="K186" s="174"/>
    </row>
    <row r="187" spans="1:11">
      <c r="A187" s="177" t="s">
        <v>409</v>
      </c>
      <c r="B187" s="166">
        <f>B183* ((B184 + B185)/2)</f>
        <v>0.25322100867273906</v>
      </c>
      <c r="H187" s="167"/>
      <c r="K187" s="174"/>
    </row>
    <row r="188" spans="1:11">
      <c r="A188" s="173"/>
      <c r="K188" s="174"/>
    </row>
    <row r="189" spans="1:11">
      <c r="A189" s="175" t="s">
        <v>410</v>
      </c>
      <c r="B189" s="73" t="s">
        <v>25</v>
      </c>
      <c r="K189" s="174"/>
    </row>
    <row r="190" spans="1:11">
      <c r="A190" s="171" t="s">
        <v>411</v>
      </c>
      <c r="B190">
        <f>B187</f>
        <v>0.25322100867273906</v>
      </c>
      <c r="K190" s="174"/>
    </row>
    <row r="191" spans="1:11">
      <c r="A191" s="171" t="s">
        <v>437</v>
      </c>
      <c r="B191" s="168">
        <f>B385</f>
        <v>0.19000469937942155</v>
      </c>
      <c r="K191" s="174"/>
    </row>
    <row r="192" spans="1:11">
      <c r="A192" s="171" t="s">
        <v>412</v>
      </c>
      <c r="B192">
        <f>REFRENCE_MODELS!B9</f>
        <v>0.9</v>
      </c>
      <c r="K192" s="174"/>
    </row>
    <row r="193" spans="1:11">
      <c r="A193" s="173"/>
      <c r="K193" s="174"/>
    </row>
    <row r="194" spans="1:11" ht="15" thickBot="1">
      <c r="A194" s="178" t="s">
        <v>413</v>
      </c>
      <c r="B194" s="245">
        <f xml:space="preserve"> (B192* B190) + ((1-B192) * B191)</f>
        <v>0.24689937774340731</v>
      </c>
      <c r="C194" s="179"/>
      <c r="D194" s="457"/>
      <c r="E194" s="179"/>
      <c r="F194" s="179"/>
      <c r="G194" s="179"/>
      <c r="H194" s="179"/>
      <c r="I194" s="179"/>
      <c r="J194" s="179"/>
      <c r="K194" s="180"/>
    </row>
    <row r="195" spans="1:11">
      <c r="A195" s="73"/>
      <c r="B195" s="168"/>
    </row>
    <row r="196" spans="1:11">
      <c r="A196" s="459" t="s">
        <v>2054</v>
      </c>
      <c r="B196" s="460">
        <f>1 / (1 + EXP(-REFRENCE_MODELS!$B$10 * (B194 - 0.5)))</f>
        <v>0.26650994308422121</v>
      </c>
    </row>
    <row r="198" spans="1:11" ht="15" thickBot="1"/>
    <row r="199" spans="1:11">
      <c r="A199" s="181" t="str">
        <f>DODECA_ENGINE!A8</f>
        <v>Face 7</v>
      </c>
      <c r="B199" s="580" t="str">
        <f>VLOOKUP(A199,DODECA_ENGINE!A1:B13,2,FALSE)</f>
        <v>Brand &amp; Reputation</v>
      </c>
      <c r="C199" s="581"/>
      <c r="D199" s="455" t="str">
        <f>REFRENCE_MODELS!A44</f>
        <v>Brand &amp; Reputation (F7)</v>
      </c>
      <c r="E199" s="182"/>
      <c r="F199" s="182"/>
      <c r="G199" s="582" t="s">
        <v>389</v>
      </c>
      <c r="H199" s="582"/>
      <c r="I199" s="182"/>
      <c r="J199" s="583" t="s">
        <v>430</v>
      </c>
      <c r="K199" s="584"/>
    </row>
    <row r="200" spans="1:11">
      <c r="A200" s="183" t="s">
        <v>399</v>
      </c>
      <c r="B200" s="155" t="s">
        <v>2</v>
      </c>
      <c r="C200" s="452" t="s">
        <v>2163</v>
      </c>
      <c r="D200" s="456" t="str">
        <f>_xlfn.XLOOKUP(D199,Octave_1_KPIs[Face (Domain) F. ID],Octave_1_KPIs[O1 - Survival (Focus: Existence)])</f>
        <v>Foundational Brand Integrity</v>
      </c>
      <c r="G200" s="157" t="s">
        <v>417</v>
      </c>
      <c r="H200" s="158">
        <f>REFRENCE_MODELS!$B$6</f>
        <v>0.6</v>
      </c>
      <c r="J200" s="156" t="s">
        <v>425</v>
      </c>
      <c r="K200" s="184">
        <f>C203+C205</f>
        <v>0.2857142857142857</v>
      </c>
    </row>
    <row r="201" spans="1:11">
      <c r="A201" s="185" t="str">
        <f>_xlfn.XLOOKUP(A199,KPI_DATABASE!D:D,KPI_DATABASE!B:B)</f>
        <v>Engaging Posts</v>
      </c>
      <c r="B201" t="str">
        <f>_xlfn.XLOOKUP(A199,KPI_DATABASE!D:D,KPI_DATABASE!A:A)</f>
        <v>S1.1</v>
      </c>
      <c r="C201">
        <f>VLOOKUP(B201,KPI_Database[],13,FALSE)</f>
        <v>0.3132380952380952</v>
      </c>
      <c r="G201" s="157" t="s">
        <v>390</v>
      </c>
      <c r="H201" s="159">
        <f>SUMPRODUCT(C203:C207, D203:D207)</f>
        <v>0.34523809523809523</v>
      </c>
      <c r="J201" s="156" t="s">
        <v>426</v>
      </c>
      <c r="K201" s="184">
        <f>C204+C206</f>
        <v>0.58333333333333326</v>
      </c>
    </row>
    <row r="202" spans="1:11">
      <c r="A202" s="183" t="s">
        <v>400</v>
      </c>
      <c r="B202" s="155" t="str">
        <f>Octave_1_KPIs[[#Headers],[Element]]</f>
        <v>Element</v>
      </c>
      <c r="C202" s="452" t="s">
        <v>2055</v>
      </c>
      <c r="D202" s="452" t="s">
        <v>388</v>
      </c>
      <c r="E202" s="155"/>
      <c r="G202" s="157" t="s">
        <v>391</v>
      </c>
      <c r="H202" s="160" t="s">
        <v>392</v>
      </c>
      <c r="J202" s="156" t="s">
        <v>427</v>
      </c>
      <c r="K202" s="184">
        <f>C205+C207</f>
        <v>0.8571428571428571</v>
      </c>
    </row>
    <row r="203" spans="1:11">
      <c r="A203" s="185" t="str" cm="1">
        <f t="array" ref="A203">_xlfn.XLOOKUP(1,(REFRENCE_MODELS!$A:$A=$D$199)*(REFRENCE_MODELS!$C:$C=$B203),REFRENCE_MODELS!$E:$E,"Not Found")</f>
        <v>Message Consistency Score (1-5)</v>
      </c>
      <c r="B203" s="451" t="s">
        <v>577</v>
      </c>
      <c r="C203">
        <f>_xlfn.XLOOKUP(A203,Octave_1_KPIs[KPI Name (Pillar)],Octave_1_KPIs[Elemental_KPI_Normalized])</f>
        <v>0.2857142857142857</v>
      </c>
      <c r="D203" s="456">
        <v>0.2</v>
      </c>
      <c r="G203" s="161" t="s">
        <v>393</v>
      </c>
      <c r="H203" s="159">
        <f>$H$2*((C203+C205)/2) + (1-$H$2)*(C203*C205)</f>
        <v>8.5714285714285701E-2</v>
      </c>
      <c r="J203" s="156" t="s">
        <v>428</v>
      </c>
      <c r="K203" s="184">
        <f>C206+C203</f>
        <v>0.61904761904761907</v>
      </c>
    </row>
    <row r="204" spans="1:11">
      <c r="A204" s="185" t="str" cm="1">
        <f t="array" ref="A204">_xlfn.XLOOKUP(1,(REFRENCE_MODELS!$A:$A=$D$199)*(REFRENCE_MODELS!$C:$C=$B204),REFRENCE_MODELS!$E:$E,"Not Found")</f>
        <v>Social Media Engagement Rate (%)</v>
      </c>
      <c r="B204" s="451" t="s">
        <v>578</v>
      </c>
      <c r="C204">
        <f>_xlfn.XLOOKUP(A204,Octave_1_KPIs[KPI Name (Pillar)],Octave_1_KPIs[Elemental_KPI_Normalized])</f>
        <v>0.25</v>
      </c>
      <c r="D204" s="456">
        <v>0.2</v>
      </c>
      <c r="G204" s="161" t="s">
        <v>394</v>
      </c>
      <c r="H204" s="159">
        <f>$H$2*((C204+C206)/2) + (1-$H$2)*(C204*C206)</f>
        <v>0.20833333333333329</v>
      </c>
      <c r="J204" s="156" t="s">
        <v>429</v>
      </c>
      <c r="K204" s="184">
        <f>C207+C204</f>
        <v>1.1071428571428572</v>
      </c>
    </row>
    <row r="205" spans="1:11">
      <c r="A205" s="185" t="str" cm="1">
        <f t="array" ref="A205">_xlfn.XLOOKUP(1,(REFRENCE_MODELS!$A:$A=$D$199)*(REFRENCE_MODELS!$C:$C=$B205),REFRENCE_MODELS!$E:$E,"Not Found")</f>
        <v># of Engaging Posts</v>
      </c>
      <c r="B205" s="451" t="s">
        <v>775</v>
      </c>
      <c r="C205">
        <f>_xlfn.XLOOKUP(A205,Octave_1_KPIs[KPI Name (Pillar)],Octave_1_KPIs[Elemental_KPI_Normalized])</f>
        <v>0</v>
      </c>
      <c r="D205" s="456">
        <v>0.2</v>
      </c>
      <c r="G205" s="161" t="s">
        <v>414</v>
      </c>
      <c r="H205" s="159">
        <f>$H$2*((C205+C207)/2) + (1-$H$2)*(C205*C207)</f>
        <v>0.25714285714285712</v>
      </c>
      <c r="K205" s="186"/>
    </row>
    <row r="206" spans="1:11">
      <c r="A206" s="185" t="str" cm="1">
        <f t="array" ref="A206">_xlfn.XLOOKUP(1,(REFRENCE_MODELS!$A:$A=$D$199)*(REFRENCE_MODELS!$C:$C=$B206),REFRENCE_MODELS!$E:$E,"Not Found")</f>
        <v>Initial Brand Trust Score (Survey, 1-5)</v>
      </c>
      <c r="B206" s="451" t="s">
        <v>579</v>
      </c>
      <c r="C206">
        <f>_xlfn.XLOOKUP(A206,Octave_1_KPIs[KPI Name (Pillar)],Octave_1_KPIs[Elemental_KPI_Normalized])</f>
        <v>0.33333333333333331</v>
      </c>
      <c r="D206" s="456">
        <v>0.2</v>
      </c>
      <c r="G206" s="161" t="s">
        <v>415</v>
      </c>
      <c r="H206" s="159">
        <f>$H$2*((C206+C203)/2) + (1-$H$2)*(C206*C203)</f>
        <v>0.22380952380952382</v>
      </c>
      <c r="K206" s="186"/>
    </row>
    <row r="207" spans="1:11">
      <c r="A207" s="185" t="str" cm="1">
        <f t="array" ref="A207">_xlfn.XLOOKUP(1,(REFRENCE_MODELS!$A:$A=$D$199)*(REFRENCE_MODELS!$C:$C=$B207),REFRENCE_MODELS!$E:$E,"Not Found")</f>
        <v>Brand-Values Alignment Score (1-5)</v>
      </c>
      <c r="B207" s="451" t="s">
        <v>580</v>
      </c>
      <c r="C207">
        <f>_xlfn.XLOOKUP(A207,Octave_1_KPIs[KPI Name (Pillar)],Octave_1_KPIs[Elemental_KPI_Normalized])</f>
        <v>0.8571428571428571</v>
      </c>
      <c r="D207" s="456">
        <v>0.2</v>
      </c>
      <c r="G207" s="161" t="s">
        <v>416</v>
      </c>
      <c r="H207" s="159">
        <f>$H$2*((C207+C204)/2) + (1-$H$2)*(C207*C204)</f>
        <v>0.41785714285714282</v>
      </c>
      <c r="K207" s="186"/>
    </row>
    <row r="208" spans="1:11">
      <c r="A208" s="185"/>
      <c r="K208" s="186"/>
    </row>
    <row r="209" spans="1:11">
      <c r="A209" s="187" t="s">
        <v>401</v>
      </c>
      <c r="B209" s="73" t="s">
        <v>33</v>
      </c>
      <c r="G209" s="157" t="s">
        <v>418</v>
      </c>
      <c r="H209" s="162">
        <f>REFRENCE_MODELS!$B$7</f>
        <v>0.5</v>
      </c>
      <c r="K209" s="186"/>
    </row>
    <row r="210" spans="1:11">
      <c r="A210" s="188" t="s">
        <v>402</v>
      </c>
      <c r="B210" s="163">
        <f>SUMPRODUCT(C203:C207, D203:D207)</f>
        <v>0.34523809523809523</v>
      </c>
      <c r="G210" s="157" t="s">
        <v>395</v>
      </c>
      <c r="H210" s="160" t="s">
        <v>396</v>
      </c>
      <c r="K210" s="186"/>
    </row>
    <row r="211" spans="1:11">
      <c r="A211" s="188" t="s">
        <v>431</v>
      </c>
      <c r="B211" s="163">
        <f>H217</f>
        <v>0.23857142857142857</v>
      </c>
      <c r="G211" s="161" t="s">
        <v>397</v>
      </c>
      <c r="H211" s="158">
        <f>$H$11*H203+(1-$H$11)*H207</f>
        <v>0.25178571428571428</v>
      </c>
      <c r="K211" s="186"/>
    </row>
    <row r="212" spans="1:11">
      <c r="A212" s="188" t="s">
        <v>403</v>
      </c>
      <c r="B212" s="164">
        <f>H219</f>
        <v>0.3132380952380952</v>
      </c>
      <c r="G212" s="161" t="s">
        <v>419</v>
      </c>
      <c r="H212" s="158">
        <f>$H$11 * H204 + (1-$H$11) * H203</f>
        <v>0.1470238095238095</v>
      </c>
      <c r="K212" s="186"/>
    </row>
    <row r="213" spans="1:11">
      <c r="A213" s="188" t="s">
        <v>404</v>
      </c>
      <c r="B213" s="165">
        <f>1 - (_xlfn.STDEV.P(K200:K204) / 2)</f>
        <v>0.86183294150043654</v>
      </c>
      <c r="G213" s="161" t="s">
        <v>420</v>
      </c>
      <c r="H213" s="158">
        <f>$H$11 * H205 + (1-$H$11) * H204</f>
        <v>0.23273809523809519</v>
      </c>
      <c r="K213" s="186"/>
    </row>
    <row r="214" spans="1:11">
      <c r="A214" s="185"/>
      <c r="G214" s="161" t="s">
        <v>421</v>
      </c>
      <c r="H214" s="158">
        <f>$H$11 * H206 + (1-$H$11) * H205</f>
        <v>0.24047619047619045</v>
      </c>
      <c r="K214" s="186"/>
    </row>
    <row r="215" spans="1:11">
      <c r="A215" s="187" t="s">
        <v>405</v>
      </c>
      <c r="B215" s="73" t="s">
        <v>33</v>
      </c>
      <c r="G215" s="161" t="s">
        <v>422</v>
      </c>
      <c r="H215" s="158">
        <f>$H$11 * H207 + (1-$H$11) * H206</f>
        <v>0.3208333333333333</v>
      </c>
      <c r="K215" s="186"/>
    </row>
    <row r="216" spans="1:11">
      <c r="A216" s="188" t="s">
        <v>406</v>
      </c>
      <c r="B216" s="163">
        <f>C201</f>
        <v>0.3132380952380952</v>
      </c>
      <c r="K216" s="186"/>
    </row>
    <row r="217" spans="1:11">
      <c r="A217" s="188" t="s">
        <v>407</v>
      </c>
      <c r="B217" s="163">
        <f>B212</f>
        <v>0.3132380952380952</v>
      </c>
      <c r="G217" s="157" t="s">
        <v>398</v>
      </c>
      <c r="H217" s="159">
        <f>AVERAGE(H211:H215)</f>
        <v>0.23857142857142857</v>
      </c>
      <c r="K217" s="186"/>
    </row>
    <row r="218" spans="1:11">
      <c r="A218" s="188" t="s">
        <v>408</v>
      </c>
      <c r="B218" s="163">
        <f>B213</f>
        <v>0.86183294150043654</v>
      </c>
      <c r="G218" s="157" t="s">
        <v>423</v>
      </c>
      <c r="H218" s="159">
        <f>REFRENCE_MODELS!$B$8</f>
        <v>0.7</v>
      </c>
      <c r="K218" s="186"/>
    </row>
    <row r="219" spans="1:11">
      <c r="A219" s="185"/>
      <c r="G219" s="157" t="s">
        <v>424</v>
      </c>
      <c r="H219" s="159">
        <f>H218*H201+((1-H218)*H217)</f>
        <v>0.3132380952380952</v>
      </c>
      <c r="K219" s="186"/>
    </row>
    <row r="220" spans="1:11">
      <c r="A220" s="189" t="s">
        <v>409</v>
      </c>
      <c r="B220" s="166">
        <f>B216* ((B217 + B218)/2)</f>
        <v>0.18403850665871574</v>
      </c>
      <c r="H220" s="167"/>
      <c r="K220" s="186"/>
    </row>
    <row r="221" spans="1:11">
      <c r="A221" s="185"/>
      <c r="K221" s="186"/>
    </row>
    <row r="222" spans="1:11">
      <c r="A222" s="187" t="s">
        <v>410</v>
      </c>
      <c r="B222" s="73" t="s">
        <v>25</v>
      </c>
      <c r="K222" s="186"/>
    </row>
    <row r="223" spans="1:11">
      <c r="A223" s="183" t="s">
        <v>411</v>
      </c>
      <c r="B223">
        <f>B220</f>
        <v>0.18403850665871574</v>
      </c>
      <c r="K223" s="186"/>
    </row>
    <row r="224" spans="1:11">
      <c r="A224" s="183" t="s">
        <v>438</v>
      </c>
      <c r="B224" s="168">
        <f>B55</f>
        <v>0.42495541003814352</v>
      </c>
      <c r="K224" s="186"/>
    </row>
    <row r="225" spans="1:11">
      <c r="A225" s="183" t="s">
        <v>412</v>
      </c>
      <c r="B225">
        <f>REFRENCE_MODELS!B9</f>
        <v>0.9</v>
      </c>
      <c r="K225" s="186"/>
    </row>
    <row r="226" spans="1:11">
      <c r="A226" s="185"/>
      <c r="K226" s="186"/>
    </row>
    <row r="227" spans="1:11" ht="15" thickBot="1">
      <c r="A227" s="190" t="s">
        <v>413</v>
      </c>
      <c r="B227" s="246">
        <f xml:space="preserve"> (B225* B223) + ((1-B225) * B224)</f>
        <v>0.2081301969966585</v>
      </c>
      <c r="C227" s="191"/>
      <c r="D227" s="458"/>
      <c r="E227" s="191"/>
      <c r="F227" s="191"/>
      <c r="G227" s="191"/>
      <c r="H227" s="191"/>
      <c r="I227" s="191"/>
      <c r="J227" s="191"/>
      <c r="K227" s="192"/>
    </row>
    <row r="228" spans="1:11">
      <c r="A228" s="73"/>
      <c r="B228" s="168"/>
    </row>
    <row r="229" spans="1:11">
      <c r="A229" s="459" t="s">
        <v>2054</v>
      </c>
      <c r="B229" s="460">
        <f>1 / (1 + EXP(-REFRENCE_MODELS!$B$10 * (B227 - 0.5)))</f>
        <v>0.23731093075400744</v>
      </c>
    </row>
    <row r="231" spans="1:11" ht="15" thickBot="1"/>
    <row r="232" spans="1:11">
      <c r="A232" s="181" t="str">
        <f>DODECA_ENGINE!A9</f>
        <v>Face 8</v>
      </c>
      <c r="B232" s="580" t="str">
        <f>VLOOKUP(A232,DODECA_ENGINE!A1:B13,2,FALSE)</f>
        <v>Core Operations</v>
      </c>
      <c r="C232" s="581"/>
      <c r="D232" s="455" t="str">
        <f>REFRENCE_MODELS!A49</f>
        <v>Core Operations (F8)</v>
      </c>
      <c r="E232" s="182"/>
      <c r="F232" s="182"/>
      <c r="G232" s="582" t="s">
        <v>389</v>
      </c>
      <c r="H232" s="582"/>
      <c r="I232" s="182"/>
      <c r="J232" s="583" t="s">
        <v>430</v>
      </c>
      <c r="K232" s="584"/>
    </row>
    <row r="233" spans="1:11">
      <c r="A233" s="183" t="s">
        <v>399</v>
      </c>
      <c r="B233" s="155" t="s">
        <v>2</v>
      </c>
      <c r="C233" s="452" t="s">
        <v>2163</v>
      </c>
      <c r="D233" s="456" t="str">
        <f>_xlfn.XLOOKUP(D232,Octave_1_KPIs[Face (Domain) F. ID],Octave_1_KPIs[O1 - Survival (Focus: Existence)])</f>
        <v>Operational Viability</v>
      </c>
      <c r="G233" s="157" t="s">
        <v>417</v>
      </c>
      <c r="H233" s="158">
        <f>REFRENCE_MODELS!$B$6</f>
        <v>0.6</v>
      </c>
      <c r="J233" s="156" t="s">
        <v>425</v>
      </c>
      <c r="K233" s="184">
        <f>C236+C238</f>
        <v>0.95180722891566261</v>
      </c>
    </row>
    <row r="234" spans="1:11">
      <c r="A234" s="185" t="str">
        <f>_xlfn.XLOOKUP(A232,KPI_DATABASE!D:D,KPI_DATABASE!B:B)</f>
        <v>"Live" Test Done</v>
      </c>
      <c r="B234" t="str">
        <f>_xlfn.XLOOKUP(A232,KPI_DATABASE!D:D,KPI_DATABASE!A:A)</f>
        <v>P3.1</v>
      </c>
      <c r="C234">
        <f>VLOOKUP(B234,KPI_Database[],13,FALSE)</f>
        <v>0.4074028686173265</v>
      </c>
      <c r="G234" s="157" t="s">
        <v>390</v>
      </c>
      <c r="H234" s="159">
        <f>SUMPRODUCT(C236:C240, D236:D240)</f>
        <v>0.43512335054503731</v>
      </c>
      <c r="J234" s="156" t="s">
        <v>426</v>
      </c>
      <c r="K234" s="184">
        <f>C237+C239</f>
        <v>0.3666666666666667</v>
      </c>
    </row>
    <row r="235" spans="1:11">
      <c r="A235" s="183" t="s">
        <v>400</v>
      </c>
      <c r="B235" s="155" t="str">
        <f>Octave_1_KPIs[[#Headers],[Element]]</f>
        <v>Element</v>
      </c>
      <c r="C235" s="452" t="s">
        <v>2055</v>
      </c>
      <c r="D235" s="452" t="s">
        <v>388</v>
      </c>
      <c r="E235" s="155"/>
      <c r="G235" s="157" t="s">
        <v>391</v>
      </c>
      <c r="H235" s="160" t="s">
        <v>392</v>
      </c>
      <c r="J235" s="156" t="s">
        <v>427</v>
      </c>
      <c r="K235" s="184">
        <f>C238+C240</f>
        <v>1.8089500860585197</v>
      </c>
    </row>
    <row r="236" spans="1:11">
      <c r="A236" s="185" t="str" cm="1">
        <f t="array" ref="A236">_xlfn.XLOOKUP(1,(REFRENCE_MODELS!$A:$A=$D$232)*(REFRENCE_MODELS!$C:$C=$B236),REFRENCE_MODELS!$E:$E,"Not Found")</f>
        <v>"Live" Test Completion (0 or 1)</v>
      </c>
      <c r="B236" s="451" t="s">
        <v>577</v>
      </c>
      <c r="C236" s="429">
        <f>_xlfn.XLOOKUP(A236,Octave_1_KPIs[KPI Name (Pillar)],Octave_1_KPIs[Elemental_KPI_Normalized])</f>
        <v>0</v>
      </c>
      <c r="D236" s="456">
        <v>0.2</v>
      </c>
      <c r="G236" s="161" t="s">
        <v>393</v>
      </c>
      <c r="H236" s="159">
        <f>$H$2*((C236+C238)/2) + (1-$H$2)*(C236*C238)</f>
        <v>0.28554216867469878</v>
      </c>
      <c r="J236" s="156" t="s">
        <v>428</v>
      </c>
      <c r="K236" s="184">
        <f>C239+C236</f>
        <v>0.16666666666666666</v>
      </c>
    </row>
    <row r="237" spans="1:11">
      <c r="A237" s="185" t="str" cm="1">
        <f t="array" ref="A237">_xlfn.XLOOKUP(1,(REFRENCE_MODELS!$A:$A=$D$232)*(REFRENCE_MODELS!$C:$C=$B237),REFRENCE_MODELS!$E:$E,"Not Found")</f>
        <v>Founder Hours Logged on Core Ops</v>
      </c>
      <c r="B237" s="451" t="s">
        <v>578</v>
      </c>
      <c r="C237" s="429">
        <f>_xlfn.XLOOKUP(A237,Octave_1_KPIs[KPI Name (Pillar)],Octave_1_KPIs[Elemental_KPI_Normalized])</f>
        <v>0.2</v>
      </c>
      <c r="D237" s="456">
        <v>0.2</v>
      </c>
      <c r="G237" s="161" t="s">
        <v>394</v>
      </c>
      <c r="H237" s="159">
        <f>$H$2*((C237+C239)/2) + (1-$H$2)*(C237*C239)</f>
        <v>0.12333333333333334</v>
      </c>
      <c r="J237" s="156" t="s">
        <v>429</v>
      </c>
      <c r="K237" s="184">
        <f>C240+C237</f>
        <v>1.0571428571428572</v>
      </c>
    </row>
    <row r="238" spans="1:11">
      <c r="A238" s="185" t="str" cm="1">
        <f t="array" ref="A238">_xlfn.XLOOKUP(1,(REFRENCE_MODELS!$A:$A=$D$232)*(REFRENCE_MODELS!$C:$C=$B238),REFRENCE_MODELS!$E:$E,"Not Found")</f>
        <v>Development Cycle Time (Days per Iteration)</v>
      </c>
      <c r="B238" s="451" t="s">
        <v>775</v>
      </c>
      <c r="C238" s="429">
        <f>_xlfn.XLOOKUP(A238,Octave_1_KPIs[KPI Name (Pillar)],Octave_1_KPIs[Elemental_KPI_Normalized])</f>
        <v>0.95180722891566261</v>
      </c>
      <c r="D238" s="456">
        <v>0.2</v>
      </c>
      <c r="G238" s="161" t="s">
        <v>414</v>
      </c>
      <c r="H238" s="159">
        <f>$H$2*((C238+C240)/2) + (1-$H$2)*(C238*C240)</f>
        <v>0.8690189328743545</v>
      </c>
      <c r="K238" s="186"/>
    </row>
    <row r="239" spans="1:11">
      <c r="A239" s="185" t="str" cm="1">
        <f t="array" ref="A239">_xlfn.XLOOKUP(1,(REFRENCE_MODELS!$A:$A=$D$232)*(REFRENCE_MODELS!$C:$C=$B239),REFRENCE_MODELS!$E:$E,"Not Found")</f>
        <v>Process Documentation Clarity (1-5)</v>
      </c>
      <c r="B239" s="451" t="s">
        <v>579</v>
      </c>
      <c r="C239" s="429">
        <f>_xlfn.XLOOKUP(A239,Octave_1_KPIs[KPI Name (Pillar)],Octave_1_KPIs[Elemental_KPI_Normalized])</f>
        <v>0.16666666666666666</v>
      </c>
      <c r="D239" s="456">
        <v>0.2</v>
      </c>
      <c r="G239" s="161" t="s">
        <v>415</v>
      </c>
      <c r="H239" s="159">
        <f>$H$2*((C239+C236)/2) + (1-$H$2)*(C239*C236)</f>
        <v>4.9999999999999996E-2</v>
      </c>
      <c r="K239" s="186"/>
    </row>
    <row r="240" spans="1:11">
      <c r="A240" s="185" t="str" cm="1">
        <f t="array" ref="A240">_xlfn.XLOOKUP(1,(REFRENCE_MODELS!$A:$A=$D$232)*(REFRENCE_MODELS!$C:$C=$B240),REFRENCE_MODELS!$E:$E,"Not Found")</f>
        <v>Operational-Values Alignment Score (1-5)</v>
      </c>
      <c r="B240" s="451" t="s">
        <v>580</v>
      </c>
      <c r="C240" s="429">
        <f>_xlfn.XLOOKUP(A240,Octave_1_KPIs[KPI Name (Pillar)],Octave_1_KPIs[Elemental_KPI_Normalized])</f>
        <v>0.8571428571428571</v>
      </c>
      <c r="D240" s="456">
        <v>0.2</v>
      </c>
      <c r="G240" s="161" t="s">
        <v>416</v>
      </c>
      <c r="H240" s="159">
        <f>$H$2*((C240+C237)/2) + (1-$H$2)*(C240*C237)</f>
        <v>0.38571428571428568</v>
      </c>
      <c r="K240" s="186"/>
    </row>
    <row r="241" spans="1:11">
      <c r="A241" s="185"/>
      <c r="K241" s="186"/>
    </row>
    <row r="242" spans="1:11">
      <c r="A242" s="187" t="s">
        <v>401</v>
      </c>
      <c r="B242" s="73" t="s">
        <v>33</v>
      </c>
      <c r="G242" s="157" t="s">
        <v>418</v>
      </c>
      <c r="H242" s="162">
        <f>REFRENCE_MODELS!$B$7</f>
        <v>0.5</v>
      </c>
      <c r="K242" s="186"/>
    </row>
    <row r="243" spans="1:11">
      <c r="A243" s="188" t="s">
        <v>402</v>
      </c>
      <c r="B243" s="163">
        <f>SUMPRODUCT(C236:C240, D236:D240)</f>
        <v>0.43512335054503731</v>
      </c>
      <c r="G243" s="157" t="s">
        <v>395</v>
      </c>
      <c r="H243" s="160" t="s">
        <v>396</v>
      </c>
      <c r="K243" s="186"/>
    </row>
    <row r="244" spans="1:11">
      <c r="A244" s="188" t="s">
        <v>431</v>
      </c>
      <c r="B244" s="163">
        <f>H250</f>
        <v>0.34272174411933448</v>
      </c>
      <c r="G244" s="161" t="s">
        <v>397</v>
      </c>
      <c r="H244" s="158">
        <f>$H$11*H236+(1-$H$11)*H240</f>
        <v>0.33562822719449226</v>
      </c>
      <c r="K244" s="186"/>
    </row>
    <row r="245" spans="1:11">
      <c r="A245" s="188" t="s">
        <v>403</v>
      </c>
      <c r="B245" s="164">
        <f>H252</f>
        <v>0.4074028686173265</v>
      </c>
      <c r="G245" s="161" t="s">
        <v>419</v>
      </c>
      <c r="H245" s="158">
        <f>$H$11 * H237 + (1-$H$11) * H236</f>
        <v>0.20443775100401607</v>
      </c>
      <c r="K245" s="186"/>
    </row>
    <row r="246" spans="1:11">
      <c r="A246" s="188" t="s">
        <v>404</v>
      </c>
      <c r="B246" s="165">
        <f>1 - (_xlfn.STDEV.P(K233:K237) / 2)</f>
        <v>0.71091834598968096</v>
      </c>
      <c r="G246" s="161" t="s">
        <v>420</v>
      </c>
      <c r="H246" s="158">
        <f>$H$11 * H238 + (1-$H$11) * H237</f>
        <v>0.4961761331038439</v>
      </c>
      <c r="K246" s="186"/>
    </row>
    <row r="247" spans="1:11">
      <c r="A247" s="185"/>
      <c r="G247" s="161" t="s">
        <v>421</v>
      </c>
      <c r="H247" s="158">
        <f>$H$11 * H239 + (1-$H$11) * H238</f>
        <v>0.45950946643717727</v>
      </c>
      <c r="K247" s="186"/>
    </row>
    <row r="248" spans="1:11">
      <c r="A248" s="187" t="s">
        <v>405</v>
      </c>
      <c r="B248" s="73" t="s">
        <v>33</v>
      </c>
      <c r="G248" s="161" t="s">
        <v>422</v>
      </c>
      <c r="H248" s="158">
        <f>$H$11 * H240 + (1-$H$11) * H239</f>
        <v>0.21785714285714283</v>
      </c>
      <c r="K248" s="186"/>
    </row>
    <row r="249" spans="1:11">
      <c r="A249" s="188" t="s">
        <v>406</v>
      </c>
      <c r="B249" s="163">
        <f>C234</f>
        <v>0.4074028686173265</v>
      </c>
      <c r="K249" s="186"/>
    </row>
    <row r="250" spans="1:11">
      <c r="A250" s="188" t="s">
        <v>407</v>
      </c>
      <c r="B250" s="163">
        <f>B245</f>
        <v>0.4074028686173265</v>
      </c>
      <c r="G250" s="157" t="s">
        <v>398</v>
      </c>
      <c r="H250" s="159">
        <f>AVERAGE(H244:H248)</f>
        <v>0.34272174411933448</v>
      </c>
      <c r="K250" s="186"/>
    </row>
    <row r="251" spans="1:11">
      <c r="A251" s="188" t="s">
        <v>408</v>
      </c>
      <c r="B251" s="163">
        <f>B246</f>
        <v>0.71091834598968096</v>
      </c>
      <c r="G251" s="157" t="s">
        <v>423</v>
      </c>
      <c r="H251" s="159">
        <f>REFRENCE_MODELS!$B$8</f>
        <v>0.7</v>
      </c>
      <c r="K251" s="186"/>
    </row>
    <row r="252" spans="1:11">
      <c r="A252" s="185"/>
      <c r="G252" s="157" t="s">
        <v>424</v>
      </c>
      <c r="H252" s="159">
        <f>H251*H234+((1-H251)*H250)</f>
        <v>0.4074028686173265</v>
      </c>
      <c r="K252" s="186"/>
    </row>
    <row r="253" spans="1:11">
      <c r="A253" s="189" t="s">
        <v>409</v>
      </c>
      <c r="B253" s="166">
        <f>B249* ((B250 + B251)/2)</f>
        <v>0.2278036354332538</v>
      </c>
      <c r="H253" s="167"/>
      <c r="K253" s="186"/>
    </row>
    <row r="254" spans="1:11">
      <c r="A254" s="185"/>
      <c r="K254" s="186"/>
    </row>
    <row r="255" spans="1:11">
      <c r="A255" s="187" t="s">
        <v>410</v>
      </c>
      <c r="B255" s="73" t="s">
        <v>25</v>
      </c>
      <c r="K255" s="186"/>
    </row>
    <row r="256" spans="1:11">
      <c r="A256" s="183" t="s">
        <v>411</v>
      </c>
      <c r="B256">
        <f>B253</f>
        <v>0.2278036354332538</v>
      </c>
      <c r="K256" s="186"/>
    </row>
    <row r="257" spans="1:11">
      <c r="A257" s="183" t="s">
        <v>439</v>
      </c>
      <c r="B257" s="168">
        <f>B88</f>
        <v>0.15867946443614153</v>
      </c>
      <c r="K257" s="186"/>
    </row>
    <row r="258" spans="1:11">
      <c r="A258" s="183" t="s">
        <v>412</v>
      </c>
      <c r="B258">
        <f>REFRENCE_MODELS!B9</f>
        <v>0.9</v>
      </c>
      <c r="K258" s="186"/>
    </row>
    <row r="259" spans="1:11">
      <c r="A259" s="185"/>
      <c r="K259" s="186"/>
    </row>
    <row r="260" spans="1:11" ht="15" thickBot="1">
      <c r="A260" s="190" t="s">
        <v>413</v>
      </c>
      <c r="B260" s="246">
        <f xml:space="preserve"> (B258* B256) + ((1-B258) * B257)</f>
        <v>0.22089121833354255</v>
      </c>
      <c r="C260" s="191"/>
      <c r="D260" s="458"/>
      <c r="E260" s="191"/>
      <c r="F260" s="191"/>
      <c r="G260" s="191"/>
      <c r="H260" s="191"/>
      <c r="I260" s="191"/>
      <c r="J260" s="191"/>
      <c r="K260" s="192"/>
    </row>
    <row r="261" spans="1:11">
      <c r="A261" s="73"/>
      <c r="B261" s="168"/>
    </row>
    <row r="262" spans="1:11">
      <c r="A262" s="459" t="s">
        <v>2054</v>
      </c>
      <c r="B262" s="460">
        <f>1 / (1 + EXP(-REFRENCE_MODELS!$B$10 * (B260 - 0.5)))</f>
        <v>0.2466731295094291</v>
      </c>
    </row>
    <row r="264" spans="1:11" ht="15" thickBot="1"/>
    <row r="265" spans="1:11">
      <c r="A265" s="181" t="str">
        <f>DODECA_ENGINE!A10</f>
        <v>Face 9</v>
      </c>
      <c r="B265" s="580" t="str">
        <f>VLOOKUP(A265,DODECA_ENGINE!A1:B13,2,FALSE)</f>
        <v>Regenerative Flow</v>
      </c>
      <c r="C265" s="581"/>
      <c r="D265" s="455" t="str">
        <f>REFRENCE_MODELS!A54</f>
        <v>Regenerative Flow (F9)</v>
      </c>
      <c r="E265" s="182"/>
      <c r="F265" s="182"/>
      <c r="G265" s="582" t="s">
        <v>389</v>
      </c>
      <c r="H265" s="582"/>
      <c r="I265" s="182"/>
      <c r="J265" s="583" t="s">
        <v>430</v>
      </c>
      <c r="K265" s="584"/>
    </row>
    <row r="266" spans="1:11">
      <c r="A266" s="183" t="s">
        <v>399</v>
      </c>
      <c r="B266" s="155" t="s">
        <v>2</v>
      </c>
      <c r="C266" s="452" t="s">
        <v>2163</v>
      </c>
      <c r="D266" s="456" t="str">
        <f>_xlfn.XLOOKUP(D265,Octave_1_KPIs[Face (Domain) F. ID],Octave_1_KPIs[O1 - Survival (Focus: Existence)])</f>
        <v>Regenerative Intent &amp; Practice</v>
      </c>
      <c r="G266" s="157" t="s">
        <v>417</v>
      </c>
      <c r="H266" s="158">
        <f>REFRENCE_MODELS!$B$6</f>
        <v>0.6</v>
      </c>
      <c r="J266" s="156" t="s">
        <v>425</v>
      </c>
      <c r="K266" s="184">
        <f>C269+C271</f>
        <v>1.1000000000000001</v>
      </c>
    </row>
    <row r="267" spans="1:11">
      <c r="A267" s="185" t="str">
        <f>_xlfn.XLOOKUP(A265,KPI_DATABASE!D:D,KPI_DATABASE!B:B)</f>
        <v># Regen Choices</v>
      </c>
      <c r="B267" t="str">
        <f>_xlfn.XLOOKUP(A265,KPI_DATABASE!D:D,KPI_DATABASE!A:A)</f>
        <v>E1.1</v>
      </c>
      <c r="C267">
        <f>VLOOKUP(B267,KPI_Database[],13,FALSE)</f>
        <v>0.67021333333333333</v>
      </c>
      <c r="G267" s="157" t="s">
        <v>390</v>
      </c>
      <c r="H267" s="159">
        <f>SUMPRODUCT(C269:C273, D269:D273)</f>
        <v>0.69333333333333336</v>
      </c>
      <c r="J267" s="156" t="s">
        <v>426</v>
      </c>
      <c r="K267" s="184">
        <f>C270+C272</f>
        <v>1.3666666666666667</v>
      </c>
    </row>
    <row r="268" spans="1:11">
      <c r="A268" s="183" t="s">
        <v>400</v>
      </c>
      <c r="B268" s="155" t="str">
        <f>Octave_1_KPIs[[#Headers],[Element]]</f>
        <v>Element</v>
      </c>
      <c r="C268" s="452" t="s">
        <v>2055</v>
      </c>
      <c r="D268" s="452" t="s">
        <v>388</v>
      </c>
      <c r="E268" s="155"/>
      <c r="G268" s="157" t="s">
        <v>391</v>
      </c>
      <c r="H268" s="160" t="s">
        <v>392</v>
      </c>
      <c r="J268" s="156" t="s">
        <v>427</v>
      </c>
      <c r="K268" s="184">
        <f>C271+C273</f>
        <v>2</v>
      </c>
    </row>
    <row r="269" spans="1:11">
      <c r="A269" s="185" t="str" cm="1">
        <f t="array" ref="A269">_xlfn.XLOOKUP(1,(REFRENCE_MODELS!$A:$A=$D$265)*(REFRENCE_MODELS!$C:$C=$B269),REFRENCE_MODELS!$E:$E,"Not Found")</f>
        <v># of Documented Regenerative Choices</v>
      </c>
      <c r="B269" s="451" t="s">
        <v>577</v>
      </c>
      <c r="C269">
        <f>_xlfn.XLOOKUP(A269,Octave_1_KPIs[KPI Name (Pillar)],Octave_1_KPIs[Elemental_KPI_Normalized])</f>
        <v>0.1</v>
      </c>
      <c r="D269" s="456">
        <v>0.2</v>
      </c>
      <c r="G269" s="161" t="s">
        <v>393</v>
      </c>
      <c r="H269" s="159">
        <f>$H$2*((C269+C271)/2) + (1-$H$2)*(C269*C271)</f>
        <v>0.37</v>
      </c>
      <c r="J269" s="156" t="s">
        <v>428</v>
      </c>
      <c r="K269" s="184">
        <f>C272+C269</f>
        <v>0.46666666666666667</v>
      </c>
    </row>
    <row r="270" spans="1:11">
      <c r="A270" s="185" t="str" cm="1">
        <f t="array" ref="A270">_xlfn.XLOOKUP(1,(REFRENCE_MODELS!$A:$A=$D$265)*(REFRENCE_MODELS!$C:$C=$B270),REFRENCE_MODELS!$E:$E,"Not Found")</f>
        <v>Founder's Felt Sense of Integrity (1-5)</v>
      </c>
      <c r="B270" s="451" t="s">
        <v>578</v>
      </c>
      <c r="C270">
        <f>_xlfn.XLOOKUP(A270,Octave_1_KPIs[KPI Name (Pillar)],Octave_1_KPIs[Elemental_KPI_Normalized])</f>
        <v>1</v>
      </c>
      <c r="D270" s="456">
        <v>0.2</v>
      </c>
      <c r="G270" s="161" t="s">
        <v>394</v>
      </c>
      <c r="H270" s="159">
        <f>$H$2*((C270+C272)/2) + (1-$H$2)*(C270*C272)</f>
        <v>0.55666666666666664</v>
      </c>
      <c r="J270" s="156" t="s">
        <v>429</v>
      </c>
      <c r="K270" s="184">
        <f>C273+C270</f>
        <v>2</v>
      </c>
    </row>
    <row r="271" spans="1:11">
      <c r="A271" s="185" t="str" cm="1">
        <f t="array" ref="A271">_xlfn.XLOOKUP(1,(REFRENCE_MODELS!$A:$A=$D$265)*(REFRENCE_MODELS!$C:$C=$B271),REFRENCE_MODELS!$E:$E,"Not Found")</f>
        <v>Hours Spent Researching Regenerative Practices</v>
      </c>
      <c r="B271" s="451" t="s">
        <v>775</v>
      </c>
      <c r="C271">
        <f>_xlfn.XLOOKUP(A271,Octave_1_KPIs[KPI Name (Pillar)],Octave_1_KPIs[Elemental_KPI_Normalized])</f>
        <v>1</v>
      </c>
      <c r="D271" s="456">
        <v>0.2</v>
      </c>
      <c r="G271" s="161" t="s">
        <v>414</v>
      </c>
      <c r="H271" s="159">
        <f>$H$2*((C271+C273)/2) + (1-$H$2)*(C271*C273)</f>
        <v>1</v>
      </c>
      <c r="K271" s="186"/>
    </row>
    <row r="272" spans="1:11">
      <c r="A272" s="185" t="str" cm="1">
        <f t="array" ref="A272">_xlfn.XLOOKUP(1,(REFRENCE_MODELS!$A:$A=$D$265)*(REFRENCE_MODELS!$C:$C=$B272),REFRENCE_MODELS!$E:$E,"Not Found")</f>
        <v>Clarity of Public Stance on Regeneration (1-5)</v>
      </c>
      <c r="B272" s="451" t="s">
        <v>579</v>
      </c>
      <c r="C272">
        <f>_xlfn.XLOOKUP(A272,Octave_1_KPIs[KPI Name (Pillar)],Octave_1_KPIs[Elemental_KPI_Normalized])</f>
        <v>0.3666666666666667</v>
      </c>
      <c r="D272" s="456">
        <v>0.2</v>
      </c>
      <c r="G272" s="161" t="s">
        <v>415</v>
      </c>
      <c r="H272" s="159">
        <f>$H$2*((C272+C269)/2) + (1-$H$2)*(C272*C269)</f>
        <v>0.15466666666666665</v>
      </c>
      <c r="K272" s="186"/>
    </row>
    <row r="273" spans="1:11">
      <c r="A273" s="185" t="str" cm="1">
        <f t="array" ref="A273">_xlfn.XLOOKUP(1,(REFRENCE_MODELS!$A:$A=$D$265)*(REFRENCE_MODELS!$C:$C=$B273),REFRENCE_MODELS!$E:$E,"Not Found")</f>
        <v>Felt Connection to Planetary Purpose (1-5)</v>
      </c>
      <c r="B273" s="451" t="s">
        <v>580</v>
      </c>
      <c r="C273">
        <f>_xlfn.XLOOKUP(A273,Octave_1_KPIs[KPI Name (Pillar)],Octave_1_KPIs[Elemental_KPI_Normalized])</f>
        <v>1</v>
      </c>
      <c r="D273" s="456">
        <v>0.2</v>
      </c>
      <c r="G273" s="161" t="s">
        <v>416</v>
      </c>
      <c r="H273" s="159">
        <f>$H$2*((C273+C270)/2) + (1-$H$2)*(C273*C270)</f>
        <v>1</v>
      </c>
      <c r="K273" s="186"/>
    </row>
    <row r="274" spans="1:11">
      <c r="A274" s="185"/>
      <c r="K274" s="186"/>
    </row>
    <row r="275" spans="1:11">
      <c r="A275" s="187" t="s">
        <v>401</v>
      </c>
      <c r="B275" s="73" t="s">
        <v>33</v>
      </c>
      <c r="G275" s="157" t="s">
        <v>418</v>
      </c>
      <c r="H275" s="162">
        <f>REFRENCE_MODELS!$B$7</f>
        <v>0.5</v>
      </c>
      <c r="K275" s="186"/>
    </row>
    <row r="276" spans="1:11">
      <c r="A276" s="188" t="s">
        <v>402</v>
      </c>
      <c r="B276" s="163">
        <f>SUMPRODUCT(C269:C273, D269:D273)</f>
        <v>0.69333333333333336</v>
      </c>
      <c r="G276" s="157" t="s">
        <v>395</v>
      </c>
      <c r="H276" s="160" t="s">
        <v>396</v>
      </c>
      <c r="K276" s="186"/>
    </row>
    <row r="277" spans="1:11">
      <c r="A277" s="188" t="s">
        <v>431</v>
      </c>
      <c r="B277" s="163">
        <f>H283</f>
        <v>0.61626666666666663</v>
      </c>
      <c r="G277" s="161" t="s">
        <v>397</v>
      </c>
      <c r="H277" s="158">
        <f>$H$11*H269+(1-$H$11)*H273</f>
        <v>0.68500000000000005</v>
      </c>
      <c r="K277" s="186"/>
    </row>
    <row r="278" spans="1:11">
      <c r="A278" s="188" t="s">
        <v>403</v>
      </c>
      <c r="B278" s="164">
        <f>H285</f>
        <v>0.67021333333333333</v>
      </c>
      <c r="G278" s="161" t="s">
        <v>419</v>
      </c>
      <c r="H278" s="158">
        <f>$H$11 * H270 + (1-$H$11) * H269</f>
        <v>0.46333333333333332</v>
      </c>
      <c r="K278" s="186"/>
    </row>
    <row r="279" spans="1:11">
      <c r="A279" s="188" t="s">
        <v>404</v>
      </c>
      <c r="B279" s="165">
        <f>1 - (_xlfn.STDEV.P(K266:K270) / 2)</f>
        <v>0.71005747696023169</v>
      </c>
      <c r="G279" s="161" t="s">
        <v>420</v>
      </c>
      <c r="H279" s="158">
        <f>$H$11 * H271 + (1-$H$11) * H270</f>
        <v>0.77833333333333332</v>
      </c>
      <c r="K279" s="186"/>
    </row>
    <row r="280" spans="1:11">
      <c r="A280" s="185"/>
      <c r="G280" s="161" t="s">
        <v>421</v>
      </c>
      <c r="H280" s="158">
        <f>$H$11 * H272 + (1-$H$11) * H271</f>
        <v>0.57733333333333337</v>
      </c>
      <c r="K280" s="186"/>
    </row>
    <row r="281" spans="1:11">
      <c r="A281" s="187" t="s">
        <v>405</v>
      </c>
      <c r="B281" s="73" t="s">
        <v>33</v>
      </c>
      <c r="G281" s="161" t="s">
        <v>422</v>
      </c>
      <c r="H281" s="158">
        <f>$H$11 * H273 + (1-$H$11) * H272</f>
        <v>0.57733333333333337</v>
      </c>
      <c r="K281" s="186"/>
    </row>
    <row r="282" spans="1:11">
      <c r="A282" s="188" t="s">
        <v>406</v>
      </c>
      <c r="B282" s="163">
        <f>C267</f>
        <v>0.67021333333333333</v>
      </c>
      <c r="K282" s="186"/>
    </row>
    <row r="283" spans="1:11">
      <c r="A283" s="188" t="s">
        <v>407</v>
      </c>
      <c r="B283" s="163">
        <f>B278</f>
        <v>0.67021333333333333</v>
      </c>
      <c r="G283" s="157" t="s">
        <v>398</v>
      </c>
      <c r="H283" s="159">
        <f>AVERAGE(H277:H281)</f>
        <v>0.61626666666666663</v>
      </c>
      <c r="K283" s="186"/>
    </row>
    <row r="284" spans="1:11">
      <c r="A284" s="188" t="s">
        <v>408</v>
      </c>
      <c r="B284" s="163">
        <f>B279</f>
        <v>0.71005747696023169</v>
      </c>
      <c r="G284" s="157" t="s">
        <v>423</v>
      </c>
      <c r="H284" s="159">
        <f>REFRENCE_MODELS!$B$8</f>
        <v>0.7</v>
      </c>
      <c r="K284" s="186"/>
    </row>
    <row r="285" spans="1:11">
      <c r="A285" s="185"/>
      <c r="G285" s="157" t="s">
        <v>424</v>
      </c>
      <c r="H285" s="159">
        <f>H284*H267+((1-H284)*H283)</f>
        <v>0.67021333333333333</v>
      </c>
      <c r="K285" s="186"/>
    </row>
    <row r="286" spans="1:11">
      <c r="A286" s="189" t="s">
        <v>409</v>
      </c>
      <c r="B286" s="166">
        <f>B282* ((B283 + B284)/2)</f>
        <v>0.46253795033477557</v>
      </c>
      <c r="H286" s="167"/>
      <c r="K286" s="186"/>
    </row>
    <row r="287" spans="1:11">
      <c r="A287" s="185"/>
      <c r="K287" s="186"/>
    </row>
    <row r="288" spans="1:11">
      <c r="A288" s="187" t="s">
        <v>410</v>
      </c>
      <c r="B288" s="73" t="s">
        <v>25</v>
      </c>
      <c r="K288" s="186"/>
    </row>
    <row r="289" spans="1:11">
      <c r="A289" s="183" t="s">
        <v>411</v>
      </c>
      <c r="B289">
        <f>B286</f>
        <v>0.46253795033477557</v>
      </c>
      <c r="K289" s="186"/>
    </row>
    <row r="290" spans="1:11">
      <c r="A290" s="183" t="s">
        <v>440</v>
      </c>
      <c r="B290" s="168">
        <f>B121</f>
        <v>0.22059400005780685</v>
      </c>
      <c r="K290" s="186"/>
    </row>
    <row r="291" spans="1:11">
      <c r="A291" s="183" t="s">
        <v>412</v>
      </c>
      <c r="B291">
        <f>REFRENCE_MODELS!B9</f>
        <v>0.9</v>
      </c>
      <c r="K291" s="186"/>
    </row>
    <row r="292" spans="1:11">
      <c r="A292" s="185"/>
      <c r="K292" s="186"/>
    </row>
    <row r="293" spans="1:11" ht="15" thickBot="1">
      <c r="A293" s="190" t="s">
        <v>413</v>
      </c>
      <c r="B293" s="246">
        <f xml:space="preserve"> (B291* B289) + ((1-B291) * B290)</f>
        <v>0.43834355530707869</v>
      </c>
      <c r="C293" s="191"/>
      <c r="D293" s="458"/>
      <c r="E293" s="191"/>
      <c r="F293" s="191"/>
      <c r="G293" s="191"/>
      <c r="H293" s="191"/>
      <c r="I293" s="191"/>
      <c r="J293" s="191"/>
      <c r="K293" s="192"/>
    </row>
    <row r="294" spans="1:11">
      <c r="A294" s="73"/>
      <c r="B294" s="168"/>
    </row>
    <row r="295" spans="1:11">
      <c r="A295" s="459" t="s">
        <v>2054</v>
      </c>
      <c r="B295" s="460">
        <f>1 / (1 + EXP(-REFRENCE_MODELS!$B$10 * (B293 - 0.5)))</f>
        <v>0.43865418344835466</v>
      </c>
    </row>
    <row r="297" spans="1:11" ht="15" thickBot="1"/>
    <row r="298" spans="1:11">
      <c r="A298" s="181" t="str">
        <f>DODECA_ENGINE!A11</f>
        <v>Face 10</v>
      </c>
      <c r="B298" s="580" t="str">
        <f>VLOOKUP(A298,DODECA_ENGINE!A1:B13,2,FALSE)</f>
        <v>Foundational Values</v>
      </c>
      <c r="C298" s="581"/>
      <c r="D298" s="455" t="str">
        <f>REFRENCE_MODELS!A59</f>
        <v>Foundational Values (F10)</v>
      </c>
      <c r="E298" s="182"/>
      <c r="F298" s="182"/>
      <c r="G298" s="582" t="s">
        <v>389</v>
      </c>
      <c r="H298" s="582"/>
      <c r="I298" s="182"/>
      <c r="J298" s="583" t="s">
        <v>430</v>
      </c>
      <c r="K298" s="584"/>
    </row>
    <row r="299" spans="1:11">
      <c r="A299" s="183" t="s">
        <v>399</v>
      </c>
      <c r="B299" s="155" t="s">
        <v>2</v>
      </c>
      <c r="C299" s="452" t="s">
        <v>2163</v>
      </c>
      <c r="D299" s="456" t="str">
        <f>_xlfn.XLOOKUP(D298,Octave_1_KPIs[Face (Domain) F. ID],Octave_1_KPIs[O1 - Survival (Focus: Existence)])</f>
        <v>Lived Values &amp; Cultural Integrity</v>
      </c>
      <c r="G299" s="157" t="s">
        <v>417</v>
      </c>
      <c r="H299" s="158">
        <f>REFRENCE_MODELS!$B$6</f>
        <v>0.6</v>
      </c>
      <c r="J299" s="156" t="s">
        <v>425</v>
      </c>
      <c r="K299" s="184">
        <f>C302+C304</f>
        <v>1.1000000000000001</v>
      </c>
    </row>
    <row r="300" spans="1:11">
      <c r="A300" s="185" t="str">
        <f>_xlfn.XLOOKUP(A298,KPI_DATABASE!D:D,KPI_DATABASE!B:B)</f>
        <v># Value Checks</v>
      </c>
      <c r="B300" t="str">
        <f>_xlfn.XLOOKUP(A298,KPI_DATABASE!D:D,KPI_DATABASE!A:A)</f>
        <v>L3.1</v>
      </c>
      <c r="C300">
        <f>VLOOKUP(B300,KPI_Database[],13,FALSE)</f>
        <v>0.67021333333333333</v>
      </c>
      <c r="G300" s="157" t="s">
        <v>390</v>
      </c>
      <c r="H300" s="159">
        <f>SUMPRODUCT(C302:C306, D302:D306)</f>
        <v>0.69333333333333336</v>
      </c>
      <c r="J300" s="156" t="s">
        <v>426</v>
      </c>
      <c r="K300" s="184">
        <f>C303+C305</f>
        <v>1.3666666666666667</v>
      </c>
    </row>
    <row r="301" spans="1:11">
      <c r="A301" s="183" t="s">
        <v>400</v>
      </c>
      <c r="B301" s="155" t="str">
        <f>Octave_1_KPIs[[#Headers],[Element]]</f>
        <v>Element</v>
      </c>
      <c r="C301" s="452" t="s">
        <v>2055</v>
      </c>
      <c r="D301" s="452" t="s">
        <v>388</v>
      </c>
      <c r="E301" s="155"/>
      <c r="G301" s="157" t="s">
        <v>391</v>
      </c>
      <c r="H301" s="160" t="s">
        <v>392</v>
      </c>
      <c r="J301" s="156" t="s">
        <v>427</v>
      </c>
      <c r="K301" s="184">
        <f>C304+C306</f>
        <v>2</v>
      </c>
    </row>
    <row r="302" spans="1:11">
      <c r="A302" s="185" t="str" cm="1">
        <f t="array" ref="A302">_xlfn.XLOOKUP(1,(REFRENCE_MODELS!$A:$A=$D$298)*(REFRENCE_MODELS!$C:$C=$B302),REFRENCE_MODELS!$E:$E,"Not Found")</f>
        <v># of Documented "Value Alignment Checks"</v>
      </c>
      <c r="B302" s="451" t="s">
        <v>577</v>
      </c>
      <c r="C302">
        <f>_xlfn.XLOOKUP(A269,Octave_1_KPIs[KPI Name (Pillar)],Octave_1_KPIs[Elemental_KPI_Normalized])</f>
        <v>0.1</v>
      </c>
      <c r="D302" s="456">
        <v>0.2</v>
      </c>
      <c r="G302" s="161" t="s">
        <v>393</v>
      </c>
      <c r="H302" s="159">
        <f>$H$2*((C302+C304)/2) + (1-$H$2)*(C302*C304)</f>
        <v>0.37</v>
      </c>
      <c r="J302" s="156" t="s">
        <v>428</v>
      </c>
      <c r="K302" s="184">
        <f>C305+C302</f>
        <v>0.46666666666666667</v>
      </c>
    </row>
    <row r="303" spans="1:11">
      <c r="A303" s="185" t="str" cm="1">
        <f t="array" ref="A303">_xlfn.XLOOKUP(1,(REFRENCE_MODELS!$A:$A=$D$298)*(REFRENCE_MODELS!$C:$C=$B303),REFRENCE_MODELS!$E:$E,"Not Found")</f>
        <v>Cultural Integrity Score (Team Poll, 1-10)</v>
      </c>
      <c r="B303" s="451" t="s">
        <v>578</v>
      </c>
      <c r="C303">
        <f>_xlfn.XLOOKUP(A270,Octave_1_KPIs[KPI Name (Pillar)],Octave_1_KPIs[Elemental_KPI_Normalized])</f>
        <v>1</v>
      </c>
      <c r="D303" s="456">
        <v>0.2</v>
      </c>
      <c r="G303" s="161" t="s">
        <v>394</v>
      </c>
      <c r="H303" s="159">
        <f>$H$2*((C303+C305)/2) + (1-$H$2)*(C303*C305)</f>
        <v>0.55666666666666664</v>
      </c>
      <c r="J303" s="156" t="s">
        <v>429</v>
      </c>
      <c r="K303" s="184">
        <f>C306+C303</f>
        <v>2</v>
      </c>
    </row>
    <row r="304" spans="1:11">
      <c r="A304" s="185" t="str" cm="1">
        <f t="array" ref="A304">_xlfn.XLOOKUP(1,(REFRENCE_MODELS!$A:$A=$D$298)*(REFRENCE_MODELS!$C:$C=$B304),REFRENCE_MODELS!$E:$E,"Not Found")</f>
        <v>Time Spent in Values-Based Discussions</v>
      </c>
      <c r="B304" s="451" t="s">
        <v>775</v>
      </c>
      <c r="C304">
        <f>_xlfn.XLOOKUP(A271,Octave_1_KPIs[KPI Name (Pillar)],Octave_1_KPIs[Elemental_KPI_Normalized])</f>
        <v>1</v>
      </c>
      <c r="D304" s="456">
        <v>0.2</v>
      </c>
      <c r="G304" s="161" t="s">
        <v>414</v>
      </c>
      <c r="H304" s="159">
        <f>$H$2*((C304+C306)/2) + (1-$H$2)*(C304*C306)</f>
        <v>1</v>
      </c>
      <c r="K304" s="186"/>
    </row>
    <row r="305" spans="1:11">
      <c r="A305" s="185" t="str" cm="1">
        <f t="array" ref="A305">_xlfn.XLOOKUP(1,(REFRENCE_MODELS!$A:$A=$D$298)*(REFRENCE_MODELS!$C:$C=$B305),REFRENCE_MODELS!$E:$E,"Not Found")</f>
        <v>Clarity of Published Values Statement (1-5)</v>
      </c>
      <c r="B305" s="451" t="s">
        <v>579</v>
      </c>
      <c r="C305">
        <f>_xlfn.XLOOKUP(A272,Octave_1_KPIs[KPI Name (Pillar)],Octave_1_KPIs[Elemental_KPI_Normalized])</f>
        <v>0.3666666666666667</v>
      </c>
      <c r="D305" s="456">
        <v>0.2</v>
      </c>
      <c r="G305" s="161" t="s">
        <v>415</v>
      </c>
      <c r="H305" s="159">
        <f>$H$2*((C305+C302)/2) + (1-$H$2)*(C305*C302)</f>
        <v>0.15466666666666665</v>
      </c>
      <c r="K305" s="186"/>
    </row>
    <row r="306" spans="1:11">
      <c r="A306" s="185" t="str" cm="1">
        <f t="array" ref="A306">_xlfn.XLOOKUP(1,(REFRENCE_MODELS!$A:$A=$D$298)*(REFRENCE_MODELS!$C:$C=$B306),REFRENCE_MODELS!$E:$E,"Not Found")</f>
        <v>Perceived Authenticity of Values (Founder Score, 1-5)</v>
      </c>
      <c r="B306" s="451" t="s">
        <v>580</v>
      </c>
      <c r="C306">
        <f>_xlfn.XLOOKUP(A273,Octave_1_KPIs[KPI Name (Pillar)],Octave_1_KPIs[Elemental_KPI_Normalized])</f>
        <v>1</v>
      </c>
      <c r="D306" s="456">
        <v>0.2</v>
      </c>
      <c r="G306" s="161" t="s">
        <v>416</v>
      </c>
      <c r="H306" s="159">
        <f>$H$2*((C306+C303)/2) + (1-$H$2)*(C306*C303)</f>
        <v>1</v>
      </c>
      <c r="K306" s="186"/>
    </row>
    <row r="307" spans="1:11">
      <c r="A307" s="185"/>
      <c r="K307" s="186"/>
    </row>
    <row r="308" spans="1:11">
      <c r="A308" s="187" t="s">
        <v>401</v>
      </c>
      <c r="B308" s="73" t="s">
        <v>33</v>
      </c>
      <c r="G308" s="157" t="s">
        <v>418</v>
      </c>
      <c r="H308" s="162">
        <f>REFRENCE_MODELS!$B$7</f>
        <v>0.5</v>
      </c>
      <c r="K308" s="186"/>
    </row>
    <row r="309" spans="1:11">
      <c r="A309" s="188" t="s">
        <v>402</v>
      </c>
      <c r="B309" s="163">
        <f>SUMPRODUCT(C302:C306, D302:D306)</f>
        <v>0.69333333333333336</v>
      </c>
      <c r="G309" s="157" t="s">
        <v>395</v>
      </c>
      <c r="H309" s="160" t="s">
        <v>396</v>
      </c>
      <c r="K309" s="186"/>
    </row>
    <row r="310" spans="1:11">
      <c r="A310" s="188" t="s">
        <v>431</v>
      </c>
      <c r="B310" s="163">
        <f>H316</f>
        <v>0.61626666666666663</v>
      </c>
      <c r="G310" s="161" t="s">
        <v>397</v>
      </c>
      <c r="H310" s="158">
        <f>$H$11*H302+(1-$H$11)*H306</f>
        <v>0.68500000000000005</v>
      </c>
      <c r="K310" s="186"/>
    </row>
    <row r="311" spans="1:11">
      <c r="A311" s="188" t="s">
        <v>403</v>
      </c>
      <c r="B311" s="164">
        <f>H318</f>
        <v>0.67021333333333333</v>
      </c>
      <c r="G311" s="161" t="s">
        <v>419</v>
      </c>
      <c r="H311" s="158">
        <f>$H$11 * H303 + (1-$H$11) * H302</f>
        <v>0.46333333333333332</v>
      </c>
      <c r="K311" s="186"/>
    </row>
    <row r="312" spans="1:11">
      <c r="A312" s="188" t="s">
        <v>404</v>
      </c>
      <c r="B312" s="165">
        <f>1 - (_xlfn.STDEV.P(K299:K303) / 2)</f>
        <v>0.71005747696023169</v>
      </c>
      <c r="G312" s="161" t="s">
        <v>420</v>
      </c>
      <c r="H312" s="158">
        <f>$H$11 * H304 + (1-$H$11) * H303</f>
        <v>0.77833333333333332</v>
      </c>
      <c r="K312" s="186"/>
    </row>
    <row r="313" spans="1:11">
      <c r="A313" s="185"/>
      <c r="G313" s="161" t="s">
        <v>421</v>
      </c>
      <c r="H313" s="158">
        <f>$H$11 * H305 + (1-$H$11) * H304</f>
        <v>0.57733333333333337</v>
      </c>
      <c r="K313" s="186"/>
    </row>
    <row r="314" spans="1:11">
      <c r="A314" s="187" t="s">
        <v>405</v>
      </c>
      <c r="B314" s="73" t="s">
        <v>33</v>
      </c>
      <c r="G314" s="161" t="s">
        <v>422</v>
      </c>
      <c r="H314" s="158">
        <f>$H$11 * H306 + (1-$H$11) * H305</f>
        <v>0.57733333333333337</v>
      </c>
      <c r="K314" s="186"/>
    </row>
    <row r="315" spans="1:11">
      <c r="A315" s="188" t="s">
        <v>406</v>
      </c>
      <c r="B315" s="163">
        <f>C300</f>
        <v>0.67021333333333333</v>
      </c>
      <c r="K315" s="186"/>
    </row>
    <row r="316" spans="1:11">
      <c r="A316" s="188" t="s">
        <v>407</v>
      </c>
      <c r="B316" s="163">
        <f>B311</f>
        <v>0.67021333333333333</v>
      </c>
      <c r="G316" s="157" t="s">
        <v>398</v>
      </c>
      <c r="H316" s="159">
        <f>AVERAGE(H310:H314)</f>
        <v>0.61626666666666663</v>
      </c>
      <c r="K316" s="186"/>
    </row>
    <row r="317" spans="1:11">
      <c r="A317" s="188" t="s">
        <v>408</v>
      </c>
      <c r="B317" s="163">
        <f>B312</f>
        <v>0.71005747696023169</v>
      </c>
      <c r="G317" s="157" t="s">
        <v>423</v>
      </c>
      <c r="H317" s="159">
        <f>REFRENCE_MODELS!$B$8</f>
        <v>0.7</v>
      </c>
      <c r="K317" s="186"/>
    </row>
    <row r="318" spans="1:11">
      <c r="A318" s="185"/>
      <c r="G318" s="157" t="s">
        <v>424</v>
      </c>
      <c r="H318" s="159">
        <f>H317*H300+((1-H317)*H316)</f>
        <v>0.67021333333333333</v>
      </c>
      <c r="K318" s="186"/>
    </row>
    <row r="319" spans="1:11">
      <c r="A319" s="189" t="s">
        <v>409</v>
      </c>
      <c r="B319" s="166">
        <f>B315* ((B316 + B317)/2)</f>
        <v>0.46253795033477557</v>
      </c>
      <c r="H319" s="167"/>
      <c r="K319" s="186"/>
    </row>
    <row r="320" spans="1:11">
      <c r="A320" s="185"/>
      <c r="K320" s="186"/>
    </row>
    <row r="321" spans="1:11">
      <c r="A321" s="187" t="s">
        <v>410</v>
      </c>
      <c r="B321" s="73" t="s">
        <v>25</v>
      </c>
      <c r="K321" s="186"/>
    </row>
    <row r="322" spans="1:11">
      <c r="A322" s="183" t="s">
        <v>411</v>
      </c>
      <c r="B322">
        <f>B319</f>
        <v>0.46253795033477557</v>
      </c>
      <c r="K322" s="186"/>
    </row>
    <row r="323" spans="1:11">
      <c r="A323" s="183" t="s">
        <v>441</v>
      </c>
      <c r="B323" s="168">
        <f>B154</f>
        <v>0</v>
      </c>
      <c r="K323" s="186"/>
    </row>
    <row r="324" spans="1:11">
      <c r="A324" s="183" t="s">
        <v>412</v>
      </c>
      <c r="B324">
        <f>REFRENCE_MODELS!B9</f>
        <v>0.9</v>
      </c>
      <c r="K324" s="186"/>
    </row>
    <row r="325" spans="1:11">
      <c r="A325" s="185"/>
      <c r="K325" s="186"/>
    </row>
    <row r="326" spans="1:11" ht="15" thickBot="1">
      <c r="A326" s="190" t="s">
        <v>413</v>
      </c>
      <c r="B326" s="246">
        <f xml:space="preserve"> (B324* B322) + ((1-B324) * B323)</f>
        <v>0.41628415530129803</v>
      </c>
      <c r="C326" s="191"/>
      <c r="D326" s="458"/>
      <c r="E326" s="191"/>
      <c r="F326" s="191"/>
      <c r="G326" s="191"/>
      <c r="H326" s="191"/>
      <c r="I326" s="191"/>
      <c r="J326" s="191"/>
      <c r="K326" s="192"/>
    </row>
    <row r="327" spans="1:11">
      <c r="A327" s="73"/>
      <c r="B327" s="168"/>
    </row>
    <row r="328" spans="1:11">
      <c r="A328" s="459" t="s">
        <v>2054</v>
      </c>
      <c r="B328" s="460">
        <f>1 / (1 + EXP(-REFRENCE_MODELS!$B$10 * (B326 - 0.5)))</f>
        <v>0.41705776084969176</v>
      </c>
    </row>
    <row r="330" spans="1:11" ht="15" thickBot="1"/>
    <row r="331" spans="1:11">
      <c r="A331" s="181" t="str">
        <f>DODECA_ENGINE!A12</f>
        <v>Face 11</v>
      </c>
      <c r="B331" s="580" t="str">
        <f>VLOOKUP(A331,DODECA_ENGINE!A1:B13,2,FALSE)</f>
        <v>Funding Pipeline</v>
      </c>
      <c r="C331" s="581"/>
      <c r="D331" s="455" t="str">
        <f>REFRENCE_MODELS!A64</f>
        <v>Funding Pipeline (F11)</v>
      </c>
      <c r="E331" s="182"/>
      <c r="F331" s="182"/>
      <c r="G331" s="582" t="s">
        <v>389</v>
      </c>
      <c r="H331" s="582"/>
      <c r="I331" s="182"/>
      <c r="J331" s="583" t="s">
        <v>430</v>
      </c>
      <c r="K331" s="584"/>
    </row>
    <row r="332" spans="1:11">
      <c r="A332" s="183" t="s">
        <v>399</v>
      </c>
      <c r="B332" s="155" t="s">
        <v>2</v>
      </c>
      <c r="C332" s="452" t="s">
        <v>2163</v>
      </c>
      <c r="D332" s="456" t="str">
        <f>_xlfn.XLOOKUP(D331,Octave_1_KPIs[Face (Domain) F. ID],Octave_1_KPIs[O1 - Survival (Focus: Existence)])</f>
        <v>Pipeline Viability &amp; Coherence</v>
      </c>
      <c r="G332" s="157" t="s">
        <v>417</v>
      </c>
      <c r="H332" s="158">
        <f>REFRENCE_MODELS!$B$6</f>
        <v>0.6</v>
      </c>
      <c r="J332" s="156" t="s">
        <v>425</v>
      </c>
      <c r="K332" s="184">
        <f>C335+C337</f>
        <v>0.45</v>
      </c>
    </row>
    <row r="333" spans="1:11">
      <c r="A333" s="185" t="str">
        <f>_xlfn.XLOOKUP(A331,KPI_DATABASE!D:D,KPI_DATABASE!B:B)</f>
        <v># Funding Opps</v>
      </c>
      <c r="B333" t="str">
        <f>_xlfn.XLOOKUP(A331,KPI_DATABASE!D:D,KPI_DATABASE!A:A)</f>
        <v>F1.2</v>
      </c>
      <c r="C333">
        <f>VLOOKUP(B333,KPI_Database[],13,FALSE)</f>
        <v>0.1924609523809524</v>
      </c>
      <c r="G333" s="157" t="s">
        <v>390</v>
      </c>
      <c r="H333" s="159">
        <f>SUMPRODUCT(C335:C339, D335:D339)</f>
        <v>0.21380952380952384</v>
      </c>
      <c r="J333" s="156" t="s">
        <v>426</v>
      </c>
      <c r="K333" s="184">
        <f>C336+C338</f>
        <v>0.47619047619047616</v>
      </c>
    </row>
    <row r="334" spans="1:11">
      <c r="A334" s="183" t="s">
        <v>400</v>
      </c>
      <c r="B334" s="155" t="str">
        <f>Octave_1_KPIs[[#Headers],[Element]]</f>
        <v>Element</v>
      </c>
      <c r="C334" s="452" t="s">
        <v>2055</v>
      </c>
      <c r="D334" s="452" t="s">
        <v>388</v>
      </c>
      <c r="E334" s="155"/>
      <c r="G334" s="157" t="s">
        <v>391</v>
      </c>
      <c r="H334" s="160" t="s">
        <v>392</v>
      </c>
      <c r="J334" s="156" t="s">
        <v>427</v>
      </c>
      <c r="K334" s="184">
        <f>C337+C339</f>
        <v>0.54285714285714293</v>
      </c>
    </row>
    <row r="335" spans="1:11">
      <c r="A335" s="185" t="str" cm="1">
        <f t="array" ref="A335">_xlfn.XLOOKUP(1,(REFRENCE_MODELS!$A:$A=$D$331)*(REFRENCE_MODELS!$C:$C=$B335),REFRENCE_MODELS!$E:$E,"Not Found")</f>
        <v># of Potential Funders Identified</v>
      </c>
      <c r="B335" s="451" t="s">
        <v>577</v>
      </c>
      <c r="C335">
        <f>_xlfn.XLOOKUP(A335,Octave_1_KPIs[KPI Name (Pillar)],Octave_1_KPIs[Elemental_KPI_Normalized])</f>
        <v>0.05</v>
      </c>
      <c r="D335" s="456">
        <v>0.2</v>
      </c>
      <c r="G335" s="161" t="s">
        <v>393</v>
      </c>
      <c r="H335" s="159">
        <f>$H$2*((C335+C337)/2) + (1-$H$2)*(C335*C337)</f>
        <v>0.14300000000000002</v>
      </c>
      <c r="J335" s="156" t="s">
        <v>428</v>
      </c>
      <c r="K335" s="184">
        <f>C338+C335</f>
        <v>0.19285714285714284</v>
      </c>
    </row>
    <row r="336" spans="1:11">
      <c r="A336" s="185" t="str" cm="1">
        <f t="array" ref="A336">_xlfn.XLOOKUP(1,(REFRENCE_MODELS!$A:$A=$D$331)*(REFRENCE_MODELS!$C:$C=$B336),REFRENCE_MODELS!$E:$E,"Not Found")</f>
        <v>Strength of Relationship with Top Prospects (1-5)</v>
      </c>
      <c r="B336" s="451" t="s">
        <v>578</v>
      </c>
      <c r="C336">
        <f>_xlfn.XLOOKUP(A336,Octave_1_KPIs[KPI Name (Pillar)],Octave_1_KPIs[Elemental_KPI_Normalized])</f>
        <v>0.33333333333333331</v>
      </c>
      <c r="D336" s="456">
        <v>0.2</v>
      </c>
      <c r="G336" s="161" t="s">
        <v>394</v>
      </c>
      <c r="H336" s="159">
        <f>$H$2*((C336+C338)/2) + (1-$H$2)*(C336*C338)</f>
        <v>0.16190476190476188</v>
      </c>
      <c r="J336" s="156" t="s">
        <v>429</v>
      </c>
      <c r="K336" s="184">
        <f>C339+C336</f>
        <v>0.47619047619047616</v>
      </c>
    </row>
    <row r="337" spans="1:11">
      <c r="A337" s="185" t="str" cm="1">
        <f t="array" ref="A337">_xlfn.XLOOKUP(1,(REFRENCE_MODELS!$A:$A=$D$331)*(REFRENCE_MODELS!$C:$C=$B337),REFRENCE_MODELS!$E:$E,"Not Found")</f>
        <v># of Funding Opportunities Pursued</v>
      </c>
      <c r="B337" s="451" t="s">
        <v>775</v>
      </c>
      <c r="C337">
        <f>_xlfn.XLOOKUP(A337,Octave_1_KPIs[KPI Name (Pillar)],Octave_1_KPIs[Elemental_KPI_Normalized])</f>
        <v>0.4</v>
      </c>
      <c r="D337" s="456">
        <v>0.2</v>
      </c>
      <c r="G337" s="161" t="s">
        <v>414</v>
      </c>
      <c r="H337" s="159">
        <f>$H$2*((C337+C339)/2) + (1-$H$2)*(C337*C339)</f>
        <v>0.18571428571428572</v>
      </c>
      <c r="K337" s="186"/>
    </row>
    <row r="338" spans="1:11">
      <c r="A338" s="185" t="str" cm="1">
        <f t="array" ref="A338">_xlfn.XLOOKUP(1,(REFRENCE_MODELS!$A:$A=$D$331)*(REFRENCE_MODELS!$C:$C=$B338),REFRENCE_MODELS!$E:$E,"Not Found")</f>
        <v>Clarity of Financial Ask (1-5)</v>
      </c>
      <c r="B338" s="451" t="s">
        <v>579</v>
      </c>
      <c r="C338">
        <f>_xlfn.XLOOKUP(A338,Octave_1_KPIs[KPI Name (Pillar)],Octave_1_KPIs[Elemental_KPI_Normalized])</f>
        <v>0.14285714285714285</v>
      </c>
      <c r="D338" s="456">
        <v>0.2</v>
      </c>
      <c r="G338" s="161" t="s">
        <v>415</v>
      </c>
      <c r="H338" s="159">
        <f>$H$2*((C338+C335)/2) + (1-$H$2)*(C338*C335)</f>
        <v>6.0714285714285707E-2</v>
      </c>
      <c r="K338" s="186"/>
    </row>
    <row r="339" spans="1:11">
      <c r="A339" s="185" t="str" cm="1">
        <f t="array" ref="A339">_xlfn.XLOOKUP(1,(REFRENCE_MODELS!$A:$A=$D$331)*(REFRENCE_MODELS!$C:$C=$B339),REFRENCE_MODELS!$E:$E,"Not Found")</f>
        <v>Funding Alignment Index (from Edge KPIs)</v>
      </c>
      <c r="B339" s="451" t="s">
        <v>580</v>
      </c>
      <c r="C339">
        <f>_xlfn.XLOOKUP(A339,Octave_1_KPIs[KPI Name (Pillar)],Octave_1_KPIs[Elemental_KPI_Normalized])</f>
        <v>0.14285714285714285</v>
      </c>
      <c r="D339" s="456">
        <v>0.2</v>
      </c>
      <c r="G339" s="161" t="s">
        <v>416</v>
      </c>
      <c r="H339" s="159">
        <f>$H$2*((C339+C336)/2) + (1-$H$2)*(C339*C336)</f>
        <v>0.16190476190476188</v>
      </c>
      <c r="K339" s="186"/>
    </row>
    <row r="340" spans="1:11">
      <c r="A340" s="185"/>
      <c r="K340" s="186"/>
    </row>
    <row r="341" spans="1:11">
      <c r="A341" s="187" t="s">
        <v>401</v>
      </c>
      <c r="B341" s="73" t="s">
        <v>33</v>
      </c>
      <c r="G341" s="157" t="s">
        <v>418</v>
      </c>
      <c r="H341" s="162">
        <f>REFRENCE_MODELS!$B$7</f>
        <v>0.5</v>
      </c>
      <c r="K341" s="186"/>
    </row>
    <row r="342" spans="1:11">
      <c r="A342" s="188" t="s">
        <v>402</v>
      </c>
      <c r="B342" s="163">
        <f>SUMPRODUCT(C335:C339, D335:D339)</f>
        <v>0.21380952380952384</v>
      </c>
      <c r="G342" s="157" t="s">
        <v>395</v>
      </c>
      <c r="H342" s="160" t="s">
        <v>396</v>
      </c>
      <c r="K342" s="186"/>
    </row>
    <row r="343" spans="1:11">
      <c r="A343" s="188" t="s">
        <v>431</v>
      </c>
      <c r="B343" s="163">
        <f>H349</f>
        <v>0.14264761904761905</v>
      </c>
      <c r="G343" s="161" t="s">
        <v>397</v>
      </c>
      <c r="H343" s="158">
        <f>$H$11*H335+(1-$H$11)*H339</f>
        <v>0.15245238095238095</v>
      </c>
      <c r="K343" s="186"/>
    </row>
    <row r="344" spans="1:11">
      <c r="A344" s="188" t="s">
        <v>403</v>
      </c>
      <c r="B344" s="164">
        <f>H351</f>
        <v>0.1924609523809524</v>
      </c>
      <c r="G344" s="161" t="s">
        <v>419</v>
      </c>
      <c r="H344" s="158">
        <f>$H$11 * H336 + (1-$H$11) * H335</f>
        <v>0.15245238095238095</v>
      </c>
      <c r="K344" s="186"/>
    </row>
    <row r="345" spans="1:11">
      <c r="A345" s="188" t="s">
        <v>404</v>
      </c>
      <c r="B345" s="165">
        <f>1 - (_xlfn.STDEV.P(K332:K336) / 2)</f>
        <v>0.93933195037832551</v>
      </c>
      <c r="G345" s="161" t="s">
        <v>420</v>
      </c>
      <c r="H345" s="158">
        <f>$H$11 * H337 + (1-$H$11) * H336</f>
        <v>0.1738095238095238</v>
      </c>
      <c r="K345" s="186"/>
    </row>
    <row r="346" spans="1:11">
      <c r="A346" s="185"/>
      <c r="G346" s="161" t="s">
        <v>421</v>
      </c>
      <c r="H346" s="158">
        <f>$H$11 * H338 + (1-$H$11) * H337</f>
        <v>0.12321428571428572</v>
      </c>
      <c r="K346" s="186"/>
    </row>
    <row r="347" spans="1:11">
      <c r="A347" s="187" t="s">
        <v>405</v>
      </c>
      <c r="B347" s="73" t="s">
        <v>33</v>
      </c>
      <c r="G347" s="161" t="s">
        <v>422</v>
      </c>
      <c r="H347" s="158">
        <f>$H$11 * H339 + (1-$H$11) * H338</f>
        <v>0.1113095238095238</v>
      </c>
      <c r="K347" s="186"/>
    </row>
    <row r="348" spans="1:11">
      <c r="A348" s="188" t="s">
        <v>406</v>
      </c>
      <c r="B348" s="163">
        <f>C333</f>
        <v>0.1924609523809524</v>
      </c>
      <c r="K348" s="186"/>
    </row>
    <row r="349" spans="1:11">
      <c r="A349" s="188" t="s">
        <v>407</v>
      </c>
      <c r="B349" s="163">
        <f>B344</f>
        <v>0.1924609523809524</v>
      </c>
      <c r="G349" s="157" t="s">
        <v>398</v>
      </c>
      <c r="H349" s="159">
        <f>AVERAGE(H343:H347)</f>
        <v>0.14264761904761905</v>
      </c>
      <c r="K349" s="186"/>
    </row>
    <row r="350" spans="1:11">
      <c r="A350" s="188" t="s">
        <v>408</v>
      </c>
      <c r="B350" s="163">
        <f>B345</f>
        <v>0.93933195037832551</v>
      </c>
      <c r="G350" s="157" t="s">
        <v>423</v>
      </c>
      <c r="H350" s="159">
        <f>REFRENCE_MODELS!$B$8</f>
        <v>0.7</v>
      </c>
      <c r="K350" s="186"/>
    </row>
    <row r="351" spans="1:11">
      <c r="A351" s="185"/>
      <c r="G351" s="157" t="s">
        <v>424</v>
      </c>
      <c r="H351" s="159">
        <f>H350*H333+((1-H350)*H349)</f>
        <v>0.1924609523809524</v>
      </c>
      <c r="K351" s="186"/>
    </row>
    <row r="352" spans="1:11">
      <c r="A352" s="189" t="s">
        <v>409</v>
      </c>
      <c r="B352" s="166">
        <f>B348* ((B349 + B350)/2)</f>
        <v>0.10891296998152664</v>
      </c>
      <c r="H352" s="167"/>
      <c r="K352" s="186"/>
    </row>
    <row r="353" spans="1:11">
      <c r="A353" s="185"/>
      <c r="K353" s="186"/>
    </row>
    <row r="354" spans="1:11">
      <c r="A354" s="187" t="s">
        <v>410</v>
      </c>
      <c r="B354" s="73" t="s">
        <v>25</v>
      </c>
      <c r="K354" s="186"/>
    </row>
    <row r="355" spans="1:11">
      <c r="A355" s="183" t="s">
        <v>411</v>
      </c>
      <c r="B355">
        <f>B352</f>
        <v>0.10891296998152664</v>
      </c>
      <c r="K355" s="186"/>
    </row>
    <row r="356" spans="1:11">
      <c r="A356" s="183" t="s">
        <v>442</v>
      </c>
      <c r="B356" s="168">
        <f>B22</f>
        <v>0.25413439462807558</v>
      </c>
      <c r="K356" s="186"/>
    </row>
    <row r="357" spans="1:11">
      <c r="A357" s="183" t="s">
        <v>412</v>
      </c>
      <c r="B357">
        <f>REFRENCE_MODELS!B9</f>
        <v>0.9</v>
      </c>
      <c r="K357" s="186"/>
    </row>
    <row r="358" spans="1:11">
      <c r="A358" s="185"/>
      <c r="K358" s="186"/>
    </row>
    <row r="359" spans="1:11" ht="15" thickBot="1">
      <c r="A359" s="190" t="s">
        <v>413</v>
      </c>
      <c r="B359" s="246">
        <f xml:space="preserve"> (B357* B355) + ((1-B357) * B356)</f>
        <v>0.12343511244618152</v>
      </c>
      <c r="C359" s="191"/>
      <c r="D359" s="458"/>
      <c r="E359" s="191"/>
      <c r="F359" s="191"/>
      <c r="G359" s="191"/>
      <c r="H359" s="191"/>
      <c r="I359" s="191"/>
      <c r="J359" s="191"/>
      <c r="K359" s="192"/>
    </row>
    <row r="360" spans="1:11">
      <c r="A360" s="73"/>
      <c r="B360" s="168"/>
    </row>
    <row r="361" spans="1:11">
      <c r="A361" s="459" t="s">
        <v>2054</v>
      </c>
      <c r="B361" s="460">
        <f>1 / (1 + EXP(-REFRENCE_MODELS!$B$10 * (B359 - 0.5)))</f>
        <v>0.1814937893126542</v>
      </c>
    </row>
    <row r="363" spans="1:11" ht="15" thickBot="1"/>
    <row r="364" spans="1:11">
      <c r="A364" s="181" t="str">
        <f>DODECA_ENGINE!A13</f>
        <v>Face 12</v>
      </c>
      <c r="B364" s="580" t="str">
        <f>VLOOKUP(A364,DODECA_ENGINE!A1:B13,2,FALSE)</f>
        <v>Risk &amp; Resilience</v>
      </c>
      <c r="C364" s="581"/>
      <c r="D364" s="455" t="str">
        <f>REFRENCE_MODELS!A69</f>
        <v>Risk &amp; Resilience (F12)</v>
      </c>
      <c r="E364" s="182"/>
      <c r="F364" s="182"/>
      <c r="G364" s="582" t="s">
        <v>389</v>
      </c>
      <c r="H364" s="582"/>
      <c r="I364" s="182"/>
      <c r="J364" s="583" t="s">
        <v>430</v>
      </c>
      <c r="K364" s="584"/>
    </row>
    <row r="365" spans="1:11">
      <c r="A365" s="183" t="s">
        <v>399</v>
      </c>
      <c r="B365" s="155" t="s">
        <v>2</v>
      </c>
      <c r="C365" s="452" t="s">
        <v>2163</v>
      </c>
      <c r="D365" s="456" t="str">
        <f>_xlfn.XLOOKUP(D364,Octave_1_KPIs[Face (Domain) F. ID],Octave_1_KPIs[O1 - Survival (Focus: Existence)])</f>
        <v>Systemic Fragility Assessment</v>
      </c>
      <c r="G365" s="157" t="s">
        <v>417</v>
      </c>
      <c r="H365" s="158">
        <f>REFRENCE_MODELS!$B$6</f>
        <v>0.6</v>
      </c>
      <c r="J365" s="156" t="s">
        <v>425</v>
      </c>
      <c r="K365" s="184">
        <f>C368+C370</f>
        <v>1.5</v>
      </c>
    </row>
    <row r="366" spans="1:11">
      <c r="A366" s="185" t="str">
        <f>_xlfn.XLOOKUP(A364,KPI_DATABASE!D:D,KPI_DATABASE!B:B)</f>
        <v>Bus Factor</v>
      </c>
      <c r="B366" t="str">
        <f>_xlfn.XLOOKUP(A364,KPI_DATABASE!D:D,KPI_DATABASE!A:A)</f>
        <v>R1.1</v>
      </c>
      <c r="C366">
        <f>VLOOKUP(B366,KPI_Database[],13,FALSE)</f>
        <v>0.26907809523809512</v>
      </c>
      <c r="G366" s="157" t="s">
        <v>390</v>
      </c>
      <c r="H366" s="159">
        <f>SUMPRODUCT(C368:C372, D368:D372)</f>
        <v>0.66009523809523807</v>
      </c>
      <c r="J366" s="156" t="s">
        <v>426</v>
      </c>
      <c r="K366" s="184">
        <f>C369+C371</f>
        <v>0.94333333333333336</v>
      </c>
    </row>
    <row r="367" spans="1:11">
      <c r="A367" s="183" t="s">
        <v>400</v>
      </c>
      <c r="B367" s="155" t="str">
        <f>Octave_1_KPIs[[#Headers],[Element]]</f>
        <v>Element</v>
      </c>
      <c r="C367" s="452" t="s">
        <v>2055</v>
      </c>
      <c r="D367" s="452" t="s">
        <v>388</v>
      </c>
      <c r="G367" s="157" t="s">
        <v>391</v>
      </c>
      <c r="H367" s="160" t="s">
        <v>392</v>
      </c>
      <c r="J367" s="156" t="s">
        <v>427</v>
      </c>
      <c r="K367" s="184">
        <f>C370+C372</f>
        <v>1.8571428571428572</v>
      </c>
    </row>
    <row r="368" spans="1:11">
      <c r="A368" s="185" t="str" cm="1">
        <f t="array" ref="A368">_xlfn.XLOOKUP(1,(REFRENCE_MODELS!$A:$A=$D$364)*(REFRENCE_MODELS!$C:$C=$B368),REFRENCE_MODELS!$E:$E,"Not Found")</f>
        <v>Bus Factor</v>
      </c>
      <c r="B368" s="451" t="s">
        <v>577</v>
      </c>
      <c r="C368">
        <f>_xlfn.XLOOKUP(A368,Octave_1_KPIs[KPI Name (Pillar)],Octave_1_KPIs[Elemental_KPI_Normalized])</f>
        <v>0.5</v>
      </c>
      <c r="D368" s="456">
        <v>0.2</v>
      </c>
      <c r="G368" s="161" t="s">
        <v>393</v>
      </c>
      <c r="H368" s="159">
        <f>$H$2*((C368+C370)/2) + (1-$H$2)*(C368*C370)</f>
        <v>0.64999999999999991</v>
      </c>
      <c r="J368" s="156" t="s">
        <v>428</v>
      </c>
      <c r="K368" s="184">
        <f>C371+C368</f>
        <v>0.66666666666666663</v>
      </c>
    </row>
    <row r="369" spans="1:11">
      <c r="A369" s="185" t="str" cm="1">
        <f t="array" ref="A369">_xlfn.XLOOKUP(1,(REFRENCE_MODELS!$A:$A=$D$364)*(REFRENCE_MODELS!$C:$C=$B369),REFRENCE_MODELS!$E:$E,"Not Found")</f>
        <v>Founder's Psychological Resilience Score (1-5)</v>
      </c>
      <c r="B369" s="451" t="s">
        <v>578</v>
      </c>
      <c r="C369">
        <f>_xlfn.XLOOKUP(A369,Octave_1_KPIs[KPI Name (Pillar)],Octave_1_KPIs[Elemental_KPI_Normalized])</f>
        <v>0.77666666666666673</v>
      </c>
      <c r="D369" s="456">
        <v>0.2</v>
      </c>
      <c r="G369" s="161" t="s">
        <v>394</v>
      </c>
      <c r="H369" s="159">
        <f>$H$2*((C369+C371)/2) + (1-$H$2)*(C369*C371)</f>
        <v>0.33477777777777773</v>
      </c>
      <c r="J369" s="156" t="s">
        <v>429</v>
      </c>
      <c r="K369" s="184">
        <f>C372+C369</f>
        <v>1.6338095238095238</v>
      </c>
    </row>
    <row r="370" spans="1:11">
      <c r="A370" s="185" t="str" cm="1">
        <f t="array" ref="A370">_xlfn.XLOOKUP(1,(REFRENCE_MODELS!$A:$A=$D$364)*(REFRENCE_MODELS!$C:$C=$B370),REFRENCE_MODELS!$E:$E,"Not Found")</f>
        <v>Hours Spent in Scenario Planning</v>
      </c>
      <c r="B370" s="451" t="s">
        <v>775</v>
      </c>
      <c r="C370">
        <f>_xlfn.XLOOKUP(A370,Octave_1_KPIs[KPI Name (Pillar)],Octave_1_KPIs[Elemental_KPI_Normalized])</f>
        <v>1</v>
      </c>
      <c r="D370" s="456">
        <v>0.2</v>
      </c>
      <c r="G370" s="161" t="s">
        <v>414</v>
      </c>
      <c r="H370" s="159">
        <f>$H$2*((C370+C372)/2) + (1-$H$2)*(C370*C372)</f>
        <v>0.9</v>
      </c>
      <c r="K370" s="186"/>
    </row>
    <row r="371" spans="1:11">
      <c r="A371" s="185" t="str" cm="1">
        <f t="array" ref="A371">_xlfn.XLOOKUP(1,(REFRENCE_MODELS!$A:$A=$D$364)*(REFRENCE_MODELS!$C:$C=$B371),REFRENCE_MODELS!$E:$E,"Not Found")</f>
        <v>Clarity of Risk Documentation (1-5)</v>
      </c>
      <c r="B371" s="451" t="s">
        <v>579</v>
      </c>
      <c r="C371">
        <f>_xlfn.XLOOKUP(A371,Octave_1_KPIs[KPI Name (Pillar)],Octave_1_KPIs[Elemental_KPI_Normalized])</f>
        <v>0.16666666666666666</v>
      </c>
      <c r="D371" s="456">
        <v>0.2</v>
      </c>
      <c r="G371" s="161" t="s">
        <v>415</v>
      </c>
      <c r="H371" s="159">
        <f>$H$2*((C371+C368)/2) + (1-$H$2)*(C371*C368)</f>
        <v>0.23333333333333331</v>
      </c>
      <c r="K371" s="186"/>
    </row>
    <row r="372" spans="1:11">
      <c r="A372" s="185" t="str" cm="1">
        <f t="array" ref="A372">_xlfn.XLOOKUP(1,(REFRENCE_MODELS!$A:$A=$D$364)*(REFRENCE_MODELS!$C:$C=$B372),REFRENCE_MODELS!$E:$E,"Not Found")</f>
        <v>Ethical Resilience Score (from Edge KPIs)</v>
      </c>
      <c r="B372" s="451" t="s">
        <v>580</v>
      </c>
      <c r="C372">
        <f>_xlfn.XLOOKUP(A372,Octave_1_KPIs[KPI Name (Pillar)],Octave_1_KPIs[Elemental_KPI_Normalized])</f>
        <v>0.8571428571428571</v>
      </c>
      <c r="D372" s="456">
        <v>0.2</v>
      </c>
      <c r="G372" s="161" t="s">
        <v>416</v>
      </c>
      <c r="H372" s="159">
        <f>$H$2*((C372+C369)/2) + (1-$H$2)*(C372*C369)</f>
        <v>0.75642857142857145</v>
      </c>
      <c r="K372" s="186"/>
    </row>
    <row r="373" spans="1:11">
      <c r="A373" s="185"/>
      <c r="K373" s="186"/>
    </row>
    <row r="374" spans="1:11">
      <c r="A374" s="187" t="s">
        <v>401</v>
      </c>
      <c r="B374" s="73" t="s">
        <v>33</v>
      </c>
      <c r="G374" s="157" t="s">
        <v>418</v>
      </c>
      <c r="H374" s="162">
        <f>REFRENCE_MODELS!$B$7</f>
        <v>0.5</v>
      </c>
      <c r="K374" s="186"/>
    </row>
    <row r="375" spans="1:11">
      <c r="A375" s="188" t="s">
        <v>402</v>
      </c>
      <c r="B375" s="163">
        <f>SUMPRODUCT(C368:C372, D368:D372)</f>
        <v>0.66009523809523807</v>
      </c>
      <c r="G375" s="157" t="s">
        <v>395</v>
      </c>
      <c r="H375" s="160" t="s">
        <v>396</v>
      </c>
      <c r="K375" s="186"/>
    </row>
    <row r="376" spans="1:11">
      <c r="A376" s="188" t="s">
        <v>431</v>
      </c>
      <c r="B376" s="163">
        <f>H382</f>
        <v>0.57490793650793648</v>
      </c>
      <c r="G376" s="161" t="s">
        <v>397</v>
      </c>
      <c r="H376" s="158">
        <f>$H$11*H368+(1-$H$11)*H372</f>
        <v>0.70321428571428568</v>
      </c>
      <c r="K376" s="186"/>
    </row>
    <row r="377" spans="1:11">
      <c r="A377" s="188" t="s">
        <v>403</v>
      </c>
      <c r="B377" s="164">
        <f>H384</f>
        <v>0.63453904761904756</v>
      </c>
      <c r="G377" s="161" t="s">
        <v>419</v>
      </c>
      <c r="H377" s="158">
        <f>$H$11 * H369 + (1-$H$11) * H368</f>
        <v>0.49238888888888882</v>
      </c>
      <c r="K377" s="186"/>
    </row>
    <row r="378" spans="1:11">
      <c r="A378" s="188" t="s">
        <v>404</v>
      </c>
      <c r="B378" s="165">
        <f>1 - (_xlfn.STDEV.P(K365:K369) / 2)</f>
        <v>0.77772529304602889</v>
      </c>
      <c r="G378" s="161" t="s">
        <v>420</v>
      </c>
      <c r="H378" s="158">
        <f>$H$11 * H370 + (1-$H$11) * H369</f>
        <v>0.61738888888888888</v>
      </c>
      <c r="K378" s="186"/>
    </row>
    <row r="379" spans="1:11">
      <c r="A379" s="185"/>
      <c r="G379" s="161" t="s">
        <v>421</v>
      </c>
      <c r="H379" s="158">
        <f>$H$11 * H371 + (1-$H$11) * H370</f>
        <v>0.56666666666666665</v>
      </c>
      <c r="K379" s="186"/>
    </row>
    <row r="380" spans="1:11">
      <c r="A380" s="187" t="s">
        <v>405</v>
      </c>
      <c r="B380" s="73" t="s">
        <v>33</v>
      </c>
      <c r="G380" s="161" t="s">
        <v>422</v>
      </c>
      <c r="H380" s="158">
        <f>$H$11 * H372 + (1-$H$11) * H371</f>
        <v>0.49488095238095237</v>
      </c>
      <c r="K380" s="186"/>
    </row>
    <row r="381" spans="1:11">
      <c r="A381" s="188" t="s">
        <v>406</v>
      </c>
      <c r="B381" s="163">
        <f>C366</f>
        <v>0.26907809523809512</v>
      </c>
      <c r="K381" s="186"/>
    </row>
    <row r="382" spans="1:11">
      <c r="A382" s="188" t="s">
        <v>407</v>
      </c>
      <c r="B382" s="163">
        <f>B377</f>
        <v>0.63453904761904756</v>
      </c>
      <c r="G382" s="157" t="s">
        <v>398</v>
      </c>
      <c r="H382" s="159">
        <f>AVERAGE(H376:H380)</f>
        <v>0.57490793650793648</v>
      </c>
      <c r="K382" s="186"/>
    </row>
    <row r="383" spans="1:11">
      <c r="A383" s="188" t="s">
        <v>408</v>
      </c>
      <c r="B383" s="163">
        <f>B378</f>
        <v>0.77772529304602889</v>
      </c>
      <c r="G383" s="157" t="s">
        <v>423</v>
      </c>
      <c r="H383" s="159">
        <f>REFRENCE_MODELS!$B$8</f>
        <v>0.7</v>
      </c>
      <c r="K383" s="186"/>
    </row>
    <row r="384" spans="1:11">
      <c r="A384" s="185"/>
      <c r="G384" s="157" t="s">
        <v>424</v>
      </c>
      <c r="H384" s="159">
        <f>H383*H366+((1-H383)*H382)</f>
        <v>0.63453904761904756</v>
      </c>
      <c r="K384" s="186"/>
    </row>
    <row r="385" spans="1:11">
      <c r="A385" s="189" t="s">
        <v>409</v>
      </c>
      <c r="B385" s="166">
        <f>B381* ((B382 + B383)/2)</f>
        <v>0.19000469937942155</v>
      </c>
      <c r="H385" s="167"/>
      <c r="K385" s="186"/>
    </row>
    <row r="386" spans="1:11">
      <c r="A386" s="185"/>
      <c r="K386" s="186"/>
    </row>
    <row r="387" spans="1:11">
      <c r="A387" s="187" t="s">
        <v>410</v>
      </c>
      <c r="B387" s="73" t="s">
        <v>25</v>
      </c>
      <c r="K387" s="186"/>
    </row>
    <row r="388" spans="1:11">
      <c r="A388" s="183" t="s">
        <v>411</v>
      </c>
      <c r="B388">
        <f>B385</f>
        <v>0.19000469937942155</v>
      </c>
      <c r="K388" s="186"/>
    </row>
    <row r="389" spans="1:11">
      <c r="A389" s="183" t="s">
        <v>443</v>
      </c>
      <c r="B389" s="168">
        <f>B187</f>
        <v>0.25322100867273906</v>
      </c>
      <c r="K389" s="186"/>
    </row>
    <row r="390" spans="1:11">
      <c r="A390" s="183" t="s">
        <v>412</v>
      </c>
      <c r="B390">
        <f>REFRENCE_MODELS!B9</f>
        <v>0.9</v>
      </c>
      <c r="K390" s="186"/>
    </row>
    <row r="391" spans="1:11">
      <c r="A391" s="185"/>
      <c r="K391" s="186"/>
    </row>
    <row r="392" spans="1:11" ht="15" thickBot="1">
      <c r="A392" s="190" t="s">
        <v>413</v>
      </c>
      <c r="B392" s="247">
        <f xml:space="preserve"> (B390* B388) + ((1-B390) * B389)</f>
        <v>0.19632633030875329</v>
      </c>
      <c r="C392" s="191"/>
      <c r="D392" s="458"/>
      <c r="E392" s="191"/>
      <c r="F392" s="191"/>
      <c r="G392" s="191"/>
      <c r="H392" s="191"/>
      <c r="I392" s="191"/>
      <c r="J392" s="191"/>
      <c r="K392" s="192"/>
    </row>
    <row r="393" spans="1:11">
      <c r="A393" s="73"/>
      <c r="B393" s="248"/>
    </row>
    <row r="394" spans="1:11">
      <c r="A394" s="459" t="s">
        <v>2054</v>
      </c>
      <c r="B394" s="461">
        <f>1 / (1 + EXP(-REFRENCE_MODELS!$B$10 * (B392 - 0.5)))</f>
        <v>0.22887143591495901</v>
      </c>
    </row>
  </sheetData>
  <mergeCells count="36">
    <mergeCell ref="B265:C265"/>
    <mergeCell ref="G265:H265"/>
    <mergeCell ref="J265:K265"/>
    <mergeCell ref="B364:C364"/>
    <mergeCell ref="G364:H364"/>
    <mergeCell ref="J364:K364"/>
    <mergeCell ref="B298:C298"/>
    <mergeCell ref="G298:H298"/>
    <mergeCell ref="J298:K298"/>
    <mergeCell ref="B331:C331"/>
    <mergeCell ref="G331:H331"/>
    <mergeCell ref="J331:K331"/>
    <mergeCell ref="B199:C199"/>
    <mergeCell ref="G199:H199"/>
    <mergeCell ref="J199:K199"/>
    <mergeCell ref="B232:C232"/>
    <mergeCell ref="G232:H232"/>
    <mergeCell ref="J232:K232"/>
    <mergeCell ref="B133:C133"/>
    <mergeCell ref="G133:H133"/>
    <mergeCell ref="J133:K133"/>
    <mergeCell ref="B166:C166"/>
    <mergeCell ref="G166:H166"/>
    <mergeCell ref="J166:K166"/>
    <mergeCell ref="B67:C67"/>
    <mergeCell ref="G67:H67"/>
    <mergeCell ref="J67:K67"/>
    <mergeCell ref="B100:C100"/>
    <mergeCell ref="G100:H100"/>
    <mergeCell ref="J100:K100"/>
    <mergeCell ref="G1:H1"/>
    <mergeCell ref="J1:K1"/>
    <mergeCell ref="B1:C1"/>
    <mergeCell ref="B34:C34"/>
    <mergeCell ref="G34:H34"/>
    <mergeCell ref="J34:K34"/>
  </mergeCells>
  <phoneticPr fontId="14" type="noConversion"/>
  <conditionalFormatting sqref="B5:B9">
    <cfRule type="containsText" dxfId="66" priority="94" operator="containsText" text="Water">
      <formula>NOT(ISERROR(SEARCH("Water",B5)))</formula>
    </cfRule>
    <cfRule type="containsText" dxfId="65" priority="93" operator="containsText" text="Fire">
      <formula>NOT(ISERROR(SEARCH("Fire",B5)))</formula>
    </cfRule>
    <cfRule type="containsText" dxfId="64" priority="92" operator="containsText" text="Air">
      <formula>NOT(ISERROR(SEARCH("Air",B5)))</formula>
    </cfRule>
    <cfRule type="containsText" dxfId="63" priority="91" operator="containsText" text="Ether">
      <formula>NOT(ISERROR(SEARCH("Ether",B5)))</formula>
    </cfRule>
    <cfRule type="containsText" dxfId="62" priority="95" operator="containsText" text="Earth">
      <formula>NOT(ISERROR(SEARCH("Earth",B5)))</formula>
    </cfRule>
  </conditionalFormatting>
  <conditionalFormatting sqref="B38:B42">
    <cfRule type="containsText" dxfId="61" priority="88" operator="containsText" text="Fire">
      <formula>NOT(ISERROR(SEARCH("Fire",B38)))</formula>
    </cfRule>
    <cfRule type="containsText" dxfId="60" priority="90" operator="containsText" text="Earth">
      <formula>NOT(ISERROR(SEARCH("Earth",B38)))</formula>
    </cfRule>
    <cfRule type="containsText" dxfId="59" priority="89" operator="containsText" text="Water">
      <formula>NOT(ISERROR(SEARCH("Water",B38)))</formula>
    </cfRule>
    <cfRule type="containsText" dxfId="58" priority="87" operator="containsText" text="Air">
      <formula>NOT(ISERROR(SEARCH("Air",B38)))</formula>
    </cfRule>
    <cfRule type="containsText" dxfId="57" priority="86" operator="containsText" text="Ether">
      <formula>NOT(ISERROR(SEARCH("Ether",B38)))</formula>
    </cfRule>
  </conditionalFormatting>
  <conditionalFormatting sqref="B71:B75">
    <cfRule type="containsText" dxfId="56" priority="81" operator="containsText" text="Ether">
      <formula>NOT(ISERROR(SEARCH("Ether",B71)))</formula>
    </cfRule>
    <cfRule type="containsText" dxfId="55" priority="85" operator="containsText" text="Earth">
      <formula>NOT(ISERROR(SEARCH("Earth",B71)))</formula>
    </cfRule>
    <cfRule type="containsText" dxfId="54" priority="84" operator="containsText" text="Water">
      <formula>NOT(ISERROR(SEARCH("Water",B71)))</formula>
    </cfRule>
    <cfRule type="containsText" dxfId="53" priority="83" operator="containsText" text="Fire">
      <formula>NOT(ISERROR(SEARCH("Fire",B71)))</formula>
    </cfRule>
    <cfRule type="containsText" dxfId="52" priority="82" operator="containsText" text="Air">
      <formula>NOT(ISERROR(SEARCH("Air",B71)))</formula>
    </cfRule>
  </conditionalFormatting>
  <conditionalFormatting sqref="B104:B108">
    <cfRule type="containsText" dxfId="51" priority="76" operator="containsText" text="Ether">
      <formula>NOT(ISERROR(SEARCH("Ether",B104)))</formula>
    </cfRule>
    <cfRule type="containsText" dxfId="50" priority="80" operator="containsText" text="Earth">
      <formula>NOT(ISERROR(SEARCH("Earth",B104)))</formula>
    </cfRule>
    <cfRule type="containsText" dxfId="49" priority="79" operator="containsText" text="Water">
      <formula>NOT(ISERROR(SEARCH("Water",B104)))</formula>
    </cfRule>
    <cfRule type="containsText" dxfId="48" priority="78" operator="containsText" text="Fire">
      <formula>NOT(ISERROR(SEARCH("Fire",B104)))</formula>
    </cfRule>
    <cfRule type="containsText" dxfId="47" priority="77" operator="containsText" text="Air">
      <formula>NOT(ISERROR(SEARCH("Air",B104)))</formula>
    </cfRule>
  </conditionalFormatting>
  <conditionalFormatting sqref="B137:B141">
    <cfRule type="containsText" dxfId="46" priority="75" operator="containsText" text="Earth">
      <formula>NOT(ISERROR(SEARCH("Earth",B137)))</formula>
    </cfRule>
    <cfRule type="containsText" dxfId="45" priority="74" operator="containsText" text="Water">
      <formula>NOT(ISERROR(SEARCH("Water",B137)))</formula>
    </cfRule>
    <cfRule type="containsText" dxfId="44" priority="72" operator="containsText" text="Air">
      <formula>NOT(ISERROR(SEARCH("Air",B137)))</formula>
    </cfRule>
    <cfRule type="containsText" dxfId="43" priority="71" operator="containsText" text="Ether">
      <formula>NOT(ISERROR(SEARCH("Ether",B137)))</formula>
    </cfRule>
    <cfRule type="containsText" dxfId="42" priority="73" operator="containsText" text="Fire">
      <formula>NOT(ISERROR(SEARCH("Fire",B137)))</formula>
    </cfRule>
  </conditionalFormatting>
  <conditionalFormatting sqref="B170:B174">
    <cfRule type="containsText" dxfId="41" priority="31" operator="containsText" text="Ether">
      <formula>NOT(ISERROR(SEARCH("Ether",B170)))</formula>
    </cfRule>
    <cfRule type="containsText" dxfId="40" priority="32" operator="containsText" text="Air">
      <formula>NOT(ISERROR(SEARCH("Air",B170)))</formula>
    </cfRule>
    <cfRule type="containsText" dxfId="39" priority="33" operator="containsText" text="Fire">
      <formula>NOT(ISERROR(SEARCH("Fire",B170)))</formula>
    </cfRule>
    <cfRule type="containsText" dxfId="38" priority="34" operator="containsText" text="Water">
      <formula>NOT(ISERROR(SEARCH("Water",B170)))</formula>
    </cfRule>
    <cfRule type="containsText" dxfId="37" priority="35" operator="containsText" text="Earth">
      <formula>NOT(ISERROR(SEARCH("Earth",B170)))</formula>
    </cfRule>
  </conditionalFormatting>
  <conditionalFormatting sqref="B203:B207">
    <cfRule type="containsText" dxfId="36" priority="30" operator="containsText" text="Earth">
      <formula>NOT(ISERROR(SEARCH("Earth",B203)))</formula>
    </cfRule>
    <cfRule type="containsText" dxfId="35" priority="29" operator="containsText" text="Water">
      <formula>NOT(ISERROR(SEARCH("Water",B203)))</formula>
    </cfRule>
    <cfRule type="containsText" dxfId="34" priority="28" operator="containsText" text="Fire">
      <formula>NOT(ISERROR(SEARCH("Fire",B203)))</formula>
    </cfRule>
    <cfRule type="containsText" dxfId="33" priority="27" operator="containsText" text="Air">
      <formula>NOT(ISERROR(SEARCH("Air",B203)))</formula>
    </cfRule>
    <cfRule type="containsText" dxfId="32" priority="26" operator="containsText" text="Ether">
      <formula>NOT(ISERROR(SEARCH("Ether",B203)))</formula>
    </cfRule>
  </conditionalFormatting>
  <conditionalFormatting sqref="B236:B240">
    <cfRule type="containsText" dxfId="31" priority="24" operator="containsText" text="Water">
      <formula>NOT(ISERROR(SEARCH("Water",B236)))</formula>
    </cfRule>
    <cfRule type="containsText" dxfId="30" priority="25" operator="containsText" text="Earth">
      <formula>NOT(ISERROR(SEARCH("Earth",B236)))</formula>
    </cfRule>
    <cfRule type="containsText" dxfId="29" priority="23" operator="containsText" text="Fire">
      <formula>NOT(ISERROR(SEARCH("Fire",B236)))</formula>
    </cfRule>
    <cfRule type="containsText" dxfId="28" priority="22" operator="containsText" text="Air">
      <formula>NOT(ISERROR(SEARCH("Air",B236)))</formula>
    </cfRule>
    <cfRule type="containsText" dxfId="27" priority="21" operator="containsText" text="Ether">
      <formula>NOT(ISERROR(SEARCH("Ether",B236)))</formula>
    </cfRule>
  </conditionalFormatting>
  <conditionalFormatting sqref="B269:B273">
    <cfRule type="containsText" dxfId="26" priority="20" operator="containsText" text="Earth">
      <formula>NOT(ISERROR(SEARCH("Earth",B269)))</formula>
    </cfRule>
    <cfRule type="containsText" dxfId="25" priority="19" operator="containsText" text="Water">
      <formula>NOT(ISERROR(SEARCH("Water",B269)))</formula>
    </cfRule>
    <cfRule type="containsText" dxfId="24" priority="18" operator="containsText" text="Fire">
      <formula>NOT(ISERROR(SEARCH("Fire",B269)))</formula>
    </cfRule>
    <cfRule type="containsText" dxfId="23" priority="17" operator="containsText" text="Air">
      <formula>NOT(ISERROR(SEARCH("Air",B269)))</formula>
    </cfRule>
    <cfRule type="containsText" dxfId="22" priority="16" operator="containsText" text="Ether">
      <formula>NOT(ISERROR(SEARCH("Ether",B269)))</formula>
    </cfRule>
  </conditionalFormatting>
  <conditionalFormatting sqref="B302:B306">
    <cfRule type="containsText" dxfId="21" priority="15" operator="containsText" text="Earth">
      <formula>NOT(ISERROR(SEARCH("Earth",B302)))</formula>
    </cfRule>
    <cfRule type="containsText" dxfId="20" priority="14" operator="containsText" text="Water">
      <formula>NOT(ISERROR(SEARCH("Water",B302)))</formula>
    </cfRule>
    <cfRule type="containsText" dxfId="19" priority="13" operator="containsText" text="Fire">
      <formula>NOT(ISERROR(SEARCH("Fire",B302)))</formula>
    </cfRule>
    <cfRule type="containsText" dxfId="18" priority="12" operator="containsText" text="Air">
      <formula>NOT(ISERROR(SEARCH("Air",B302)))</formula>
    </cfRule>
    <cfRule type="containsText" dxfId="17" priority="11" operator="containsText" text="Ether">
      <formula>NOT(ISERROR(SEARCH("Ether",B302)))</formula>
    </cfRule>
  </conditionalFormatting>
  <conditionalFormatting sqref="B335:B339">
    <cfRule type="containsText" dxfId="16" priority="8" operator="containsText" text="Fire">
      <formula>NOT(ISERROR(SEARCH("Fire",B335)))</formula>
    </cfRule>
    <cfRule type="containsText" dxfId="15" priority="10" operator="containsText" text="Earth">
      <formula>NOT(ISERROR(SEARCH("Earth",B335)))</formula>
    </cfRule>
    <cfRule type="containsText" dxfId="14" priority="9" operator="containsText" text="Water">
      <formula>NOT(ISERROR(SEARCH("Water",B335)))</formula>
    </cfRule>
    <cfRule type="containsText" dxfId="13" priority="7" operator="containsText" text="Air">
      <formula>NOT(ISERROR(SEARCH("Air",B335)))</formula>
    </cfRule>
    <cfRule type="containsText" dxfId="12" priority="6" operator="containsText" text="Ether">
      <formula>NOT(ISERROR(SEARCH("Ether",B335)))</formula>
    </cfRule>
  </conditionalFormatting>
  <conditionalFormatting sqref="B368:B372">
    <cfRule type="containsText" dxfId="11" priority="2" operator="containsText" text="Air">
      <formula>NOT(ISERROR(SEARCH("Air",B368)))</formula>
    </cfRule>
    <cfRule type="containsText" dxfId="10" priority="3" operator="containsText" text="Fire">
      <formula>NOT(ISERROR(SEARCH("Fire",B368)))</formula>
    </cfRule>
    <cfRule type="containsText" dxfId="9" priority="4" operator="containsText" text="Water">
      <formula>NOT(ISERROR(SEARCH("Water",B368)))</formula>
    </cfRule>
    <cfRule type="containsText" dxfId="8" priority="5" operator="containsText" text="Earth">
      <formula>NOT(ISERROR(SEARCH("Earth",B368)))</formula>
    </cfRule>
    <cfRule type="containsText" dxfId="7" priority="1" operator="containsText" text="Ether">
      <formula>NOT(ISERROR(SEARCH("Ether",B368)))</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7D4AF-D018-4CB2-9C1D-8FC5D64D4B58}">
  <dimension ref="A1:V70"/>
  <sheetViews>
    <sheetView topLeftCell="L1" zoomScale="109" zoomScaleNormal="66" workbookViewId="0">
      <selection activeCell="V2" sqref="V2"/>
    </sheetView>
  </sheetViews>
  <sheetFormatPr defaultRowHeight="14.4"/>
  <cols>
    <col min="1" max="1" width="9.5546875" bestFit="1" customWidth="1"/>
    <col min="2" max="2" width="18" bestFit="1" customWidth="1"/>
    <col min="3" max="3" width="16.6640625" style="19" bestFit="1" customWidth="1"/>
    <col min="4" max="4" width="12" style="19" bestFit="1" customWidth="1"/>
    <col min="5" max="5" width="17.88671875" bestFit="1" customWidth="1"/>
    <col min="6" max="6" width="11.77734375" bestFit="1" customWidth="1"/>
    <col min="7" max="7" width="10.21875" bestFit="1" customWidth="1"/>
    <col min="8" max="8" width="14.88671875" bestFit="1" customWidth="1"/>
    <col min="9" max="9" width="9" bestFit="1" customWidth="1"/>
    <col min="10" max="10" width="14.88671875" bestFit="1" customWidth="1"/>
    <col min="11" max="11" width="22.44140625" bestFit="1" customWidth="1"/>
    <col min="12" max="12" width="15.6640625" bestFit="1" customWidth="1"/>
    <col min="13" max="13" width="14.77734375" bestFit="1" customWidth="1"/>
    <col min="14" max="14" width="24.109375" bestFit="1" customWidth="1"/>
    <col min="15" max="15" width="14" bestFit="1" customWidth="1"/>
    <col min="16" max="16" width="23.5546875" bestFit="1" customWidth="1"/>
    <col min="17" max="17" width="14.33203125" bestFit="1" customWidth="1"/>
    <col min="18" max="18" width="14.88671875" bestFit="1" customWidth="1"/>
    <col min="19" max="19" width="16" bestFit="1" customWidth="1"/>
    <col min="20" max="20" width="30.5546875" bestFit="1" customWidth="1"/>
    <col min="21" max="21" width="37.44140625" bestFit="1" customWidth="1"/>
    <col min="22" max="22" width="32.5546875" bestFit="1" customWidth="1"/>
  </cols>
  <sheetData>
    <row r="1" spans="1:22" s="20" customFormat="1" ht="12">
      <c r="A1" s="81" t="s">
        <v>2</v>
      </c>
      <c r="B1" s="81" t="s">
        <v>4</v>
      </c>
      <c r="C1" s="82" t="s">
        <v>2159</v>
      </c>
      <c r="D1" s="82" t="s">
        <v>251</v>
      </c>
      <c r="E1" s="81" t="s">
        <v>40</v>
      </c>
      <c r="F1" s="81" t="s">
        <v>16</v>
      </c>
      <c r="G1" s="81" t="s">
        <v>19</v>
      </c>
      <c r="H1" s="81" t="s">
        <v>22</v>
      </c>
      <c r="I1" s="81" t="s">
        <v>25</v>
      </c>
      <c r="J1" s="81" t="s">
        <v>27</v>
      </c>
      <c r="K1" s="81" t="s">
        <v>29</v>
      </c>
      <c r="L1" s="81" t="s">
        <v>31</v>
      </c>
      <c r="M1" s="83" t="s">
        <v>123</v>
      </c>
      <c r="N1" s="83" t="s">
        <v>447</v>
      </c>
      <c r="O1" s="463" t="s">
        <v>166</v>
      </c>
      <c r="P1" s="463" t="s">
        <v>2164</v>
      </c>
      <c r="Q1" s="463" t="s">
        <v>453</v>
      </c>
      <c r="R1" s="463" t="s">
        <v>451</v>
      </c>
      <c r="S1" s="463" t="s">
        <v>452</v>
      </c>
      <c r="T1" s="463" t="s">
        <v>448</v>
      </c>
      <c r="U1" s="463" t="s">
        <v>566</v>
      </c>
      <c r="V1" s="525" t="s">
        <v>254</v>
      </c>
    </row>
    <row r="2" spans="1:22">
      <c r="A2" t="str">
        <f>INTRO!C2</f>
        <v>F1.1</v>
      </c>
      <c r="B2" s="6" t="str">
        <f>INTRO!C3</f>
        <v>Months of Runway</v>
      </c>
      <c r="C2" s="19" t="str">
        <f>INTRO!C4</f>
        <v>Deimantas</v>
      </c>
      <c r="D2" s="46" t="s">
        <v>103</v>
      </c>
      <c r="E2" t="s">
        <v>42</v>
      </c>
      <c r="F2" s="21" t="s">
        <v>43</v>
      </c>
      <c r="G2" s="22">
        <v>1</v>
      </c>
      <c r="H2" s="23" t="s">
        <v>24</v>
      </c>
      <c r="I2" s="18">
        <f>FACE_MODELS!B19*J2</f>
        <v>5.322742857142857</v>
      </c>
      <c r="J2" s="32">
        <v>12</v>
      </c>
      <c r="K2" s="24">
        <v>1</v>
      </c>
      <c r="L2" s="193">
        <f>MAX(0,MIN(1, (I2-K2)/(J2-K2)))</f>
        <v>0.39297662337662337</v>
      </c>
      <c r="M2" s="196">
        <f t="shared" ref="M2:M13" si="0">L2*G2</f>
        <v>0.39297662337662337</v>
      </c>
      <c r="N2" s="197">
        <f>DODECA_ENGINE!K2</f>
        <v>0.23961225216342069</v>
      </c>
      <c r="O2" s="155">
        <f>_xlfn.XLOOKUP(KPI_DATABASE!D2,DODECA_ENGINE!$B$65:$B$76,DODECA_ENGINE!$C$65:$C$76)</f>
        <v>0</v>
      </c>
      <c r="P2" s="526">
        <f>IFERROR(_xlfn.XLOOKUP(KPI_Database[[#This Row],[Face_ID]], DODECA_ENGINE!$B$108:$B$119,DODECA_ENGINE!$E$108:$E$119), 0)</f>
        <v>0</v>
      </c>
      <c r="Q2" s="464">
        <v>12</v>
      </c>
      <c r="R2" s="465" t="s">
        <v>454</v>
      </c>
      <c r="S2" s="465" t="s">
        <v>454</v>
      </c>
      <c r="T2" s="155" t="s">
        <v>449</v>
      </c>
      <c r="U2" s="513" t="str">
        <f>IFERROR(IF(O2&gt;0,(((_xlfn.IFNA(INDEX(DODECA_ENGINE!$L$108:$L$117, MATCH(B2, DODECA_ENGINE!$C$108:$C$117, 0)), NA()))*KPI_Database[[#This Row],[Value]])/KPI_Database[[#This Row],[K_Normalized]]),  "Pause &amp; Rebalance. Focus on Positive Deltas"),  "Pause &amp; Rebalance. Focus on Positive Deltas")</f>
        <v>Pause &amp; Rebalance. Focus on Positive Deltas</v>
      </c>
      <c r="V2" s="513" t="str">
        <f>IFERROR(IF(P2&gt;0,(((_xlfn.IFNA(INDEX(DODECA_ENGINE!$L$108:$L$117, MATCH(B2, DODECA_ENGINE!$C$108:$C$117, 0)), NA()))*KPI_Database[[#This Row],[Value]])/KPI_Database[[#This Row],[K_Normalized]]),  "Pause &amp; Rebalance. Focus on Positive Deltas"),  "Pause &amp; Rebalance. Focus on Positive Deltas")</f>
        <v>Pause &amp; Rebalance. Focus on Positive Deltas</v>
      </c>
    </row>
    <row r="3" spans="1:22">
      <c r="A3" t="s">
        <v>82</v>
      </c>
      <c r="B3" s="6" t="s">
        <v>102</v>
      </c>
      <c r="C3" s="19" t="s">
        <v>41</v>
      </c>
      <c r="D3" s="46" t="s">
        <v>104</v>
      </c>
      <c r="E3" t="s">
        <v>42</v>
      </c>
      <c r="F3" s="21" t="s">
        <v>43</v>
      </c>
      <c r="G3" s="22">
        <v>1</v>
      </c>
      <c r="H3" s="23" t="s">
        <v>118</v>
      </c>
      <c r="I3" s="18">
        <f>FACE_MODELS!B52*J3</f>
        <v>60.937142857142867</v>
      </c>
      <c r="J3" s="33">
        <v>100</v>
      </c>
      <c r="K3" s="24">
        <v>0</v>
      </c>
      <c r="L3" s="194">
        <f>MAX(0,MIN(1, (I3-K3)/(J3-K3)))</f>
        <v>0.60937142857142867</v>
      </c>
      <c r="M3" s="196">
        <f t="shared" si="0"/>
        <v>0.60937142857142867</v>
      </c>
      <c r="N3" s="197">
        <f>DODECA_ENGINE!K3</f>
        <v>0.40086371970020074</v>
      </c>
      <c r="O3" s="155">
        <f>_xlfn.XLOOKUP(KPI_DATABASE!D3,DODECA_ENGINE!$B$65:$B$76,DODECA_ENGINE!$C$65:$C$76)</f>
        <v>-0.40799999999999997</v>
      </c>
      <c r="P3" s="526">
        <f>IFERROR(_xlfn.XLOOKUP(KPI_Database[[#This Row],[Face_ID]], DODECA_ENGINE!$B$108:$B$119,DODECA_ENGINE!$E$108:$E$119), 0)</f>
        <v>-0.10074403722617682</v>
      </c>
      <c r="Q3" s="464">
        <v>100</v>
      </c>
      <c r="R3" s="465" t="s">
        <v>454</v>
      </c>
      <c r="S3" s="465" t="s">
        <v>454</v>
      </c>
      <c r="T3" s="155" t="s">
        <v>455</v>
      </c>
      <c r="U3" s="513" t="str">
        <f>IFERROR(IF(O3&gt;0,(((_xlfn.IFNA(INDEX(DODECA_ENGINE!$L$108:$L$117, MATCH(B3, DODECA_ENGINE!$C$108:$C$117, 0)), NA()))*KPI_Database[[#This Row],[Value]])/KPI_Database[[#This Row],[K_Normalized]]),  "Pause &amp; Rebalance. Focus on Positive Deltas"),  "Pause &amp; Rebalance. Focus on Positive Deltas")</f>
        <v>Pause &amp; Rebalance. Focus on Positive Deltas</v>
      </c>
      <c r="V3" s="513" t="str">
        <f>IFERROR(IF(P3&gt;0,(((_xlfn.IFNA(INDEX(DODECA_ENGINE!$L$108:$L$117, MATCH(B3, DODECA_ENGINE!$C$108:$C$117, 0)), NA()))*KPI_Database[[#This Row],[Value]])/KPI_Database[[#This Row],[K_Normalized]]),  "Pause &amp; Rebalance. Focus on Positive Deltas"),  "Pause &amp; Rebalance. Focus on Positive Deltas")</f>
        <v>Pause &amp; Rebalance. Focus on Positive Deltas</v>
      </c>
    </row>
    <row r="4" spans="1:22">
      <c r="A4" t="s">
        <v>2053</v>
      </c>
      <c r="B4" s="6" t="s">
        <v>101</v>
      </c>
      <c r="C4" s="19" t="s">
        <v>41</v>
      </c>
      <c r="D4" s="46" t="s">
        <v>105</v>
      </c>
      <c r="E4" t="s">
        <v>42</v>
      </c>
      <c r="F4" s="21" t="s">
        <v>47</v>
      </c>
      <c r="G4" s="22">
        <v>1</v>
      </c>
      <c r="H4" s="23" t="s">
        <v>2160</v>
      </c>
      <c r="I4" s="18">
        <f>KPI_Database[[#This Row],[Target_Ideal]]*FACE_MODELS!B85</f>
        <v>5.3743999999999996</v>
      </c>
      <c r="J4" s="33">
        <v>7</v>
      </c>
      <c r="K4" s="24">
        <v>5</v>
      </c>
      <c r="L4" s="194">
        <f>IF(AND(I4 &gt;= Q4, I4 &lt;= R4), 1, IF(I4 &lt; Q4, MAX(0, (I4 - K4) / (Q4 - K4)), MAX(0, 1 - (I4 - R4) / (S4 - R4))))</f>
        <v>0.18719999999999981</v>
      </c>
      <c r="M4" s="196">
        <f t="shared" si="0"/>
        <v>0.18719999999999981</v>
      </c>
      <c r="N4" s="197">
        <f>DODECA_ENGINE!K4</f>
        <v>0.16559188153585278</v>
      </c>
      <c r="O4" s="155">
        <f>_xlfn.XLOOKUP(KPI_DATABASE!D4,DODECA_ENGINE!$B$65:$B$76,DODECA_ENGINE!$C$65:$C$76)</f>
        <v>0.40799999999999997</v>
      </c>
      <c r="P4" s="526">
        <f>IFERROR(_xlfn.XLOOKUP(KPI_Database[[#This Row],[Face_ID]], DODECA_ENGINE!$B$108:$B$119,DODECA_ENGINE!$E$108:$E$119), 0)</f>
        <v>0.10074403722617682</v>
      </c>
      <c r="Q4" s="464">
        <v>7</v>
      </c>
      <c r="R4" s="464">
        <v>8.5</v>
      </c>
      <c r="S4" s="464">
        <v>10</v>
      </c>
      <c r="T4" s="155" t="s">
        <v>450</v>
      </c>
      <c r="U4" s="513">
        <f>IFERROR(IF(O4&gt;0,(((_xlfn.IFNA(INDEX(DODECA_ENGINE!$L$108:$L$117, MATCH(B4, DODECA_ENGINE!$C$108:$C$117, 0)), NA()))*KPI_Database[[#This Row],[Value]])/KPI_Database[[#This Row],[K_Normalized]]),  "Pause &amp; Rebalance. Focus on Positive Deltas"),  "Pause &amp; Rebalance. Focus on Positive Deltas")</f>
        <v>8.6441179876607439</v>
      </c>
      <c r="V4" s="513">
        <f>IFERROR(IF(P4&gt;0,(((_xlfn.IFNA(INDEX(DODECA_ENGINE!$L$108:$L$117, MATCH(B4, DODECA_ENGINE!$C$108:$C$117, 0)), NA()))*KPI_Database[[#This Row],[Value]])/KPI_Database[[#This Row],[K_Normalized]]),  "Pause &amp; Rebalance. Focus on Positive Deltas"),  "Pause &amp; Rebalance. Focus on Positive Deltas")</f>
        <v>8.6441179876607439</v>
      </c>
    </row>
    <row r="5" spans="1:22">
      <c r="A5" t="s">
        <v>83</v>
      </c>
      <c r="B5" s="6" t="s">
        <v>100</v>
      </c>
      <c r="C5" s="19" t="s">
        <v>41</v>
      </c>
      <c r="D5" s="46" t="s">
        <v>106</v>
      </c>
      <c r="E5" t="s">
        <v>42</v>
      </c>
      <c r="F5" s="21" t="s">
        <v>43</v>
      </c>
      <c r="G5" s="22">
        <v>1</v>
      </c>
      <c r="H5" s="23" t="s">
        <v>118</v>
      </c>
      <c r="I5" s="18">
        <f>FACE_MODELS!B118*J5</f>
        <v>37.200000000000003</v>
      </c>
      <c r="J5" s="33">
        <v>100</v>
      </c>
      <c r="K5" s="24">
        <v>0</v>
      </c>
      <c r="L5" s="194">
        <f t="shared" ref="L5:L13" si="1">MAX(0,MIN(1, (I5-K5)/(J5-K5)))</f>
        <v>0.37200000000000005</v>
      </c>
      <c r="M5" s="196">
        <f t="shared" si="0"/>
        <v>0.37200000000000005</v>
      </c>
      <c r="N5" s="197">
        <f>DODECA_ENGINE!K5</f>
        <v>0.24478839508550371</v>
      </c>
      <c r="O5" s="155">
        <f>_xlfn.XLOOKUP(KPI_DATABASE!D5,DODECA_ENGINE!$B$65:$B$76,DODECA_ENGINE!$C$65:$C$76)</f>
        <v>0</v>
      </c>
      <c r="P5" s="526">
        <f>IFERROR(_xlfn.XLOOKUP(KPI_Database[[#This Row],[Face_ID]], DODECA_ENGINE!$B$108:$B$119,DODECA_ENGINE!$E$108:$E$119), 0)</f>
        <v>0</v>
      </c>
      <c r="Q5" s="464">
        <v>100</v>
      </c>
      <c r="R5" s="465" t="s">
        <v>454</v>
      </c>
      <c r="S5" s="465" t="s">
        <v>454</v>
      </c>
      <c r="T5" s="155" t="s">
        <v>456</v>
      </c>
      <c r="U5" s="513" t="str">
        <f>IFERROR(IF(O5&gt;0,(((_xlfn.IFNA(INDEX(DODECA_ENGINE!$L$108:$L$117, MATCH(B5, DODECA_ENGINE!$C$108:$C$117, 0)), NA()))*KPI_Database[[#This Row],[Value]])/KPI_Database[[#This Row],[K_Normalized]]),  "Pause &amp; Rebalance. Focus on Positive Deltas"),  "Pause &amp; Rebalance. Focus on Positive Deltas")</f>
        <v>Pause &amp; Rebalance. Focus on Positive Deltas</v>
      </c>
      <c r="V5" s="513" t="str">
        <f>IFERROR(IF(P5&gt;0,(((_xlfn.IFNA(INDEX(DODECA_ENGINE!$L$108:$L$117, MATCH(B5, DODECA_ENGINE!$C$108:$C$117, 0)), NA()))*KPI_Database[[#This Row],[Value]])/KPI_Database[[#This Row],[K_Normalized]]),  "Pause &amp; Rebalance. Focus on Positive Deltas"),  "Pause &amp; Rebalance. Focus on Positive Deltas")</f>
        <v>Pause &amp; Rebalance. Focus on Positive Deltas</v>
      </c>
    </row>
    <row r="6" spans="1:22">
      <c r="A6" t="s">
        <v>84</v>
      </c>
      <c r="B6" s="6" t="s">
        <v>99</v>
      </c>
      <c r="C6" s="19" t="s">
        <v>41</v>
      </c>
      <c r="D6" s="46" t="s">
        <v>107</v>
      </c>
      <c r="E6" t="s">
        <v>42</v>
      </c>
      <c r="F6" s="21" t="s">
        <v>43</v>
      </c>
      <c r="G6" s="22">
        <v>1</v>
      </c>
      <c r="H6" s="23" t="s">
        <v>119</v>
      </c>
      <c r="I6" s="18">
        <f>KPI_Database[[#This Row],[Target_Ideal]]*FACE_MODELS!B151</f>
        <v>1.2905279999999999</v>
      </c>
      <c r="J6" s="33">
        <v>4.5</v>
      </c>
      <c r="K6" s="24">
        <v>2</v>
      </c>
      <c r="L6" s="194">
        <f t="shared" si="1"/>
        <v>0</v>
      </c>
      <c r="M6" s="196">
        <f t="shared" si="0"/>
        <v>0</v>
      </c>
      <c r="N6" s="197">
        <f>DODECA_ENGINE!K6</f>
        <v>4.6253795033477547E-2</v>
      </c>
      <c r="O6" s="155">
        <f>_xlfn.XLOOKUP(KPI_DATABASE!D6,DODECA_ENGINE!$B$65:$B$76,DODECA_ENGINE!$C$65:$C$76)</f>
        <v>0.16200000000000001</v>
      </c>
      <c r="P6" s="528">
        <f>IFERROR(_xlfn.XLOOKUP(KPI_Database[[#This Row],[Face_ID]], DODECA_ENGINE!$B$108:$B$119,DODECA_ENGINE!$E$108:$E$119), 0)</f>
        <v>4.0001308898629039E-2</v>
      </c>
      <c r="Q6" s="527">
        <v>4.5</v>
      </c>
      <c r="R6" s="465" t="s">
        <v>454</v>
      </c>
      <c r="S6" s="465" t="s">
        <v>454</v>
      </c>
      <c r="T6" s="155" t="s">
        <v>457</v>
      </c>
      <c r="U6" s="513" t="str">
        <f>IFERROR(IF(O6&gt;0,(((_xlfn.IFNA(INDEX(DODECA_ENGINE!$L$108:$L$117, MATCH(B6, DODECA_ENGINE!$C$108:$C$117, 0)), NA()))*KPI_Database[[#This Row],[Value]])/KPI_Database[[#This Row],[K_Normalized]]),  "Pause &amp; Rebalance. Focus on Positive Deltas"),  "Pause &amp; Rebalance. Focus on Positive Deltas")</f>
        <v>Pause &amp; Rebalance. Focus on Positive Deltas</v>
      </c>
      <c r="V6" s="513" t="str">
        <f>IFERROR(IF(P6&gt;0,(((_xlfn.IFNA(INDEX(DODECA_ENGINE!$L$108:$L$117, MATCH(B6, DODECA_ENGINE!$C$108:$C$117, 0)), NA()))*KPI_Database[[#This Row],[Value]])/KPI_Database[[#This Row],[K_Normalized]]),  "Pause &amp; Rebalance. Focus on Positive Deltas"),  "Pause &amp; Rebalance. Focus on Positive Deltas")</f>
        <v>Pause &amp; Rebalance. Focus on Positive Deltas</v>
      </c>
    </row>
    <row r="7" spans="1:22">
      <c r="A7" t="s">
        <v>85</v>
      </c>
      <c r="B7" s="6" t="s">
        <v>98</v>
      </c>
      <c r="C7" s="19" t="s">
        <v>41</v>
      </c>
      <c r="D7" s="46" t="s">
        <v>108</v>
      </c>
      <c r="E7" t="s">
        <v>42</v>
      </c>
      <c r="F7" s="21" t="s">
        <v>43</v>
      </c>
      <c r="G7" s="22">
        <v>1</v>
      </c>
      <c r="H7" s="23" t="s">
        <v>120</v>
      </c>
      <c r="I7" s="18">
        <f>FACE_MODELS!B184*J7</f>
        <v>1.6099047619047619</v>
      </c>
      <c r="J7" s="33">
        <v>4</v>
      </c>
      <c r="K7" s="24">
        <v>0</v>
      </c>
      <c r="L7" s="194">
        <f t="shared" si="1"/>
        <v>0.40247619047619049</v>
      </c>
      <c r="M7" s="196">
        <f t="shared" si="0"/>
        <v>0.40247619047619049</v>
      </c>
      <c r="N7" s="197">
        <f>DODECA_ENGINE!K7</f>
        <v>0.24689937774340731</v>
      </c>
      <c r="O7" s="155">
        <f>_xlfn.XLOOKUP(KPI_DATABASE!D7,DODECA_ENGINE!$B$65:$B$76,DODECA_ENGINE!$C$65:$C$76)</f>
        <v>0.25</v>
      </c>
      <c r="P7" s="526">
        <f>IFERROR(_xlfn.XLOOKUP(KPI_Database[[#This Row],[Face_ID]], DODECA_ENGINE!$B$108:$B$119,DODECA_ENGINE!$E$108:$E$119), 0)</f>
        <v>6.1730414967020114E-2</v>
      </c>
      <c r="Q7" s="464">
        <v>2</v>
      </c>
      <c r="R7" s="464">
        <v>4</v>
      </c>
      <c r="S7" s="464">
        <v>8</v>
      </c>
      <c r="T7" s="155" t="s">
        <v>458</v>
      </c>
      <c r="U7" s="513">
        <f>IFERROR(IF(O7&gt;0,(((_xlfn.IFNA(INDEX(DODECA_ENGINE!$L$108:$L$117, MATCH(B7, DODECA_ENGINE!$C$108:$C$117, 0)), NA()))*KPI_Database[[#This Row],[Value]])/KPI_Database[[#This Row],[K_Normalized]]),  "Pause &amp; Rebalance. Focus on Positive Deltas"),  "Pause &amp; Rebalance. Focus on Positive Deltas")</f>
        <v>2.0124172749700824</v>
      </c>
      <c r="V7" s="513">
        <f>IFERROR(IF(P7&gt;0,(((_xlfn.IFNA(INDEX(DODECA_ENGINE!$L$108:$L$117, MATCH(B7, DODECA_ENGINE!$C$108:$C$117, 0)), NA()))*KPI_Database[[#This Row],[Value]])/KPI_Database[[#This Row],[K_Normalized]]),  "Pause &amp; Rebalance. Focus on Positive Deltas"),  "Pause &amp; Rebalance. Focus on Positive Deltas")</f>
        <v>2.0124172749700824</v>
      </c>
    </row>
    <row r="8" spans="1:22">
      <c r="A8" t="s">
        <v>86</v>
      </c>
      <c r="B8" s="6" t="s">
        <v>97</v>
      </c>
      <c r="C8" s="19" t="s">
        <v>41</v>
      </c>
      <c r="D8" s="46" t="s">
        <v>109</v>
      </c>
      <c r="E8" t="s">
        <v>42</v>
      </c>
      <c r="F8" s="21" t="s">
        <v>43</v>
      </c>
      <c r="G8" s="22">
        <v>1</v>
      </c>
      <c r="H8" s="23" t="s">
        <v>121</v>
      </c>
      <c r="I8" s="18">
        <f>KPI_Database[[#This Row],[Target_Ideal]]*FACE_MODELS!B217</f>
        <v>0.62647619047619041</v>
      </c>
      <c r="J8" s="33">
        <v>2</v>
      </c>
      <c r="K8" s="24">
        <v>0</v>
      </c>
      <c r="L8" s="194">
        <f t="shared" si="1"/>
        <v>0.3132380952380952</v>
      </c>
      <c r="M8" s="196">
        <f t="shared" si="0"/>
        <v>0.3132380952380952</v>
      </c>
      <c r="N8" s="197">
        <f>DODECA_ENGINE!K8</f>
        <v>0.2081301969966585</v>
      </c>
      <c r="O8" s="155">
        <f>_xlfn.XLOOKUP(KPI_DATABASE!D8,DODECA_ENGINE!$B$65:$B$76,DODECA_ENGINE!$C$65:$C$76)</f>
        <v>-0.25</v>
      </c>
      <c r="P8" s="526">
        <f>IFERROR(_xlfn.XLOOKUP(KPI_Database[[#This Row],[Face_ID]], DODECA_ENGINE!$B$108:$B$119,DODECA_ENGINE!$E$108:$E$119), 0)</f>
        <v>-6.1730414967020114E-2</v>
      </c>
      <c r="Q8" s="464">
        <v>2</v>
      </c>
      <c r="R8" s="465" t="s">
        <v>454</v>
      </c>
      <c r="S8" s="465" t="s">
        <v>454</v>
      </c>
      <c r="T8" s="155" t="s">
        <v>459</v>
      </c>
      <c r="U8" s="513" t="str">
        <f>IFERROR(IF(O8&gt;0,(((_xlfn.IFNA(INDEX(DODECA_ENGINE!$L$108:$L$117, MATCH(B8, DODECA_ENGINE!$C$108:$C$117, 0)), NA()))*KPI_Database[[#This Row],[Value]])/KPI_Database[[#This Row],[K_Normalized]]),  "Pause &amp; Rebalance. Focus on Positive Deltas"),  "Pause &amp; Rebalance. Focus on Positive Deltas")</f>
        <v>Pause &amp; Rebalance. Focus on Positive Deltas</v>
      </c>
      <c r="V8" s="513" t="str">
        <f>IFERROR(IF(P8&gt;0,(((_xlfn.IFNA(INDEX(DODECA_ENGINE!$L$108:$L$117, MATCH(B8, DODECA_ENGINE!$C$108:$C$117, 0)), NA()))*KPI_Database[[#This Row],[Value]])/KPI_Database[[#This Row],[K_Normalized]]),  "Pause &amp; Rebalance. Focus on Positive Deltas"),  "Pause &amp; Rebalance. Focus on Positive Deltas")</f>
        <v>Pause &amp; Rebalance. Focus on Positive Deltas</v>
      </c>
    </row>
    <row r="9" spans="1:22">
      <c r="A9" t="s">
        <v>87</v>
      </c>
      <c r="B9" s="6" t="s">
        <v>96</v>
      </c>
      <c r="C9" s="19" t="s">
        <v>41</v>
      </c>
      <c r="D9" s="46" t="s">
        <v>110</v>
      </c>
      <c r="E9" t="s">
        <v>42</v>
      </c>
      <c r="F9" s="21" t="s">
        <v>43</v>
      </c>
      <c r="G9" s="22">
        <v>1</v>
      </c>
      <c r="H9" s="23" t="s">
        <v>122</v>
      </c>
      <c r="I9" s="18">
        <f>KPI_Database[[#This Row],[Target_Ideal]]*FACE_MODELS!B250</f>
        <v>0.4074028686173265</v>
      </c>
      <c r="J9" s="33">
        <v>1</v>
      </c>
      <c r="K9" s="24">
        <v>0</v>
      </c>
      <c r="L9" s="194">
        <f>MAX(0,MIN(1, (I9-K9)/(J9-K9)))</f>
        <v>0.4074028686173265</v>
      </c>
      <c r="M9" s="196">
        <f t="shared" si="0"/>
        <v>0.4074028686173265</v>
      </c>
      <c r="N9" s="197">
        <f>DODECA_ENGINE!K9</f>
        <v>0.22089121833354255</v>
      </c>
      <c r="O9" s="155">
        <f>_xlfn.XLOOKUP(KPI_DATABASE!D9,DODECA_ENGINE!$B$65:$B$76,DODECA_ENGINE!$C$65:$C$76)</f>
        <v>0.25</v>
      </c>
      <c r="P9" s="526">
        <f>IFERROR(_xlfn.XLOOKUP(KPI_Database[[#This Row],[Face_ID]], DODECA_ENGINE!$B$108:$B$119,DODECA_ENGINE!$E$108:$E$119), 0)</f>
        <v>6.1730414967020114E-2</v>
      </c>
      <c r="Q9" s="464">
        <v>1</v>
      </c>
      <c r="R9" s="465" t="s">
        <v>454</v>
      </c>
      <c r="S9" s="465" t="s">
        <v>454</v>
      </c>
      <c r="T9" s="155" t="s">
        <v>460</v>
      </c>
      <c r="U9" s="513">
        <f>IFERROR(IF(O9&gt;0,(((_xlfn.IFNA(INDEX(DODECA_ENGINE!$L$108:$L$117, MATCH(B9, DODECA_ENGINE!$C$108:$C$117, 0)), NA()))*KPI_Database[[#This Row],[Value]])/KPI_Database[[#This Row],[K_Normalized]]),  "Pause &amp; Rebalance. Focus on Positive Deltas"),  "Pause &amp; Rebalance. Focus on Positive Deltas")</f>
        <v>0.52125596032569443</v>
      </c>
      <c r="V9" s="513">
        <f>IFERROR(IF(P9&gt;0,(((_xlfn.IFNA(INDEX(DODECA_ENGINE!$L$108:$L$117, MATCH(B9, DODECA_ENGINE!$C$108:$C$117, 0)), NA()))*KPI_Database[[#This Row],[Value]])/KPI_Database[[#This Row],[K_Normalized]]),  "Pause &amp; Rebalance. Focus on Positive Deltas"),  "Pause &amp; Rebalance. Focus on Positive Deltas")</f>
        <v>0.52125596032569443</v>
      </c>
    </row>
    <row r="10" spans="1:22">
      <c r="A10" t="s">
        <v>88</v>
      </c>
      <c r="B10" s="6" t="s">
        <v>95</v>
      </c>
      <c r="C10" s="19" t="s">
        <v>41</v>
      </c>
      <c r="D10" s="46" t="s">
        <v>111</v>
      </c>
      <c r="E10" t="s">
        <v>42</v>
      </c>
      <c r="F10" s="21" t="s">
        <v>43</v>
      </c>
      <c r="G10" s="22">
        <v>1</v>
      </c>
      <c r="H10" s="23" t="s">
        <v>120</v>
      </c>
      <c r="I10" s="18">
        <f>KPI_Database[[#This Row],[Target_Ideal]]*FACE_MODELS!B283</f>
        <v>6.7021333333333333</v>
      </c>
      <c r="J10" s="33">
        <v>10</v>
      </c>
      <c r="K10" s="24">
        <v>0</v>
      </c>
      <c r="L10" s="194">
        <f t="shared" si="1"/>
        <v>0.67021333333333333</v>
      </c>
      <c r="M10" s="196">
        <f t="shared" si="0"/>
        <v>0.67021333333333333</v>
      </c>
      <c r="N10" s="197">
        <f>DODECA_ENGINE!K10</f>
        <v>0.43834355530707869</v>
      </c>
      <c r="O10" s="155">
        <f>_xlfn.XLOOKUP(KPI_DATABASE!D10,DODECA_ENGINE!$B$65:$B$76,DODECA_ENGINE!$C$65:$C$76)</f>
        <v>-0.25</v>
      </c>
      <c r="P10" s="526">
        <f>IFERROR(_xlfn.XLOOKUP(KPI_Database[[#This Row],[Face_ID]], DODECA_ENGINE!$B$108:$B$119,DODECA_ENGINE!$E$108:$E$119), 0)</f>
        <v>-6.1730414967020114E-2</v>
      </c>
      <c r="Q10" s="466">
        <v>1</v>
      </c>
      <c r="R10" s="465" t="s">
        <v>454</v>
      </c>
      <c r="S10" s="465" t="s">
        <v>454</v>
      </c>
      <c r="T10" s="155" t="s">
        <v>461</v>
      </c>
      <c r="U10" s="513" t="str">
        <f>IFERROR(IF(O10&gt;0,(((_xlfn.IFNA(INDEX(DODECA_ENGINE!$L$108:$L$117, MATCH(B10, DODECA_ENGINE!$C$108:$C$117, 0)), NA()))*KPI_Database[[#This Row],[Value]])/KPI_Database[[#This Row],[K_Normalized]]),  "Pause &amp; Rebalance. Focus on Positive Deltas"),  "Pause &amp; Rebalance. Focus on Positive Deltas")</f>
        <v>Pause &amp; Rebalance. Focus on Positive Deltas</v>
      </c>
      <c r="V10" s="513" t="str">
        <f>IFERROR(IF(P10&gt;0,(((_xlfn.IFNA(INDEX(DODECA_ENGINE!$L$108:$L$117, MATCH(B10, DODECA_ENGINE!$C$108:$C$117, 0)), NA()))*KPI_Database[[#This Row],[Value]])/KPI_Database[[#This Row],[K_Normalized]]),  "Pause &amp; Rebalance. Focus on Positive Deltas"),  "Pause &amp; Rebalance. Focus on Positive Deltas")</f>
        <v>Pause &amp; Rebalance. Focus on Positive Deltas</v>
      </c>
    </row>
    <row r="11" spans="1:22">
      <c r="A11" t="s">
        <v>89</v>
      </c>
      <c r="B11" s="6" t="s">
        <v>94</v>
      </c>
      <c r="C11" s="19" t="s">
        <v>41</v>
      </c>
      <c r="D11" s="46" t="s">
        <v>112</v>
      </c>
      <c r="E11" t="s">
        <v>42</v>
      </c>
      <c r="F11" s="21" t="s">
        <v>43</v>
      </c>
      <c r="G11" s="22">
        <v>1</v>
      </c>
      <c r="H11" s="23" t="s">
        <v>120</v>
      </c>
      <c r="I11" s="18">
        <f>FACE_MODELS!B316*J11</f>
        <v>13.404266666666667</v>
      </c>
      <c r="J11" s="33">
        <v>20</v>
      </c>
      <c r="K11" s="24">
        <v>0</v>
      </c>
      <c r="L11" s="194">
        <f t="shared" si="1"/>
        <v>0.67021333333333333</v>
      </c>
      <c r="M11" s="196">
        <f t="shared" si="0"/>
        <v>0.67021333333333333</v>
      </c>
      <c r="N11" s="197">
        <f>DODECA_ENGINE!K11</f>
        <v>0.41628415530129803</v>
      </c>
      <c r="O11" s="155">
        <f>_xlfn.XLOOKUP(KPI_DATABASE!D11,DODECA_ENGINE!$B$65:$B$76,DODECA_ENGINE!$C$65:$C$76)</f>
        <v>-0.125</v>
      </c>
      <c r="P11" s="526">
        <f>IFERROR(_xlfn.XLOOKUP(KPI_Database[[#This Row],[Face_ID]], DODECA_ENGINE!$B$108:$B$119,DODECA_ENGINE!$E$108:$E$119), 0)</f>
        <v>-3.0865207483510057E-2</v>
      </c>
      <c r="Q11" s="466">
        <v>1</v>
      </c>
      <c r="R11" s="465" t="s">
        <v>454</v>
      </c>
      <c r="S11" s="465" t="s">
        <v>454</v>
      </c>
      <c r="T11" s="155" t="s">
        <v>462</v>
      </c>
      <c r="U11" s="513" t="str">
        <f>IFERROR(IF(O11&gt;0,(((_xlfn.IFNA(INDEX(DODECA_ENGINE!$L$108:$L$117, MATCH(B11, DODECA_ENGINE!$C$108:$C$117, 0)), NA()))*KPI_Database[[#This Row],[Value]])/KPI_Database[[#This Row],[K_Normalized]]),  "Pause &amp; Rebalance. Focus on Positive Deltas"),  "Pause &amp; Rebalance. Focus on Positive Deltas")</f>
        <v>Pause &amp; Rebalance. Focus on Positive Deltas</v>
      </c>
      <c r="V11" s="513" t="str">
        <f>IFERROR(IF(P11&gt;0,(((_xlfn.IFNA(INDEX(DODECA_ENGINE!$L$108:$L$117, MATCH(B11, DODECA_ENGINE!$C$108:$C$117, 0)), NA()))*KPI_Database[[#This Row],[Value]])/KPI_Database[[#This Row],[K_Normalized]]),  "Pause &amp; Rebalance. Focus on Positive Deltas"),  "Pause &amp; Rebalance. Focus on Positive Deltas")</f>
        <v>Pause &amp; Rebalance. Focus on Positive Deltas</v>
      </c>
    </row>
    <row r="12" spans="1:22">
      <c r="A12" t="s">
        <v>90</v>
      </c>
      <c r="B12" s="6" t="s">
        <v>93</v>
      </c>
      <c r="C12" s="19" t="s">
        <v>41</v>
      </c>
      <c r="D12" s="46" t="s">
        <v>113</v>
      </c>
      <c r="E12" t="s">
        <v>42</v>
      </c>
      <c r="F12" s="21" t="s">
        <v>43</v>
      </c>
      <c r="G12" s="22">
        <v>1</v>
      </c>
      <c r="H12" s="23" t="s">
        <v>120</v>
      </c>
      <c r="I12" s="18">
        <f>KPI_Database[[#This Row],[Target_Ideal]]*FACE_MODELS!B349</f>
        <v>0.7698438095238096</v>
      </c>
      <c r="J12" s="33">
        <v>4</v>
      </c>
      <c r="K12" s="24">
        <v>0</v>
      </c>
      <c r="L12" s="194">
        <f t="shared" si="1"/>
        <v>0.1924609523809524</v>
      </c>
      <c r="M12" s="196">
        <f t="shared" si="0"/>
        <v>0.1924609523809524</v>
      </c>
      <c r="N12" s="197">
        <f>DODECA_ENGINE!K12</f>
        <v>0.12343511244618152</v>
      </c>
      <c r="O12" s="155">
        <f>_xlfn.XLOOKUP(KPI_DATABASE!D12,DODECA_ENGINE!$B$65:$B$76,DODECA_ENGINE!$C$65:$C$76)</f>
        <v>-0.5</v>
      </c>
      <c r="P12" s="526">
        <f>IFERROR(_xlfn.XLOOKUP(KPI_Database[[#This Row],[Face_ID]], DODECA_ENGINE!$B$108:$B$119,DODECA_ENGINE!$E$108:$E$119), 0)</f>
        <v>-0.12346082993404023</v>
      </c>
      <c r="Q12" s="464">
        <v>1</v>
      </c>
      <c r="R12" s="464">
        <v>4</v>
      </c>
      <c r="S12" s="464">
        <v>10</v>
      </c>
      <c r="T12" s="155" t="s">
        <v>463</v>
      </c>
      <c r="U12" s="513" t="str">
        <f>IFERROR(IF(O12&gt;0,(((_xlfn.IFNA(INDEX(DODECA_ENGINE!$L$108:$L$117, MATCH(B12, DODECA_ENGINE!$C$108:$C$117, 0)), NA()))*KPI_Database[[#This Row],[Value]])/KPI_Database[[#This Row],[K_Normalized]]),  "Pause &amp; Rebalance. Focus on Positive Deltas"),  "Pause &amp; Rebalance. Focus on Positive Deltas")</f>
        <v>Pause &amp; Rebalance. Focus on Positive Deltas</v>
      </c>
      <c r="V12" s="513" t="str">
        <f>IFERROR(IF(P12&gt;0,(((_xlfn.IFNA(INDEX(DODECA_ENGINE!$L$108:$L$117, MATCH(B12, DODECA_ENGINE!$C$108:$C$117, 0)), NA()))*KPI_Database[[#This Row],[Value]])/KPI_Database[[#This Row],[K_Normalized]]),  "Pause &amp; Rebalance. Focus on Positive Deltas"),  "Pause &amp; Rebalance. Focus on Positive Deltas")</f>
        <v>Pause &amp; Rebalance. Focus on Positive Deltas</v>
      </c>
    </row>
    <row r="13" spans="1:22">
      <c r="A13" s="27" t="s">
        <v>91</v>
      </c>
      <c r="B13" s="25" t="s">
        <v>92</v>
      </c>
      <c r="C13" s="26" t="s">
        <v>41</v>
      </c>
      <c r="D13" s="47" t="s">
        <v>114</v>
      </c>
      <c r="E13" s="27" t="s">
        <v>42</v>
      </c>
      <c r="F13" s="28" t="s">
        <v>43</v>
      </c>
      <c r="G13" s="29">
        <v>1</v>
      </c>
      <c r="H13" s="30" t="s">
        <v>120</v>
      </c>
      <c r="I13" s="18">
        <f>KPI_Database[[#This Row],[Target_Ideal]]*FACE_MODELS!B382</f>
        <v>1.2690780952380951</v>
      </c>
      <c r="J13" s="34">
        <v>2</v>
      </c>
      <c r="K13" s="31">
        <v>1</v>
      </c>
      <c r="L13" s="195">
        <f t="shared" si="1"/>
        <v>0.26907809523809512</v>
      </c>
      <c r="M13" s="196">
        <f t="shared" si="0"/>
        <v>0.26907809523809512</v>
      </c>
      <c r="N13" s="197">
        <f>DODECA_ENGINE!K13</f>
        <v>0.19632633030875329</v>
      </c>
      <c r="O13" s="155">
        <f>_xlfn.XLOOKUP(KPI_DATABASE!D13,DODECA_ENGINE!$B$65:$B$76,DODECA_ENGINE!$C$65:$C$76)</f>
        <v>0</v>
      </c>
      <c r="P13" s="526">
        <f>IFERROR(_xlfn.XLOOKUP(KPI_Database[[#This Row],[Face_ID]], DODECA_ENGINE!$B$108:$B$119,DODECA_ENGINE!$E$108:$E$119), 0)</f>
        <v>0</v>
      </c>
      <c r="Q13" s="464">
        <v>2</v>
      </c>
      <c r="R13" s="465" t="s">
        <v>454</v>
      </c>
      <c r="S13" s="465" t="s">
        <v>454</v>
      </c>
      <c r="T13" s="155" t="s">
        <v>464</v>
      </c>
      <c r="U13" s="513" t="str">
        <f>IFERROR(IF(O13&gt;0,(((_xlfn.IFNA(INDEX(DODECA_ENGINE!$L$108:$L$117, MATCH(B13, DODECA_ENGINE!$C$108:$C$117, 0)), NA()))*KPI_Database[[#This Row],[Value]])/KPI_Database[[#This Row],[K_Normalized]]),  "Pause &amp; Rebalance. Focus on Positive Deltas"),  "Pause &amp; Rebalance. Focus on Positive Deltas")</f>
        <v>Pause &amp; Rebalance. Focus on Positive Deltas</v>
      </c>
      <c r="V13" s="513" t="str">
        <f>IFERROR(IF(P13&gt;0,(((_xlfn.IFNA(INDEX(DODECA_ENGINE!$L$108:$L$117, MATCH(B13, DODECA_ENGINE!$C$108:$C$117, 0)), NA()))*KPI_Database[[#This Row],[Value]])/KPI_Database[[#This Row],[K_Normalized]]),  "Pause &amp; Rebalance. Focus on Positive Deltas"),  "Pause &amp; Rebalance. Focus on Positive Deltas")</f>
        <v>Pause &amp; Rebalance. Focus on Positive Deltas</v>
      </c>
    </row>
    <row r="16" spans="1:22" ht="15.6">
      <c r="A16" s="511" t="s">
        <v>2157</v>
      </c>
    </row>
    <row r="18" spans="1:1">
      <c r="A18" s="106" t="s">
        <v>2156</v>
      </c>
    </row>
    <row r="40" spans="1:2" ht="72">
      <c r="A40" s="219" t="s">
        <v>465</v>
      </c>
      <c r="B40" s="168" t="s">
        <v>466</v>
      </c>
    </row>
    <row r="43" spans="1:2">
      <c r="A43" s="220" t="s">
        <v>468</v>
      </c>
    </row>
    <row r="44" spans="1:2">
      <c r="A44" s="16"/>
    </row>
    <row r="45" spans="1:2">
      <c r="A45" s="221" t="s">
        <v>467</v>
      </c>
    </row>
    <row r="46" spans="1:2">
      <c r="A46" s="222"/>
    </row>
    <row r="47" spans="1:2">
      <c r="A47" s="223" t="s">
        <v>469</v>
      </c>
    </row>
    <row r="48" spans="1:2">
      <c r="A48" s="223" t="s">
        <v>470</v>
      </c>
    </row>
    <row r="49" spans="1:1">
      <c r="A49" s="223" t="s">
        <v>471</v>
      </c>
    </row>
    <row r="51" spans="1:1">
      <c r="A51" s="220" t="s">
        <v>473</v>
      </c>
    </row>
    <row r="52" spans="1:1">
      <c r="A52" s="16"/>
    </row>
    <row r="53" spans="1:1">
      <c r="A53" s="221" t="s">
        <v>472</v>
      </c>
    </row>
    <row r="54" spans="1:1">
      <c r="A54" s="222"/>
    </row>
    <row r="55" spans="1:1">
      <c r="A55" s="223" t="s">
        <v>474</v>
      </c>
    </row>
    <row r="56" spans="1:1">
      <c r="A56" s="223" t="s">
        <v>475</v>
      </c>
    </row>
    <row r="57" spans="1:1">
      <c r="A57" s="223" t="s">
        <v>476</v>
      </c>
    </row>
    <row r="58" spans="1:1">
      <c r="A58" s="224"/>
    </row>
    <row r="59" spans="1:1">
      <c r="A59" s="225" t="s">
        <v>477</v>
      </c>
    </row>
    <row r="60" spans="1:1">
      <c r="A60" s="225" t="s">
        <v>478</v>
      </c>
    </row>
    <row r="61" spans="1:1">
      <c r="A61" s="225" t="s">
        <v>479</v>
      </c>
    </row>
    <row r="62" spans="1:1">
      <c r="A62" s="223" t="s">
        <v>480</v>
      </c>
    </row>
    <row r="63" spans="1:1">
      <c r="A63" s="223" t="s">
        <v>481</v>
      </c>
    </row>
    <row r="65" spans="1:1">
      <c r="A65" s="220" t="s">
        <v>482</v>
      </c>
    </row>
    <row r="67" spans="1:1">
      <c r="A67" s="223" t="s">
        <v>484</v>
      </c>
    </row>
    <row r="68" spans="1:1" ht="15" thickBot="1">
      <c r="A68" s="223" t="s">
        <v>483</v>
      </c>
    </row>
    <row r="69" spans="1:1" ht="15" thickBot="1">
      <c r="A69" s="226"/>
    </row>
    <row r="70" spans="1:1">
      <c r="A70" s="227" t="s">
        <v>485</v>
      </c>
    </row>
  </sheetData>
  <phoneticPr fontId="14" type="noConversion"/>
  <conditionalFormatting sqref="I2:K2">
    <cfRule type="colorScale" priority="18">
      <colorScale>
        <cfvo type="min"/>
        <cfvo type="percentile" val="50"/>
        <cfvo type="max"/>
        <color rgb="FFF8696B"/>
        <color rgb="FFFFEB84"/>
        <color rgb="FF63BE7B"/>
      </colorScale>
    </cfRule>
  </conditionalFormatting>
  <conditionalFormatting sqref="I3:K3">
    <cfRule type="colorScale" priority="15">
      <colorScale>
        <cfvo type="min"/>
        <cfvo type="percentile" val="50"/>
        <cfvo type="max"/>
        <color rgb="FFF8696B"/>
        <color rgb="FFFFEB84"/>
        <color rgb="FF63BE7B"/>
      </colorScale>
    </cfRule>
  </conditionalFormatting>
  <conditionalFormatting sqref="I4:K4">
    <cfRule type="colorScale" priority="14">
      <colorScale>
        <cfvo type="min"/>
        <cfvo type="percentile" val="50"/>
        <cfvo type="max"/>
        <color rgb="FFF8696B"/>
        <color rgb="FFFFEB84"/>
        <color rgb="FF63BE7B"/>
      </colorScale>
    </cfRule>
  </conditionalFormatting>
  <conditionalFormatting sqref="I5:K5">
    <cfRule type="colorScale" priority="13">
      <colorScale>
        <cfvo type="min"/>
        <cfvo type="percentile" val="50"/>
        <cfvo type="max"/>
        <color rgb="FFF8696B"/>
        <color rgb="FFFFEB84"/>
        <color rgb="FF63BE7B"/>
      </colorScale>
    </cfRule>
  </conditionalFormatting>
  <conditionalFormatting sqref="I6:K6">
    <cfRule type="colorScale" priority="12">
      <colorScale>
        <cfvo type="min"/>
        <cfvo type="percentile" val="50"/>
        <cfvo type="max"/>
        <color rgb="FFF8696B"/>
        <color rgb="FFFFEB84"/>
        <color rgb="FF63BE7B"/>
      </colorScale>
    </cfRule>
  </conditionalFormatting>
  <conditionalFormatting sqref="I7:K7">
    <cfRule type="colorScale" priority="11">
      <colorScale>
        <cfvo type="min"/>
        <cfvo type="percentile" val="50"/>
        <cfvo type="max"/>
        <color rgb="FFF8696B"/>
        <color rgb="FFFFEB84"/>
        <color rgb="FF63BE7B"/>
      </colorScale>
    </cfRule>
  </conditionalFormatting>
  <conditionalFormatting sqref="I8:K8">
    <cfRule type="colorScale" priority="10">
      <colorScale>
        <cfvo type="min"/>
        <cfvo type="percentile" val="50"/>
        <cfvo type="max"/>
        <color rgb="FFF8696B"/>
        <color rgb="FFFFEB84"/>
        <color rgb="FF63BE7B"/>
      </colorScale>
    </cfRule>
  </conditionalFormatting>
  <conditionalFormatting sqref="I9:K9">
    <cfRule type="colorScale" priority="9">
      <colorScale>
        <cfvo type="min"/>
        <cfvo type="percentile" val="50"/>
        <cfvo type="max"/>
        <color rgb="FFF8696B"/>
        <color rgb="FFFFEB84"/>
        <color rgb="FF63BE7B"/>
      </colorScale>
    </cfRule>
  </conditionalFormatting>
  <conditionalFormatting sqref="I10:K10">
    <cfRule type="colorScale" priority="8">
      <colorScale>
        <cfvo type="min"/>
        <cfvo type="percentile" val="50"/>
        <cfvo type="max"/>
        <color rgb="FFF8696B"/>
        <color rgb="FFFFEB84"/>
        <color rgb="FF63BE7B"/>
      </colorScale>
    </cfRule>
  </conditionalFormatting>
  <conditionalFormatting sqref="I11:K11">
    <cfRule type="colorScale" priority="7">
      <colorScale>
        <cfvo type="min"/>
        <cfvo type="percentile" val="50"/>
        <cfvo type="max"/>
        <color rgb="FFF8696B"/>
        <color rgb="FFFFEB84"/>
        <color rgb="FF63BE7B"/>
      </colorScale>
    </cfRule>
  </conditionalFormatting>
  <conditionalFormatting sqref="I12:K12">
    <cfRule type="colorScale" priority="6">
      <colorScale>
        <cfvo type="min"/>
        <cfvo type="percentile" val="50"/>
        <cfvo type="max"/>
        <color rgb="FFF8696B"/>
        <color rgb="FFFFEB84"/>
        <color rgb="FF63BE7B"/>
      </colorScale>
    </cfRule>
  </conditionalFormatting>
  <conditionalFormatting sqref="I13:K13">
    <cfRule type="colorScale" priority="20">
      <colorScale>
        <cfvo type="min"/>
        <cfvo type="percentile" val="50"/>
        <cfvo type="max"/>
        <color rgb="FFF8696B"/>
        <color rgb="FFFFEB84"/>
        <color rgb="FF63BE7B"/>
      </colorScale>
    </cfRule>
  </conditionalFormatting>
  <conditionalFormatting sqref="O2:P13">
    <cfRule type="colorScale" priority="21">
      <colorScale>
        <cfvo type="min"/>
        <cfvo type="max"/>
        <color theme="3" tint="9.9978637043366805E-2"/>
        <color rgb="FFC00000"/>
      </colorScale>
    </cfRule>
  </conditionalFormatting>
  <conditionalFormatting sqref="P2:P13">
    <cfRule type="colorScale" priority="1">
      <colorScale>
        <cfvo type="min"/>
        <cfvo type="max"/>
        <color theme="3" tint="9.9978637043366805E-2"/>
        <color rgb="FFC00000"/>
      </colorScale>
    </cfRule>
  </conditionalFormatting>
  <pageMargins left="0.70000000000000007" right="0.70000000000000007" top="0.75" bottom="0.75" header="0.30000000000000004" footer="0.30000000000000004"/>
  <legacy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C2B4A-5A0F-4F07-AB56-5BC7506166DA}">
  <dimension ref="A1:O140"/>
  <sheetViews>
    <sheetView topLeftCell="C1" zoomScale="102" zoomScaleNormal="40" workbookViewId="0">
      <selection activeCell="I124" sqref="I124"/>
    </sheetView>
  </sheetViews>
  <sheetFormatPr defaultRowHeight="14.4"/>
  <cols>
    <col min="1" max="1" width="26.6640625" bestFit="1" customWidth="1"/>
    <col min="2" max="2" width="18.77734375" customWidth="1"/>
    <col min="3" max="3" width="20" customWidth="1"/>
    <col min="4" max="4" width="16.44140625" customWidth="1"/>
    <col min="5" max="6" width="22.6640625" customWidth="1"/>
    <col min="7" max="7" width="18.88671875" bestFit="1" customWidth="1"/>
    <col min="8" max="8" width="24" customWidth="1"/>
    <col min="9" max="9" width="14.21875" customWidth="1"/>
    <col min="10" max="10" width="18.88671875" bestFit="1" customWidth="1"/>
    <col min="11" max="11" width="11.21875" customWidth="1"/>
    <col min="12" max="12" width="27.21875" customWidth="1"/>
    <col min="13" max="13" width="23.5546875" bestFit="1" customWidth="1"/>
    <col min="16" max="16" width="13.109375" bestFit="1" customWidth="1"/>
  </cols>
  <sheetData>
    <row r="1" spans="1:12" ht="15" thickBot="1">
      <c r="A1" s="13" t="s">
        <v>124</v>
      </c>
      <c r="B1" s="14" t="s">
        <v>125</v>
      </c>
      <c r="C1" s="15" t="s">
        <v>42</v>
      </c>
      <c r="D1" s="15" t="s">
        <v>115</v>
      </c>
      <c r="E1" s="15" t="s">
        <v>46</v>
      </c>
      <c r="F1" s="15" t="s">
        <v>44</v>
      </c>
      <c r="G1" s="15" t="s">
        <v>45</v>
      </c>
      <c r="H1" s="15" t="s">
        <v>116</v>
      </c>
      <c r="I1" s="15" t="s">
        <v>117</v>
      </c>
      <c r="J1" s="17" t="s">
        <v>514</v>
      </c>
      <c r="K1" s="239" t="s">
        <v>142</v>
      </c>
      <c r="L1" s="7"/>
    </row>
    <row r="2" spans="1:12">
      <c r="A2" s="147" t="s">
        <v>103</v>
      </c>
      <c r="B2" s="146" t="s">
        <v>126</v>
      </c>
      <c r="C2" s="209">
        <f>IFERROR(AVERAGEIFS(KPI_DATABASE!$M:$M, KPI_DATABASE!$D:$D, $A2, KPI_DATABASE!$E:$E, C$1), "")</f>
        <v>0.39297662337662337</v>
      </c>
      <c r="D2" s="209" t="str">
        <f>IFERROR(AVERAGEIFS(KPI_DATABASE!$M:$M, KPI_DATABASE!$D:$D, $A2, KPI_DATABASE!$E:$E, D$1), "")</f>
        <v/>
      </c>
      <c r="E2" s="209" t="str">
        <f>IFERROR(AVERAGEIFS(KPI_DATABASE!$M:$M, KPI_DATABASE!$D:$D, $A2, KPI_DATABASE!$E:$E, E$1), "")</f>
        <v/>
      </c>
      <c r="F2" s="209" t="str">
        <f>IFERROR(AVERAGEIFS(KPI_DATABASE!$M:$M, KPI_DATABASE!$D:$D, $A2, KPI_DATABASE!$E:$E, F$1), "")</f>
        <v/>
      </c>
      <c r="G2" s="209" t="str">
        <f>IFERROR(AVERAGEIFS(KPI_DATABASE!$M:$M, KPI_DATABASE!$D:$D, $A2, KPI_DATABASE!$E:$E, G$1), "")</f>
        <v/>
      </c>
      <c r="H2" s="209" t="str">
        <f>IFERROR(AVERAGEIFS(KPI_DATABASE!$M:$M, KPI_DATABASE!$D:$D, $A2, KPI_DATABASE!$E:$E, H$1), "")</f>
        <v/>
      </c>
      <c r="I2" s="209" t="str">
        <f>IFERROR(AVERAGEIFS(KPI_DATABASE!$M:$M, KPI_DATABASE!$D:$D, $A2, KPI_DATABASE!$E:$E, I$1), "")</f>
        <v/>
      </c>
      <c r="J2" s="198">
        <f>SUM(C2:I2)</f>
        <v>0.39297662337662337</v>
      </c>
      <c r="K2" s="240">
        <f>FACE_MODELS!B29</f>
        <v>0.23961225216342069</v>
      </c>
    </row>
    <row r="3" spans="1:12">
      <c r="A3" s="147" t="s">
        <v>104</v>
      </c>
      <c r="B3" s="146" t="s">
        <v>127</v>
      </c>
      <c r="C3" s="209">
        <f>IFERROR(AVERAGEIFS(KPI_DATABASE!$M:$M, KPI_DATABASE!$D:$D, $A3, KPI_DATABASE!$E:$E, C$1), "")</f>
        <v>0.60937142857142867</v>
      </c>
      <c r="D3" s="209" t="str">
        <f>IFERROR(AVERAGEIFS(KPI_DATABASE!$M:$M, KPI_DATABASE!$D:$D, $A3, KPI_DATABASE!$E:$E, D$1), "")</f>
        <v/>
      </c>
      <c r="E3" s="209" t="str">
        <f>IFERROR(AVERAGEIFS(KPI_DATABASE!$M:$M, KPI_DATABASE!$D:$D, $A3, KPI_DATABASE!$E:$E, E$1), "")</f>
        <v/>
      </c>
      <c r="F3" s="209" t="str">
        <f>IFERROR(AVERAGEIFS(KPI_DATABASE!$M:$M, KPI_DATABASE!$D:$D, $A3, KPI_DATABASE!$E:$E, F$1), "")</f>
        <v/>
      </c>
      <c r="G3" s="209" t="str">
        <f>IFERROR(AVERAGEIFS(KPI_DATABASE!$M:$M, KPI_DATABASE!$D:$D, $A3, KPI_DATABASE!$E:$E, G$1), "")</f>
        <v/>
      </c>
      <c r="H3" s="209" t="str">
        <f>IFERROR(AVERAGEIFS(KPI_DATABASE!$M:$M, KPI_DATABASE!$D:$D, $A3, KPI_DATABASE!$E:$E, H$1), "")</f>
        <v/>
      </c>
      <c r="I3" s="209" t="str">
        <f>IFERROR(AVERAGEIFS(KPI_DATABASE!$M:$M, KPI_DATABASE!$D:$D, $A3, KPI_DATABASE!$E:$E, I$1), "")</f>
        <v/>
      </c>
      <c r="J3" s="198">
        <f t="shared" ref="J3:J13" si="0">SUM(C3:I3)</f>
        <v>0.60937142857142867</v>
      </c>
      <c r="K3" s="240">
        <f>FACE_MODELS!B62</f>
        <v>0.40086371970020074</v>
      </c>
    </row>
    <row r="4" spans="1:12">
      <c r="A4" s="147" t="s">
        <v>105</v>
      </c>
      <c r="B4" s="146" t="s">
        <v>128</v>
      </c>
      <c r="C4" s="209">
        <f>IFERROR(AVERAGEIFS(KPI_DATABASE!$M:$M, KPI_DATABASE!$D:$D, $A4, KPI_DATABASE!$E:$E, C$1), "")</f>
        <v>0.18719999999999981</v>
      </c>
      <c r="D4" s="209" t="str">
        <f>IFERROR(AVERAGEIFS(KPI_DATABASE!$M:$M, KPI_DATABASE!$D:$D, $A4, KPI_DATABASE!$E:$E, D$1), "")</f>
        <v/>
      </c>
      <c r="E4" s="209" t="str">
        <f>IFERROR(AVERAGEIFS(KPI_DATABASE!$M:$M, KPI_DATABASE!$D:$D, $A4, KPI_DATABASE!$E:$E, E$1), "")</f>
        <v/>
      </c>
      <c r="F4" s="209" t="str">
        <f>IFERROR(AVERAGEIFS(KPI_DATABASE!$M:$M, KPI_DATABASE!$D:$D, $A4, KPI_DATABASE!$E:$E, F$1), "")</f>
        <v/>
      </c>
      <c r="G4" s="209" t="str">
        <f>IFERROR(AVERAGEIFS(KPI_DATABASE!$M:$M, KPI_DATABASE!$D:$D, $A4, KPI_DATABASE!$E:$E, G$1), "")</f>
        <v/>
      </c>
      <c r="H4" s="209" t="str">
        <f>IFERROR(AVERAGEIFS(KPI_DATABASE!$M:$M, KPI_DATABASE!$D:$D, $A4, KPI_DATABASE!$E:$E, H$1), "")</f>
        <v/>
      </c>
      <c r="I4" s="209" t="str">
        <f>IFERROR(AVERAGEIFS(KPI_DATABASE!$M:$M, KPI_DATABASE!$D:$D, $A4, KPI_DATABASE!$E:$E, I$1), "")</f>
        <v/>
      </c>
      <c r="J4" s="198">
        <f t="shared" si="0"/>
        <v>0.18719999999999981</v>
      </c>
      <c r="K4" s="240">
        <f>FACE_MODELS!B95</f>
        <v>0.16559188153585278</v>
      </c>
    </row>
    <row r="5" spans="1:12">
      <c r="A5" s="147" t="s">
        <v>106</v>
      </c>
      <c r="B5" s="146" t="s">
        <v>129</v>
      </c>
      <c r="C5" s="209">
        <f>IFERROR(AVERAGEIFS(KPI_DATABASE!$M:$M, KPI_DATABASE!$D:$D, $A5, KPI_DATABASE!$E:$E, C$1), "")</f>
        <v>0.37200000000000005</v>
      </c>
      <c r="D5" s="209" t="str">
        <f>IFERROR(AVERAGEIFS(KPI_DATABASE!$M:$M, KPI_DATABASE!$D:$D, $A5, KPI_DATABASE!$E:$E, D$1), "")</f>
        <v/>
      </c>
      <c r="E5" s="209" t="str">
        <f>IFERROR(AVERAGEIFS(KPI_DATABASE!$M:$M, KPI_DATABASE!$D:$D, $A5, KPI_DATABASE!$E:$E, E$1), "")</f>
        <v/>
      </c>
      <c r="F5" s="209" t="str">
        <f>IFERROR(AVERAGEIFS(KPI_DATABASE!$M:$M, KPI_DATABASE!$D:$D, $A5, KPI_DATABASE!$E:$E, F$1), "")</f>
        <v/>
      </c>
      <c r="G5" s="209" t="str">
        <f>IFERROR(AVERAGEIFS(KPI_DATABASE!$M:$M, KPI_DATABASE!$D:$D, $A5, KPI_DATABASE!$E:$E, G$1), "")</f>
        <v/>
      </c>
      <c r="H5" s="209" t="str">
        <f>IFERROR(AVERAGEIFS(KPI_DATABASE!$M:$M, KPI_DATABASE!$D:$D, $A5, KPI_DATABASE!$E:$E, H$1), "")</f>
        <v/>
      </c>
      <c r="I5" s="209" t="str">
        <f>IFERROR(AVERAGEIFS(KPI_DATABASE!$M:$M, KPI_DATABASE!$D:$D, $A5, KPI_DATABASE!$E:$E, I$1), "")</f>
        <v/>
      </c>
      <c r="J5" s="198">
        <f t="shared" si="0"/>
        <v>0.37200000000000005</v>
      </c>
      <c r="K5" s="240">
        <f>FACE_MODELS!B128</f>
        <v>0.24478839508550371</v>
      </c>
    </row>
    <row r="6" spans="1:12">
      <c r="A6" s="147" t="s">
        <v>107</v>
      </c>
      <c r="B6" s="146" t="s">
        <v>130</v>
      </c>
      <c r="C6" s="209">
        <f>IFERROR(AVERAGEIFS(KPI_DATABASE!$M:$M, KPI_DATABASE!$D:$D, $A6, KPI_DATABASE!$E:$E, C$1), "")</f>
        <v>0</v>
      </c>
      <c r="D6" s="209" t="str">
        <f>IFERROR(AVERAGEIFS(KPI_DATABASE!$M:$M, KPI_DATABASE!$D:$D, $A6, KPI_DATABASE!$E:$E, D$1), "")</f>
        <v/>
      </c>
      <c r="E6" s="209" t="str">
        <f>IFERROR(AVERAGEIFS(KPI_DATABASE!$M:$M, KPI_DATABASE!$D:$D, $A6, KPI_DATABASE!$E:$E, E$1), "")</f>
        <v/>
      </c>
      <c r="F6" s="209" t="str">
        <f>IFERROR(AVERAGEIFS(KPI_DATABASE!$M:$M, KPI_DATABASE!$D:$D, $A6, KPI_DATABASE!$E:$E, F$1), "")</f>
        <v/>
      </c>
      <c r="G6" s="209" t="str">
        <f>IFERROR(AVERAGEIFS(KPI_DATABASE!$M:$M, KPI_DATABASE!$D:$D, $A6, KPI_DATABASE!$E:$E, G$1), "")</f>
        <v/>
      </c>
      <c r="H6" s="209" t="str">
        <f>IFERROR(AVERAGEIFS(KPI_DATABASE!$M:$M, KPI_DATABASE!$D:$D, $A6, KPI_DATABASE!$E:$E, H$1), "")</f>
        <v/>
      </c>
      <c r="I6" s="209" t="str">
        <f>IFERROR(AVERAGEIFS(KPI_DATABASE!$M:$M, KPI_DATABASE!$D:$D, $A6, KPI_DATABASE!$E:$E, I$1), "")</f>
        <v/>
      </c>
      <c r="J6" s="198">
        <f t="shared" si="0"/>
        <v>0</v>
      </c>
      <c r="K6" s="240">
        <f>FACE_MODELS!B161</f>
        <v>4.6253795033477547E-2</v>
      </c>
    </row>
    <row r="7" spans="1:12">
      <c r="A7" s="147" t="s">
        <v>108</v>
      </c>
      <c r="B7" s="146" t="s">
        <v>131</v>
      </c>
      <c r="C7" s="209">
        <f>IFERROR(AVERAGEIFS(KPI_DATABASE!$M:$M, KPI_DATABASE!$D:$D, $A7, KPI_DATABASE!$E:$E, C$1), "")</f>
        <v>0.40247619047619049</v>
      </c>
      <c r="D7" s="209" t="str">
        <f>IFERROR(AVERAGEIFS(KPI_DATABASE!$M:$M, KPI_DATABASE!$D:$D, $A7, KPI_DATABASE!$E:$E, D$1), "")</f>
        <v/>
      </c>
      <c r="E7" s="209" t="str">
        <f>IFERROR(AVERAGEIFS(KPI_DATABASE!$M:$M, KPI_DATABASE!$D:$D, $A7, KPI_DATABASE!$E:$E, E$1), "")</f>
        <v/>
      </c>
      <c r="F7" s="209" t="str">
        <f>IFERROR(AVERAGEIFS(KPI_DATABASE!$M:$M, KPI_DATABASE!$D:$D, $A7, KPI_DATABASE!$E:$E, F$1), "")</f>
        <v/>
      </c>
      <c r="G7" s="209" t="str">
        <f>IFERROR(AVERAGEIFS(KPI_DATABASE!$M:$M, KPI_DATABASE!$D:$D, $A7, KPI_DATABASE!$E:$E, G$1), "")</f>
        <v/>
      </c>
      <c r="H7" s="209" t="str">
        <f>IFERROR(AVERAGEIFS(KPI_DATABASE!$M:$M, KPI_DATABASE!$D:$D, $A7, KPI_DATABASE!$E:$E, H$1), "")</f>
        <v/>
      </c>
      <c r="I7" s="209" t="str">
        <f>IFERROR(AVERAGEIFS(KPI_DATABASE!$M:$M, KPI_DATABASE!$D:$D, $A7, KPI_DATABASE!$E:$E, I$1), "")</f>
        <v/>
      </c>
      <c r="J7" s="198">
        <f t="shared" si="0"/>
        <v>0.40247619047619049</v>
      </c>
      <c r="K7" s="240">
        <f>FACE_MODELS!B194</f>
        <v>0.24689937774340731</v>
      </c>
    </row>
    <row r="8" spans="1:12">
      <c r="A8" s="145" t="s">
        <v>109</v>
      </c>
      <c r="B8" s="144" t="s">
        <v>132</v>
      </c>
      <c r="C8" s="209">
        <f>IFERROR(AVERAGEIFS(KPI_DATABASE!$M:$M, KPI_DATABASE!$D:$D, $A8, KPI_DATABASE!$E:$E, C$1), "")</f>
        <v>0.3132380952380952</v>
      </c>
      <c r="D8" s="209" t="str">
        <f>IFERROR(AVERAGEIFS(KPI_DATABASE!$M:$M, KPI_DATABASE!$D:$D, $A8, KPI_DATABASE!$E:$E, D$1), "")</f>
        <v/>
      </c>
      <c r="E8" s="209" t="str">
        <f>IFERROR(AVERAGEIFS(KPI_DATABASE!$M:$M, KPI_DATABASE!$D:$D, $A8, KPI_DATABASE!$E:$E, E$1), "")</f>
        <v/>
      </c>
      <c r="F8" s="209" t="str">
        <f>IFERROR(AVERAGEIFS(KPI_DATABASE!$M:$M, KPI_DATABASE!$D:$D, $A8, KPI_DATABASE!$E:$E, F$1), "")</f>
        <v/>
      </c>
      <c r="G8" s="209" t="str">
        <f>IFERROR(AVERAGEIFS(KPI_DATABASE!$M:$M, KPI_DATABASE!$D:$D, $A8, KPI_DATABASE!$E:$E, G$1), "")</f>
        <v/>
      </c>
      <c r="H8" s="209" t="str">
        <f>IFERROR(AVERAGEIFS(KPI_DATABASE!$M:$M, KPI_DATABASE!$D:$D, $A8, KPI_DATABASE!$E:$E, H$1), "")</f>
        <v/>
      </c>
      <c r="I8" s="209" t="str">
        <f>IFERROR(AVERAGEIFS(KPI_DATABASE!$M:$M, KPI_DATABASE!$D:$D, $A8, KPI_DATABASE!$E:$E, I$1), "")</f>
        <v/>
      </c>
      <c r="J8" s="198">
        <f t="shared" si="0"/>
        <v>0.3132380952380952</v>
      </c>
      <c r="K8" s="240">
        <f>FACE_MODELS!B227</f>
        <v>0.2081301969966585</v>
      </c>
    </row>
    <row r="9" spans="1:12">
      <c r="A9" s="145" t="s">
        <v>110</v>
      </c>
      <c r="B9" s="144" t="s">
        <v>133</v>
      </c>
      <c r="C9" s="209">
        <f>IFERROR(AVERAGEIFS(KPI_DATABASE!$M:$M, KPI_DATABASE!$D:$D, $A9, KPI_DATABASE!$E:$E, C$1), "")</f>
        <v>0.4074028686173265</v>
      </c>
      <c r="D9" s="209" t="str">
        <f>IFERROR(AVERAGEIFS(KPI_DATABASE!$M:$M, KPI_DATABASE!$D:$D, $A9, KPI_DATABASE!$E:$E, D$1), "")</f>
        <v/>
      </c>
      <c r="E9" s="209" t="str">
        <f>IFERROR(AVERAGEIFS(KPI_DATABASE!$M:$M, KPI_DATABASE!$D:$D, $A9, KPI_DATABASE!$E:$E, E$1), "")</f>
        <v/>
      </c>
      <c r="F9" s="209" t="str">
        <f>IFERROR(AVERAGEIFS(KPI_DATABASE!$M:$M, KPI_DATABASE!$D:$D, $A9, KPI_DATABASE!$E:$E, F$1), "")</f>
        <v/>
      </c>
      <c r="G9" s="209" t="str">
        <f>IFERROR(AVERAGEIFS(KPI_DATABASE!$M:$M, KPI_DATABASE!$D:$D, $A9, KPI_DATABASE!$E:$E, G$1), "")</f>
        <v/>
      </c>
      <c r="H9" s="209" t="str">
        <f>IFERROR(AVERAGEIFS(KPI_DATABASE!$M:$M, KPI_DATABASE!$D:$D, $A9, KPI_DATABASE!$E:$E, H$1), "")</f>
        <v/>
      </c>
      <c r="I9" s="209" t="str">
        <f>IFERROR(AVERAGEIFS(KPI_DATABASE!$M:$M, KPI_DATABASE!$D:$D, $A9, KPI_DATABASE!$E:$E, I$1), "")</f>
        <v/>
      </c>
      <c r="J9" s="198">
        <f t="shared" si="0"/>
        <v>0.4074028686173265</v>
      </c>
      <c r="K9" s="240">
        <f>FACE_MODELS!B260</f>
        <v>0.22089121833354255</v>
      </c>
    </row>
    <row r="10" spans="1:12">
      <c r="A10" s="145" t="s">
        <v>111</v>
      </c>
      <c r="B10" s="144" t="s">
        <v>134</v>
      </c>
      <c r="C10" s="209">
        <f>IFERROR(AVERAGEIFS(KPI_DATABASE!$M:$M, KPI_DATABASE!$D:$D, $A10, KPI_DATABASE!$E:$E, C$1), "")</f>
        <v>0.67021333333333333</v>
      </c>
      <c r="D10" s="209" t="str">
        <f>IFERROR(AVERAGEIFS(KPI_DATABASE!$M:$M, KPI_DATABASE!$D:$D, $A10, KPI_DATABASE!$E:$E, D$1), "")</f>
        <v/>
      </c>
      <c r="E10" s="209" t="str">
        <f>IFERROR(AVERAGEIFS(KPI_DATABASE!$M:$M, KPI_DATABASE!$D:$D, $A10, KPI_DATABASE!$E:$E, E$1), "")</f>
        <v/>
      </c>
      <c r="F10" s="209" t="str">
        <f>IFERROR(AVERAGEIFS(KPI_DATABASE!$M:$M, KPI_DATABASE!$D:$D, $A10, KPI_DATABASE!$E:$E, F$1), "")</f>
        <v/>
      </c>
      <c r="G10" s="209" t="str">
        <f>IFERROR(AVERAGEIFS(KPI_DATABASE!$M:$M, KPI_DATABASE!$D:$D, $A10, KPI_DATABASE!$E:$E, G$1), "")</f>
        <v/>
      </c>
      <c r="H10" s="209" t="str">
        <f>IFERROR(AVERAGEIFS(KPI_DATABASE!$M:$M, KPI_DATABASE!$D:$D, $A10, KPI_DATABASE!$E:$E, H$1), "")</f>
        <v/>
      </c>
      <c r="I10" s="209" t="str">
        <f>IFERROR(AVERAGEIFS(KPI_DATABASE!$M:$M, KPI_DATABASE!$D:$D, $A10, KPI_DATABASE!$E:$E, I$1), "")</f>
        <v/>
      </c>
      <c r="J10" s="198">
        <f t="shared" si="0"/>
        <v>0.67021333333333333</v>
      </c>
      <c r="K10" s="240">
        <f>FACE_MODELS!B293</f>
        <v>0.43834355530707869</v>
      </c>
    </row>
    <row r="11" spans="1:12">
      <c r="A11" s="145" t="s">
        <v>112</v>
      </c>
      <c r="B11" s="144" t="s">
        <v>135</v>
      </c>
      <c r="C11" s="209">
        <f>IFERROR(AVERAGEIFS(KPI_DATABASE!$M:$M, KPI_DATABASE!$D:$D, $A11, KPI_DATABASE!$E:$E, C$1), "")</f>
        <v>0.67021333333333333</v>
      </c>
      <c r="D11" s="209" t="str">
        <f>IFERROR(AVERAGEIFS(KPI_DATABASE!$M:$M, KPI_DATABASE!$D:$D, $A11, KPI_DATABASE!$E:$E, D$1), "")</f>
        <v/>
      </c>
      <c r="E11" s="209" t="str">
        <f>IFERROR(AVERAGEIFS(KPI_DATABASE!$M:$M, KPI_DATABASE!$D:$D, $A11, KPI_DATABASE!$E:$E, E$1), "")</f>
        <v/>
      </c>
      <c r="F11" s="209" t="str">
        <f>IFERROR(AVERAGEIFS(KPI_DATABASE!$M:$M, KPI_DATABASE!$D:$D, $A11, KPI_DATABASE!$E:$E, F$1), "")</f>
        <v/>
      </c>
      <c r="G11" s="209" t="str">
        <f>IFERROR(AVERAGEIFS(KPI_DATABASE!$M:$M, KPI_DATABASE!$D:$D, $A11, KPI_DATABASE!$E:$E, G$1), "")</f>
        <v/>
      </c>
      <c r="H11" s="209" t="str">
        <f>IFERROR(AVERAGEIFS(KPI_DATABASE!$M:$M, KPI_DATABASE!$D:$D, $A11, KPI_DATABASE!$E:$E, H$1), "")</f>
        <v/>
      </c>
      <c r="I11" s="209" t="str">
        <f>IFERROR(AVERAGEIFS(KPI_DATABASE!$M:$M, KPI_DATABASE!$D:$D, $A11, KPI_DATABASE!$E:$E, I$1), "")</f>
        <v/>
      </c>
      <c r="J11" s="198">
        <f t="shared" si="0"/>
        <v>0.67021333333333333</v>
      </c>
      <c r="K11" s="240">
        <f>FACE_MODELS!B326</f>
        <v>0.41628415530129803</v>
      </c>
    </row>
    <row r="12" spans="1:12">
      <c r="A12" s="145" t="s">
        <v>113</v>
      </c>
      <c r="B12" s="144" t="s">
        <v>136</v>
      </c>
      <c r="C12" s="209">
        <f>IFERROR(AVERAGEIFS(KPI_DATABASE!$M:$M, KPI_DATABASE!$D:$D, $A12, KPI_DATABASE!$E:$E, C$1), "")</f>
        <v>0.1924609523809524</v>
      </c>
      <c r="D12" s="209" t="str">
        <f>IFERROR(AVERAGEIFS(KPI_DATABASE!$M:$M, KPI_DATABASE!$D:$D, $A12, KPI_DATABASE!$E:$E, D$1), "")</f>
        <v/>
      </c>
      <c r="E12" s="209" t="str">
        <f>IFERROR(AVERAGEIFS(KPI_DATABASE!$M:$M, KPI_DATABASE!$D:$D, $A12, KPI_DATABASE!$E:$E, E$1), "")</f>
        <v/>
      </c>
      <c r="F12" s="209" t="str">
        <f>IFERROR(AVERAGEIFS(KPI_DATABASE!$M:$M, KPI_DATABASE!$D:$D, $A12, KPI_DATABASE!$E:$E, F$1), "")</f>
        <v/>
      </c>
      <c r="G12" s="209" t="str">
        <f>IFERROR(AVERAGEIFS(KPI_DATABASE!$M:$M, KPI_DATABASE!$D:$D, $A12, KPI_DATABASE!$E:$E, G$1), "")</f>
        <v/>
      </c>
      <c r="H12" s="209" t="str">
        <f>IFERROR(AVERAGEIFS(KPI_DATABASE!$M:$M, KPI_DATABASE!$D:$D, $A12, KPI_DATABASE!$E:$E, H$1), "")</f>
        <v/>
      </c>
      <c r="I12" s="209" t="str">
        <f>IFERROR(AVERAGEIFS(KPI_DATABASE!$M:$M, KPI_DATABASE!$D:$D, $A12, KPI_DATABASE!$E:$E, I$1), "")</f>
        <v/>
      </c>
      <c r="J12" s="198">
        <f t="shared" si="0"/>
        <v>0.1924609523809524</v>
      </c>
      <c r="K12" s="240">
        <f>FACE_MODELS!B359</f>
        <v>0.12343511244618152</v>
      </c>
    </row>
    <row r="13" spans="1:12">
      <c r="A13" s="145" t="s">
        <v>114</v>
      </c>
      <c r="B13" s="144" t="s">
        <v>137</v>
      </c>
      <c r="C13" s="209">
        <f>IFERROR(AVERAGEIFS(KPI_DATABASE!$M:$M, KPI_DATABASE!$D:$D, $A13, KPI_DATABASE!$E:$E, C$1), "")</f>
        <v>0.26907809523809512</v>
      </c>
      <c r="D13" s="209" t="str">
        <f>IFERROR(AVERAGEIFS(KPI_DATABASE!$M:$M, KPI_DATABASE!$D:$D, $A13, KPI_DATABASE!$E:$E, D$1), "")</f>
        <v/>
      </c>
      <c r="E13" s="209" t="str">
        <f>IFERROR(AVERAGEIFS(KPI_DATABASE!$M:$M, KPI_DATABASE!$D:$D, $A13, KPI_DATABASE!$E:$E, E$1), "")</f>
        <v/>
      </c>
      <c r="F13" s="209" t="str">
        <f>IFERROR(AVERAGEIFS(KPI_DATABASE!$M:$M, KPI_DATABASE!$D:$D, $A13, KPI_DATABASE!$E:$E, F$1), "")</f>
        <v/>
      </c>
      <c r="G13" s="209" t="str">
        <f>IFERROR(AVERAGEIFS(KPI_DATABASE!$M:$M, KPI_DATABASE!$D:$D, $A13, KPI_DATABASE!$E:$E, G$1), "")</f>
        <v/>
      </c>
      <c r="H13" s="209" t="str">
        <f>IFERROR(AVERAGEIFS(KPI_DATABASE!$M:$M, KPI_DATABASE!$D:$D, $A13, KPI_DATABASE!$E:$E, H$1), "")</f>
        <v/>
      </c>
      <c r="I13" s="209" t="str">
        <f>IFERROR(AVERAGEIFS(KPI_DATABASE!$M:$M, KPI_DATABASE!$D:$D, $A13, KPI_DATABASE!$E:$E, I$1), "")</f>
        <v/>
      </c>
      <c r="J13" s="198">
        <f t="shared" si="0"/>
        <v>0.26907809523809512</v>
      </c>
      <c r="K13" s="240">
        <f>FACE_MODELS!B392</f>
        <v>0.19632633030875329</v>
      </c>
    </row>
    <row r="14" spans="1:12">
      <c r="C14" s="210">
        <f t="shared" ref="C14:I14" si="1">SUM(C2:C13)</f>
        <v>4.4866309205653776</v>
      </c>
      <c r="D14" s="210">
        <f t="shared" si="1"/>
        <v>0</v>
      </c>
      <c r="E14" s="210">
        <f t="shared" si="1"/>
        <v>0</v>
      </c>
      <c r="F14" s="210">
        <f t="shared" si="1"/>
        <v>0</v>
      </c>
      <c r="G14" s="210">
        <f t="shared" si="1"/>
        <v>0</v>
      </c>
      <c r="H14" s="210">
        <f t="shared" si="1"/>
        <v>0</v>
      </c>
      <c r="I14" s="210">
        <f t="shared" si="1"/>
        <v>0</v>
      </c>
    </row>
    <row r="15" spans="1:12">
      <c r="A15" s="585" t="s">
        <v>143</v>
      </c>
      <c r="B15" s="585"/>
      <c r="C15" s="585"/>
      <c r="D15" s="585"/>
      <c r="E15" s="585"/>
      <c r="F15" s="585"/>
      <c r="G15" s="585"/>
      <c r="H15" s="585"/>
      <c r="I15" s="585"/>
      <c r="J15" s="585"/>
      <c r="K15" s="585"/>
      <c r="L15" s="585"/>
    </row>
    <row r="16" spans="1:12" ht="15.6">
      <c r="A16" s="41">
        <v>5</v>
      </c>
      <c r="B16" s="42">
        <v>-1</v>
      </c>
      <c r="C16" s="42">
        <v>0</v>
      </c>
      <c r="D16" s="42">
        <v>0</v>
      </c>
      <c r="E16" s="42">
        <v>-1</v>
      </c>
      <c r="F16" s="42">
        <v>-1</v>
      </c>
      <c r="G16" s="42">
        <v>0</v>
      </c>
      <c r="H16" s="42">
        <v>-1</v>
      </c>
      <c r="I16" s="42">
        <v>-1</v>
      </c>
      <c r="J16" s="42">
        <v>0</v>
      </c>
      <c r="K16" s="42">
        <v>0</v>
      </c>
      <c r="L16" s="42">
        <v>0</v>
      </c>
    </row>
    <row r="17" spans="1:13" ht="15.6">
      <c r="A17" s="41">
        <v>-1</v>
      </c>
      <c r="B17" s="42">
        <v>5</v>
      </c>
      <c r="C17" s="42">
        <v>-1</v>
      </c>
      <c r="D17" s="42">
        <v>0</v>
      </c>
      <c r="E17" s="42">
        <v>0</v>
      </c>
      <c r="F17" s="42">
        <v>-1</v>
      </c>
      <c r="G17" s="42">
        <v>0</v>
      </c>
      <c r="H17" s="42">
        <v>0</v>
      </c>
      <c r="I17" s="42">
        <v>-1</v>
      </c>
      <c r="J17" s="42">
        <v>-1</v>
      </c>
      <c r="K17" s="42">
        <v>0</v>
      </c>
      <c r="L17" s="42">
        <v>0</v>
      </c>
    </row>
    <row r="18" spans="1:13" ht="15.6">
      <c r="A18" s="41">
        <v>0</v>
      </c>
      <c r="B18" s="42">
        <v>-1</v>
      </c>
      <c r="C18" s="42">
        <v>5</v>
      </c>
      <c r="D18" s="42">
        <v>-1</v>
      </c>
      <c r="E18" s="42">
        <v>0</v>
      </c>
      <c r="F18" s="42">
        <v>-1</v>
      </c>
      <c r="G18" s="42">
        <v>0</v>
      </c>
      <c r="H18" s="42">
        <v>0</v>
      </c>
      <c r="I18" s="42">
        <v>0</v>
      </c>
      <c r="J18" s="42">
        <v>-1</v>
      </c>
      <c r="K18" s="42">
        <v>-1</v>
      </c>
      <c r="L18" s="42">
        <v>0</v>
      </c>
    </row>
    <row r="19" spans="1:13" ht="15.6">
      <c r="A19" s="41">
        <v>0</v>
      </c>
      <c r="B19" s="42">
        <v>0</v>
      </c>
      <c r="C19" s="42">
        <v>-1</v>
      </c>
      <c r="D19" s="42">
        <v>5</v>
      </c>
      <c r="E19" s="42">
        <v>-1</v>
      </c>
      <c r="F19" s="42">
        <v>-1</v>
      </c>
      <c r="G19" s="42">
        <v>-1</v>
      </c>
      <c r="H19" s="42">
        <v>0</v>
      </c>
      <c r="I19" s="42">
        <v>0</v>
      </c>
      <c r="J19" s="42">
        <v>0</v>
      </c>
      <c r="K19" s="42">
        <v>-1</v>
      </c>
      <c r="L19" s="42">
        <v>0</v>
      </c>
    </row>
    <row r="20" spans="1:13" ht="15.6">
      <c r="A20" s="41">
        <v>-1</v>
      </c>
      <c r="B20" s="42">
        <v>0</v>
      </c>
      <c r="C20" s="42">
        <v>0</v>
      </c>
      <c r="D20" s="42">
        <v>-1</v>
      </c>
      <c r="E20" s="42">
        <v>5</v>
      </c>
      <c r="F20" s="42">
        <v>-1</v>
      </c>
      <c r="G20" s="42">
        <v>-1</v>
      </c>
      <c r="H20" s="42">
        <v>-1</v>
      </c>
      <c r="I20" s="42">
        <v>0</v>
      </c>
      <c r="J20" s="42">
        <v>0</v>
      </c>
      <c r="K20" s="42">
        <v>0</v>
      </c>
      <c r="L20" s="42">
        <v>0</v>
      </c>
    </row>
    <row r="21" spans="1:13" ht="15.6">
      <c r="A21" s="41">
        <v>-1</v>
      </c>
      <c r="B21" s="42">
        <v>-1</v>
      </c>
      <c r="C21" s="42">
        <v>-1</v>
      </c>
      <c r="D21" s="42">
        <v>-1</v>
      </c>
      <c r="E21" s="42">
        <v>-1</v>
      </c>
      <c r="F21" s="42">
        <v>5</v>
      </c>
      <c r="G21" s="42">
        <v>0</v>
      </c>
      <c r="H21" s="42">
        <v>0</v>
      </c>
      <c r="I21" s="42">
        <v>0</v>
      </c>
      <c r="J21" s="42">
        <v>0</v>
      </c>
      <c r="K21" s="42">
        <v>0</v>
      </c>
      <c r="L21" s="42">
        <v>0</v>
      </c>
    </row>
    <row r="22" spans="1:13" ht="15.6">
      <c r="A22" s="41">
        <v>0</v>
      </c>
      <c r="B22" s="42">
        <v>0</v>
      </c>
      <c r="C22" s="42">
        <v>0</v>
      </c>
      <c r="D22" s="42">
        <v>-1</v>
      </c>
      <c r="E22" s="42">
        <v>-1</v>
      </c>
      <c r="F22" s="42">
        <v>0</v>
      </c>
      <c r="G22" s="42">
        <v>5</v>
      </c>
      <c r="H22" s="42">
        <v>-1</v>
      </c>
      <c r="I22" s="42">
        <v>0</v>
      </c>
      <c r="J22" s="42">
        <v>0</v>
      </c>
      <c r="K22" s="42">
        <v>-1</v>
      </c>
      <c r="L22" s="42">
        <v>-1</v>
      </c>
    </row>
    <row r="23" spans="1:13" ht="15.6">
      <c r="A23" s="41">
        <v>-1</v>
      </c>
      <c r="B23" s="42">
        <v>0</v>
      </c>
      <c r="C23" s="42">
        <v>0</v>
      </c>
      <c r="D23" s="42">
        <v>0</v>
      </c>
      <c r="E23" s="42">
        <v>-1</v>
      </c>
      <c r="F23" s="42">
        <v>0</v>
      </c>
      <c r="G23" s="42">
        <v>-1</v>
      </c>
      <c r="H23" s="42">
        <v>5</v>
      </c>
      <c r="I23" s="42">
        <v>-1</v>
      </c>
      <c r="J23" s="42">
        <v>0</v>
      </c>
      <c r="K23" s="42">
        <v>0</v>
      </c>
      <c r="L23" s="42">
        <v>-1</v>
      </c>
    </row>
    <row r="24" spans="1:13" ht="15.6">
      <c r="A24" s="41">
        <v>-1</v>
      </c>
      <c r="B24" s="42">
        <v>-1</v>
      </c>
      <c r="C24" s="42">
        <v>0</v>
      </c>
      <c r="D24" s="42">
        <v>0</v>
      </c>
      <c r="E24" s="42">
        <v>0</v>
      </c>
      <c r="F24" s="42">
        <v>0</v>
      </c>
      <c r="G24" s="42">
        <v>0</v>
      </c>
      <c r="H24" s="42">
        <v>-1</v>
      </c>
      <c r="I24" s="42">
        <v>5</v>
      </c>
      <c r="J24" s="42">
        <v>-1</v>
      </c>
      <c r="K24" s="42">
        <v>0</v>
      </c>
      <c r="L24" s="42">
        <v>-1</v>
      </c>
    </row>
    <row r="25" spans="1:13" ht="15.6">
      <c r="A25" s="41">
        <v>0</v>
      </c>
      <c r="B25" s="42">
        <v>-1</v>
      </c>
      <c r="C25" s="42">
        <v>-1</v>
      </c>
      <c r="D25" s="42">
        <v>0</v>
      </c>
      <c r="E25" s="42">
        <v>0</v>
      </c>
      <c r="F25" s="42">
        <v>0</v>
      </c>
      <c r="G25" s="42">
        <v>0</v>
      </c>
      <c r="H25" s="42">
        <v>0</v>
      </c>
      <c r="I25" s="42">
        <v>-1</v>
      </c>
      <c r="J25" s="42">
        <v>5</v>
      </c>
      <c r="K25" s="42">
        <v>-1</v>
      </c>
      <c r="L25" s="42">
        <v>-1</v>
      </c>
    </row>
    <row r="26" spans="1:13" ht="15.6">
      <c r="A26" s="41">
        <v>0</v>
      </c>
      <c r="B26" s="42">
        <v>0</v>
      </c>
      <c r="C26" s="42">
        <v>-1</v>
      </c>
      <c r="D26" s="42">
        <v>-1</v>
      </c>
      <c r="E26" s="42">
        <v>0</v>
      </c>
      <c r="F26" s="42">
        <v>0</v>
      </c>
      <c r="G26" s="42">
        <v>-1</v>
      </c>
      <c r="H26" s="42">
        <v>0</v>
      </c>
      <c r="I26" s="42">
        <v>0</v>
      </c>
      <c r="J26" s="42">
        <v>-1</v>
      </c>
      <c r="K26" s="42">
        <v>5</v>
      </c>
      <c r="L26" s="42">
        <v>-1</v>
      </c>
    </row>
    <row r="27" spans="1:13" ht="15.6">
      <c r="A27" s="41">
        <v>0</v>
      </c>
      <c r="B27" s="42">
        <v>0</v>
      </c>
      <c r="C27" s="42">
        <v>0</v>
      </c>
      <c r="D27" s="42">
        <v>0</v>
      </c>
      <c r="E27" s="42">
        <v>0</v>
      </c>
      <c r="F27" s="42">
        <v>0</v>
      </c>
      <c r="G27" s="42">
        <v>-1</v>
      </c>
      <c r="H27" s="42">
        <v>-1</v>
      </c>
      <c r="I27" s="42">
        <v>-1</v>
      </c>
      <c r="J27" s="42">
        <v>-1</v>
      </c>
      <c r="K27" s="42">
        <v>-1</v>
      </c>
      <c r="L27" s="42">
        <v>5</v>
      </c>
    </row>
    <row r="29" spans="1:13">
      <c r="A29" s="586" t="s">
        <v>144</v>
      </c>
      <c r="B29" s="586"/>
      <c r="C29" s="586"/>
      <c r="D29" s="586"/>
      <c r="E29" s="586"/>
      <c r="F29" s="586"/>
      <c r="G29" s="586"/>
      <c r="H29" s="586"/>
      <c r="I29" s="586"/>
      <c r="J29" s="586"/>
      <c r="K29" s="586"/>
      <c r="L29" s="586"/>
      <c r="M29" s="586"/>
    </row>
    <row r="30" spans="1:13" ht="25.2">
      <c r="A30" s="37" t="s">
        <v>148</v>
      </c>
      <c r="B30" s="37" t="s">
        <v>182</v>
      </c>
      <c r="C30" s="37" t="s">
        <v>183</v>
      </c>
      <c r="D30" s="37" t="s">
        <v>184</v>
      </c>
      <c r="E30" s="37" t="s">
        <v>185</v>
      </c>
      <c r="F30" s="37" t="s">
        <v>186</v>
      </c>
      <c r="G30" s="37" t="s">
        <v>181</v>
      </c>
      <c r="H30" s="37" t="s">
        <v>187</v>
      </c>
      <c r="I30" s="37" t="s">
        <v>188</v>
      </c>
      <c r="J30" s="37" t="s">
        <v>189</v>
      </c>
      <c r="K30" s="37" t="s">
        <v>190</v>
      </c>
      <c r="L30" s="37" t="s">
        <v>191</v>
      </c>
      <c r="M30" s="38"/>
    </row>
    <row r="31" spans="1:13">
      <c r="A31" s="39">
        <v>0.28899999999999998</v>
      </c>
      <c r="B31" s="39">
        <v>-0.42099999999999999</v>
      </c>
      <c r="C31" s="39">
        <v>0</v>
      </c>
      <c r="D31" s="39">
        <v>0.25</v>
      </c>
      <c r="E31" s="39">
        <v>0</v>
      </c>
      <c r="F31" s="39">
        <v>-0.35399999999999998</v>
      </c>
      <c r="G31" s="39">
        <v>-0.28899999999999998</v>
      </c>
      <c r="H31" s="39">
        <v>0.40799999999999997</v>
      </c>
      <c r="I31" s="39">
        <v>0</v>
      </c>
      <c r="J31" s="39">
        <v>0.36799999999999999</v>
      </c>
      <c r="K31" s="39">
        <v>0</v>
      </c>
      <c r="L31" s="39">
        <v>-0.42099999999999999</v>
      </c>
      <c r="M31" s="148" t="s">
        <v>103</v>
      </c>
    </row>
    <row r="32" spans="1:13">
      <c r="A32" s="39">
        <v>0.28899999999999998</v>
      </c>
      <c r="B32" s="39">
        <v>-0.36799999999999999</v>
      </c>
      <c r="C32" s="39">
        <v>0.25</v>
      </c>
      <c r="D32" s="39">
        <v>-0.32500000000000001</v>
      </c>
      <c r="E32" s="39">
        <v>0.35399999999999998</v>
      </c>
      <c r="F32" s="39">
        <v>-0.28899999999999998</v>
      </c>
      <c r="G32" s="39">
        <v>0.16200000000000001</v>
      </c>
      <c r="H32" s="39">
        <v>-0.16200000000000001</v>
      </c>
      <c r="I32" s="39">
        <v>0.40799999999999997</v>
      </c>
      <c r="J32" s="39">
        <v>-0.25</v>
      </c>
      <c r="K32" s="39">
        <v>0.5</v>
      </c>
      <c r="L32" s="39">
        <v>0</v>
      </c>
      <c r="M32" s="148" t="s">
        <v>104</v>
      </c>
    </row>
    <row r="33" spans="1:13">
      <c r="A33" s="39">
        <v>0.28899999999999998</v>
      </c>
      <c r="B33" s="39">
        <v>-0.36799999999999999</v>
      </c>
      <c r="C33" s="39">
        <v>-0.25</v>
      </c>
      <c r="D33" s="39">
        <v>-0.32500000000000001</v>
      </c>
      <c r="E33" s="39">
        <v>-0.35399999999999998</v>
      </c>
      <c r="F33" s="39">
        <v>-0.28899999999999998</v>
      </c>
      <c r="G33" s="39">
        <v>0.16200000000000001</v>
      </c>
      <c r="H33" s="39">
        <v>-0.16200000000000001</v>
      </c>
      <c r="I33" s="39">
        <v>-0.40799999999999997</v>
      </c>
      <c r="J33" s="39">
        <v>-0.25</v>
      </c>
      <c r="K33" s="39">
        <v>-0.5</v>
      </c>
      <c r="L33" s="39">
        <v>0</v>
      </c>
      <c r="M33" s="148" t="s">
        <v>105</v>
      </c>
    </row>
    <row r="34" spans="1:13">
      <c r="A34" s="39">
        <v>0.28899999999999998</v>
      </c>
      <c r="B34" s="39">
        <v>-0.25</v>
      </c>
      <c r="C34" s="39">
        <v>0</v>
      </c>
      <c r="D34" s="39">
        <v>0.40799999999999997</v>
      </c>
      <c r="E34" s="39">
        <v>0</v>
      </c>
      <c r="F34" s="39">
        <v>0.42099999999999999</v>
      </c>
      <c r="G34" s="39">
        <v>-0.36799999999999999</v>
      </c>
      <c r="H34" s="39">
        <v>0.25</v>
      </c>
      <c r="I34" s="39">
        <v>0</v>
      </c>
      <c r="J34" s="39">
        <v>0.16200000000000001</v>
      </c>
      <c r="K34" s="39">
        <v>0</v>
      </c>
      <c r="L34" s="39">
        <v>0.57699999999999996</v>
      </c>
      <c r="M34" s="148" t="s">
        <v>106</v>
      </c>
    </row>
    <row r="35" spans="1:13">
      <c r="A35" s="39">
        <v>0.28899999999999998</v>
      </c>
      <c r="B35" s="39">
        <v>-0.25</v>
      </c>
      <c r="C35" s="39">
        <v>0.40799999999999997</v>
      </c>
      <c r="D35" s="39">
        <v>0.16200000000000001</v>
      </c>
      <c r="E35" s="39">
        <v>0.57699999999999996</v>
      </c>
      <c r="F35" s="39">
        <v>0</v>
      </c>
      <c r="G35" s="39">
        <v>0.25</v>
      </c>
      <c r="H35" s="39">
        <v>0.25</v>
      </c>
      <c r="I35" s="39">
        <v>-0.16200000000000001</v>
      </c>
      <c r="J35" s="39">
        <v>-0.42099999999999999</v>
      </c>
      <c r="K35" s="39">
        <v>-0.32500000000000001</v>
      </c>
      <c r="L35" s="39">
        <v>-0.28899999999999998</v>
      </c>
      <c r="M35" s="148" t="s">
        <v>107</v>
      </c>
    </row>
    <row r="36" spans="1:13">
      <c r="A36" s="39">
        <v>0.28899999999999998</v>
      </c>
      <c r="B36" s="39">
        <v>0</v>
      </c>
      <c r="C36" s="39">
        <v>0.36799999999999999</v>
      </c>
      <c r="D36" s="39">
        <v>-0.36799999999999999</v>
      </c>
      <c r="E36" s="39">
        <v>-0.57699999999999996</v>
      </c>
      <c r="F36" s="39">
        <v>0.16200000000000001</v>
      </c>
      <c r="G36" s="39">
        <v>0.25</v>
      </c>
      <c r="H36" s="39">
        <v>-0.42099999999999999</v>
      </c>
      <c r="I36" s="39">
        <v>-0.25</v>
      </c>
      <c r="J36" s="39">
        <v>0</v>
      </c>
      <c r="K36" s="39">
        <v>0.32500000000000001</v>
      </c>
      <c r="L36" s="39">
        <v>-0.16200000000000001</v>
      </c>
      <c r="M36" s="148" t="s">
        <v>108</v>
      </c>
    </row>
    <row r="37" spans="1:13">
      <c r="A37" s="39">
        <v>0.28899999999999998</v>
      </c>
      <c r="B37" s="39">
        <v>0.16200000000000001</v>
      </c>
      <c r="C37" s="39">
        <v>-0.36799999999999999</v>
      </c>
      <c r="D37" s="39">
        <v>-0.36799999999999999</v>
      </c>
      <c r="E37" s="39">
        <v>0.57699999999999996</v>
      </c>
      <c r="F37" s="39">
        <v>0.16200000000000001</v>
      </c>
      <c r="G37" s="39">
        <v>0.25</v>
      </c>
      <c r="H37" s="39">
        <v>-0.42099999999999999</v>
      </c>
      <c r="I37" s="39">
        <v>0.25</v>
      </c>
      <c r="J37" s="39">
        <v>0</v>
      </c>
      <c r="K37" s="39">
        <v>-0.32500000000000001</v>
      </c>
      <c r="L37" s="39">
        <v>-0.16200000000000001</v>
      </c>
      <c r="M37" s="149" t="s">
        <v>109</v>
      </c>
    </row>
    <row r="38" spans="1:13">
      <c r="A38" s="39">
        <v>0.28899999999999998</v>
      </c>
      <c r="B38" s="39">
        <v>0.25</v>
      </c>
      <c r="C38" s="39">
        <v>-0.40799999999999997</v>
      </c>
      <c r="D38" s="39">
        <v>0.16200000000000001</v>
      </c>
      <c r="E38" s="39">
        <v>0</v>
      </c>
      <c r="F38" s="39">
        <v>0.5</v>
      </c>
      <c r="G38" s="39">
        <v>-0.42099999999999999</v>
      </c>
      <c r="H38" s="39">
        <v>0.16200000000000001</v>
      </c>
      <c r="I38" s="39">
        <v>-0.25</v>
      </c>
      <c r="J38" s="39">
        <v>0.28899999999999998</v>
      </c>
      <c r="K38" s="39">
        <v>0.16200000000000001</v>
      </c>
      <c r="L38" s="39">
        <v>0.28899999999999998</v>
      </c>
      <c r="M38" s="149" t="s">
        <v>110</v>
      </c>
    </row>
    <row r="39" spans="1:13">
      <c r="A39" s="39">
        <v>0.28899999999999998</v>
      </c>
      <c r="B39" s="39">
        <v>0.25</v>
      </c>
      <c r="C39" s="39">
        <v>0.40799999999999997</v>
      </c>
      <c r="D39" s="39">
        <v>0.16200000000000001</v>
      </c>
      <c r="E39" s="39">
        <v>-0.35399999999999998</v>
      </c>
      <c r="F39" s="39">
        <v>-0.16200000000000001</v>
      </c>
      <c r="G39" s="39">
        <v>0.28899999999999998</v>
      </c>
      <c r="H39" s="39">
        <v>0.16200000000000001</v>
      </c>
      <c r="I39" s="39">
        <v>0.25</v>
      </c>
      <c r="J39" s="39">
        <v>-0.42099999999999999</v>
      </c>
      <c r="K39" s="39">
        <v>-0.16200000000000001</v>
      </c>
      <c r="L39" s="39">
        <v>0.28899999999999998</v>
      </c>
      <c r="M39" s="149" t="s">
        <v>111</v>
      </c>
    </row>
    <row r="40" spans="1:13">
      <c r="A40" s="39">
        <v>0.28899999999999998</v>
      </c>
      <c r="B40" s="39">
        <v>0.40799999999999997</v>
      </c>
      <c r="C40" s="39">
        <v>-0.16200000000000001</v>
      </c>
      <c r="D40" s="39">
        <v>0.25</v>
      </c>
      <c r="E40" s="39">
        <v>0.35399999999999998</v>
      </c>
      <c r="F40" s="39">
        <v>0.36799999999999999</v>
      </c>
      <c r="G40" s="39">
        <v>0</v>
      </c>
      <c r="H40" s="39">
        <v>-0.5</v>
      </c>
      <c r="I40" s="39">
        <v>0.125</v>
      </c>
      <c r="J40" s="39">
        <v>0.125</v>
      </c>
      <c r="K40" s="39">
        <v>-0.28899999999999998</v>
      </c>
      <c r="L40" s="39">
        <v>-0.16200000000000001</v>
      </c>
      <c r="M40" s="149" t="s">
        <v>112</v>
      </c>
    </row>
    <row r="41" spans="1:13">
      <c r="A41" s="39">
        <v>0.28899999999999998</v>
      </c>
      <c r="B41" s="39">
        <v>0.40799999999999997</v>
      </c>
      <c r="C41" s="39">
        <v>0.16200000000000001</v>
      </c>
      <c r="D41" s="39">
        <v>0.25</v>
      </c>
      <c r="E41" s="39">
        <v>0</v>
      </c>
      <c r="F41" s="39">
        <v>-0.36799999999999999</v>
      </c>
      <c r="G41" s="39">
        <v>0</v>
      </c>
      <c r="H41" s="39">
        <v>0</v>
      </c>
      <c r="I41" s="39">
        <v>0.5</v>
      </c>
      <c r="J41" s="39">
        <v>0.125</v>
      </c>
      <c r="K41" s="39">
        <v>0.28899999999999998</v>
      </c>
      <c r="L41" s="39">
        <v>-0.16200000000000001</v>
      </c>
      <c r="M41" s="149" t="s">
        <v>113</v>
      </c>
    </row>
    <row r="42" spans="1:13">
      <c r="A42" s="39">
        <v>0.28899999999999998</v>
      </c>
      <c r="B42" s="39">
        <v>0.57699999999999996</v>
      </c>
      <c r="C42" s="39">
        <v>0</v>
      </c>
      <c r="D42" s="39">
        <v>-0.5</v>
      </c>
      <c r="E42" s="39">
        <v>0</v>
      </c>
      <c r="F42" s="39">
        <v>0</v>
      </c>
      <c r="G42" s="39">
        <v>0</v>
      </c>
      <c r="H42" s="39">
        <v>0</v>
      </c>
      <c r="I42" s="39">
        <v>0</v>
      </c>
      <c r="J42" s="39">
        <v>0</v>
      </c>
      <c r="K42" s="39">
        <v>0</v>
      </c>
      <c r="L42" s="39">
        <v>-0.57699999999999996</v>
      </c>
      <c r="M42" s="149" t="s">
        <v>114</v>
      </c>
    </row>
    <row r="45" spans="1:13">
      <c r="A45" s="585" t="s">
        <v>149</v>
      </c>
      <c r="B45" s="585"/>
      <c r="C45" s="585"/>
    </row>
    <row r="46" spans="1:13">
      <c r="A46" s="37" t="s">
        <v>145</v>
      </c>
      <c r="B46" s="37" t="s">
        <v>146</v>
      </c>
      <c r="C46" s="37" t="s">
        <v>147</v>
      </c>
    </row>
    <row r="47" spans="1:13">
      <c r="A47" s="39">
        <v>1</v>
      </c>
      <c r="B47" s="39">
        <v>0</v>
      </c>
      <c r="C47" s="199" cm="1">
        <f t="array" ref="C47">INDEX(MMULT(TRANSPOSE(U_Matrix), E_Vector), 1)</f>
        <v>0.85180437709710355</v>
      </c>
      <c r="D47" s="44" t="s">
        <v>156</v>
      </c>
    </row>
    <row r="48" spans="1:13">
      <c r="A48" s="39">
        <v>2</v>
      </c>
      <c r="B48" s="39">
        <v>2.3940000000000001</v>
      </c>
      <c r="C48" s="199" cm="1">
        <f t="array" ref="C48">INDEX(MMULT(TRANSPOSE(U_Matrix), E_Vector), 2)</f>
        <v>0.14991857220732313</v>
      </c>
    </row>
    <row r="49" spans="1:4">
      <c r="A49" s="39">
        <v>3</v>
      </c>
      <c r="B49" s="39">
        <v>2.3940000000000001</v>
      </c>
      <c r="C49" s="199" cm="1">
        <f t="array" ref="C49">INDEX(MMULT(TRANSPOSE(U_Matrix), E_Vector), 3)</f>
        <v>0.1332355749722233</v>
      </c>
    </row>
    <row r="50" spans="1:4">
      <c r="A50" s="39">
        <v>4</v>
      </c>
      <c r="B50" s="39">
        <v>2.3940000000000001</v>
      </c>
      <c r="C50" s="199" cm="1">
        <f t="array" ref="C50">INDEX(MMULT(TRANSPOSE(U_Matrix), E_Vector), 4)</f>
        <v>-4.071642576262368E-2</v>
      </c>
    </row>
    <row r="51" spans="1:4">
      <c r="A51" s="39">
        <v>5</v>
      </c>
      <c r="B51" s="39">
        <v>5.5839999999999996</v>
      </c>
      <c r="C51" s="199" cm="1">
        <f t="array" ref="C51">INDEX(MMULT(TRANSPOSE(U_Matrix), E_Vector), 5)</f>
        <v>7.97958255515753E-2</v>
      </c>
    </row>
    <row r="52" spans="1:4">
      <c r="A52" s="39">
        <v>6</v>
      </c>
      <c r="B52" s="39">
        <v>5.5839999999999996</v>
      </c>
      <c r="C52" s="199" cm="1">
        <f t="array" ref="C52">INDEX(MMULT(TRANSPOSE(U_Matrix), E_Vector), 6)</f>
        <v>7.5444700393524744E-2</v>
      </c>
    </row>
    <row r="53" spans="1:4">
      <c r="A53" s="39">
        <v>7</v>
      </c>
      <c r="B53" s="39">
        <v>5.5839999999999996</v>
      </c>
      <c r="C53" s="199" cm="1">
        <f t="array" ref="C53">INDEX(MMULT(TRANSPOSE(U_Matrix), E_Vector), 7)</f>
        <v>9.1442664142256908E-2</v>
      </c>
    </row>
    <row r="54" spans="1:4">
      <c r="A54" s="39">
        <v>8</v>
      </c>
      <c r="B54" s="39">
        <v>6.8540000000000001</v>
      </c>
      <c r="C54" s="199" cm="1">
        <f t="array" ref="C54">INDEX(MMULT(TRANSPOSE(U_Matrix), E_Vector), 8)</f>
        <v>-0.21415695627425579</v>
      </c>
    </row>
    <row r="55" spans="1:4">
      <c r="A55" s="39">
        <v>9</v>
      </c>
      <c r="B55" s="39">
        <v>6.8540000000000001</v>
      </c>
      <c r="C55" s="199" cm="1">
        <f t="array" ref="C55">INDEX(MMULT(TRANSPOSE(U_Matrix), E_Vector), 9)</f>
        <v>0.24692165986808046</v>
      </c>
    </row>
    <row r="56" spans="1:4">
      <c r="A56" s="39">
        <v>10</v>
      </c>
      <c r="B56" s="39">
        <v>8.1460000000000008</v>
      </c>
      <c r="C56" s="199" cm="1">
        <f t="array" ref="C56">INDEX(MMULT(TRANSPOSE(U_Matrix), E_Vector), 10)</f>
        <v>-8.6493885435568379E-2</v>
      </c>
    </row>
    <row r="57" spans="1:4">
      <c r="A57" s="39">
        <v>11</v>
      </c>
      <c r="B57" s="39">
        <v>8.1460000000000008</v>
      </c>
      <c r="C57" s="199" cm="1">
        <f t="array" ref="C57">INDEX(MMULT(TRANSPOSE(U_Matrix), E_Vector), 11)</f>
        <v>-4.6572325358543651E-3</v>
      </c>
    </row>
    <row r="58" spans="1:4">
      <c r="A58" s="39">
        <v>12</v>
      </c>
      <c r="B58" s="39">
        <v>8.1460000000000008</v>
      </c>
      <c r="C58" s="199" cm="1">
        <f t="array" ref="C58">INDEX(MMULT(TRANSPOSE(U_Matrix), E_Vector), 12)</f>
        <v>-5.6911956450132931E-2</v>
      </c>
    </row>
    <row r="60" spans="1:4">
      <c r="A60" s="585" t="s">
        <v>155</v>
      </c>
      <c r="B60" s="585"/>
      <c r="C60" s="585"/>
      <c r="D60" s="5"/>
    </row>
    <row r="61" spans="1:4">
      <c r="A61" s="43" t="s">
        <v>150</v>
      </c>
      <c r="B61" s="40" cm="1">
        <f t="array" ref="B61">INDEX(A48:A58,MATCH(MAX(ABS(C48:C58)),ABS(C48:C58),0))</f>
        <v>9</v>
      </c>
      <c r="C61" s="43" t="s">
        <v>487</v>
      </c>
    </row>
    <row r="62" spans="1:4">
      <c r="A62" s="43" t="s">
        <v>151</v>
      </c>
      <c r="B62" s="43" t="s">
        <v>152</v>
      </c>
      <c r="C62" s="236">
        <f>ABS(VLOOKUP(B61, A47:C58, 3, FALSE))</f>
        <v>0.24692165986808046</v>
      </c>
      <c r="D62" s="45" t="s">
        <v>160</v>
      </c>
    </row>
    <row r="63" spans="1:4">
      <c r="A63" s="39"/>
      <c r="B63" s="39"/>
      <c r="C63" s="39"/>
      <c r="D63" s="45" t="s">
        <v>161</v>
      </c>
    </row>
    <row r="64" spans="1:4">
      <c r="A64" s="43" t="s">
        <v>153</v>
      </c>
      <c r="B64" s="43" t="s">
        <v>124</v>
      </c>
      <c r="C64" s="235" t="s">
        <v>154</v>
      </c>
    </row>
    <row r="65" spans="1:4">
      <c r="A65" s="39"/>
      <c r="B65" s="39" t="s">
        <v>103</v>
      </c>
      <c r="C65" s="234" cm="1">
        <f t="array" ref="C65">-1 * INDEX(U_Matrix, ROW(B1), $B$61)</f>
        <v>0</v>
      </c>
    </row>
    <row r="66" spans="1:4">
      <c r="A66" s="39"/>
      <c r="B66" s="39" t="s">
        <v>104</v>
      </c>
      <c r="C66" s="234" cm="1">
        <f t="array" ref="C66">-1 * INDEX(U_Matrix, ROW(B2), $B$61)</f>
        <v>-0.40799999999999997</v>
      </c>
    </row>
    <row r="67" spans="1:4">
      <c r="A67" s="39"/>
      <c r="B67" s="39" t="s">
        <v>105</v>
      </c>
      <c r="C67" s="234" cm="1">
        <f t="array" ref="C67">-1 * INDEX(U_Matrix, ROW(B3), $B$61)</f>
        <v>0.40799999999999997</v>
      </c>
    </row>
    <row r="68" spans="1:4">
      <c r="A68" s="39"/>
      <c r="B68" s="39" t="s">
        <v>106</v>
      </c>
      <c r="C68" s="234" cm="1">
        <f t="array" ref="C68">-1 * INDEX(U_Matrix, ROW(B4), $B$61)</f>
        <v>0</v>
      </c>
    </row>
    <row r="69" spans="1:4">
      <c r="A69" s="39"/>
      <c r="B69" s="39" t="s">
        <v>107</v>
      </c>
      <c r="C69" s="234" cm="1">
        <f t="array" ref="C69">-1 * INDEX(U_Matrix, ROW(B5), $B$61)</f>
        <v>0.16200000000000001</v>
      </c>
    </row>
    <row r="70" spans="1:4">
      <c r="A70" s="39"/>
      <c r="B70" s="39" t="s">
        <v>108</v>
      </c>
      <c r="C70" s="234" cm="1">
        <f t="array" ref="C70">-1 * INDEX(U_Matrix, ROW(B6), $B$61)</f>
        <v>0.25</v>
      </c>
    </row>
    <row r="71" spans="1:4">
      <c r="A71" s="39"/>
      <c r="B71" s="39" t="s">
        <v>109</v>
      </c>
      <c r="C71" s="234" cm="1">
        <f t="array" ref="C71">-1 * INDEX(U_Matrix, ROW(B7), $B$61)</f>
        <v>-0.25</v>
      </c>
    </row>
    <row r="72" spans="1:4">
      <c r="A72" s="39"/>
      <c r="B72" s="39" t="s">
        <v>110</v>
      </c>
      <c r="C72" s="234" cm="1">
        <f t="array" ref="C72">-1 * INDEX(U_Matrix, ROW(B8), $B$61)</f>
        <v>0.25</v>
      </c>
    </row>
    <row r="73" spans="1:4">
      <c r="A73" s="39"/>
      <c r="B73" s="39" t="s">
        <v>111</v>
      </c>
      <c r="C73" s="234" cm="1">
        <f t="array" ref="C73">-1 * INDEX(U_Matrix, ROW(B9), $B$61)</f>
        <v>-0.25</v>
      </c>
    </row>
    <row r="74" spans="1:4">
      <c r="A74" s="39"/>
      <c r="B74" s="39" t="s">
        <v>112</v>
      </c>
      <c r="C74" s="234" cm="1">
        <f t="array" ref="C74">-1 * INDEX(U_Matrix, ROW(B10), $B$61)</f>
        <v>-0.125</v>
      </c>
    </row>
    <row r="75" spans="1:4">
      <c r="A75" s="39"/>
      <c r="B75" s="39" t="s">
        <v>113</v>
      </c>
      <c r="C75" s="234" cm="1">
        <f t="array" ref="C75">-1 * INDEX(U_Matrix, ROW(B11), $B$61)</f>
        <v>-0.5</v>
      </c>
    </row>
    <row r="76" spans="1:4">
      <c r="A76" s="39"/>
      <c r="B76" s="39" t="s">
        <v>114</v>
      </c>
      <c r="C76" s="234" cm="1">
        <f t="array" ref="C76">-1 * INDEX(U_Matrix, ROW(B12), $B$61)</f>
        <v>0</v>
      </c>
    </row>
    <row r="78" spans="1:4">
      <c r="A78" s="587" t="s">
        <v>164</v>
      </c>
      <c r="B78" s="588"/>
      <c r="C78" s="589"/>
    </row>
    <row r="79" spans="1:4">
      <c r="A79" s="51" t="s">
        <v>165</v>
      </c>
      <c r="B79" s="49" t="s">
        <v>444</v>
      </c>
      <c r="C79" s="49"/>
      <c r="D79" t="s">
        <v>172</v>
      </c>
    </row>
    <row r="80" spans="1:4">
      <c r="A80" s="48" t="s">
        <v>157</v>
      </c>
      <c r="B80" s="51" t="s">
        <v>273</v>
      </c>
      <c r="C80" s="49"/>
    </row>
    <row r="81" spans="1:4" ht="20.399999999999999">
      <c r="A81" s="48" t="s">
        <v>301</v>
      </c>
      <c r="B81" s="49" t="str" cm="1">
        <f t="array" ref="B81">_xlfn.TEXTJOIN(", ",TRUE,IF(C65:C76&gt;0,B65:B76,""))</f>
        <v>Face 3, Face 5, Face 6, Face 8</v>
      </c>
      <c r="C81" s="52" cm="1">
        <f t="array" ref="C81">SUMPRODUCT(SUMIF(A2:A13,TRIM(_xlfn.TEXTSPLIT(B81,",")),K2:K13))/SUMPRODUCT(COUNTIF(A2:A13,TRIM(_xlfn.TEXTSPLIT(B81,","))))</f>
        <v>0.16990906816157003</v>
      </c>
    </row>
    <row r="82" spans="1:4" ht="27" customHeight="1">
      <c r="A82" s="48" t="s">
        <v>302</v>
      </c>
      <c r="B82" s="49" t="str" cm="1">
        <f t="array" ref="B82">_xlfn.TEXTJOIN(", ",TRUE,IF(C66:C77&lt;0,B66:B77,""))</f>
        <v>Face 2, Face 7, Face 9, Face 10, Face 11</v>
      </c>
      <c r="C82" s="52" cm="1">
        <f t="array" ref="C82">SUMPRODUCT(SUMIF(A2:A13,TRIM(_xlfn.TEXTSPLIT(B82,",")),K2:K13))/SUMPRODUCT(COUNTIF(A2:A13,TRIM(_xlfn.TEXTSPLIT(B82,","))))</f>
        <v>0.31741134795028347</v>
      </c>
    </row>
    <row r="83" spans="1:4">
      <c r="A83" s="49"/>
      <c r="B83" s="49"/>
      <c r="C83" s="49"/>
    </row>
    <row r="84" spans="1:4">
      <c r="A84" s="51" t="s">
        <v>445</v>
      </c>
      <c r="B84" s="78">
        <f>C82/C81</f>
        <v>1.8681248233817072</v>
      </c>
      <c r="C84" s="54"/>
    </row>
    <row r="85" spans="1:4">
      <c r="A85" s="48"/>
      <c r="B85" s="55"/>
      <c r="C85" s="54"/>
      <c r="D85" t="str">
        <f>IF(C65&gt;0, C65, IF(C65&lt;0,C65,""))</f>
        <v/>
      </c>
    </row>
    <row r="86" spans="1:4" ht="21.6">
      <c r="A86" s="51" t="s">
        <v>281</v>
      </c>
      <c r="B86" s="55" t="s">
        <v>282</v>
      </c>
      <c r="C86" s="54"/>
      <c r="D86" t="s">
        <v>171</v>
      </c>
    </row>
    <row r="87" spans="1:4">
      <c r="A87" s="48" t="s">
        <v>157</v>
      </c>
      <c r="B87" s="51" t="s">
        <v>272</v>
      </c>
      <c r="C87" s="54"/>
    </row>
    <row r="88" spans="1:4">
      <c r="A88" s="48"/>
      <c r="B88" s="55"/>
      <c r="C88" s="54"/>
    </row>
    <row r="89" spans="1:4" ht="20.399999999999999">
      <c r="A89" s="48" t="s">
        <v>167</v>
      </c>
      <c r="B89" s="55" t="s">
        <v>168</v>
      </c>
      <c r="C89" s="54" t="s">
        <v>169</v>
      </c>
    </row>
    <row r="90" spans="1:4">
      <c r="A90" s="200" cm="1">
        <f t="array" ref="A90:A101">ABS(C65:C76)</f>
        <v>0</v>
      </c>
      <c r="B90" s="55">
        <f t="shared" ref="B90:B101" si="2">A90/$A$102</f>
        <v>0</v>
      </c>
      <c r="C90" s="54">
        <f>B90*K2</f>
        <v>0</v>
      </c>
    </row>
    <row r="91" spans="1:4">
      <c r="A91" s="200">
        <v>0.40799999999999997</v>
      </c>
      <c r="B91" s="55">
        <f>A91/$A$102</f>
        <v>0.15674222051479064</v>
      </c>
      <c r="C91" s="54">
        <f>B91*K3</f>
        <v>6.2832269549628089E-2</v>
      </c>
    </row>
    <row r="92" spans="1:4">
      <c r="A92" s="200">
        <v>0.40799999999999997</v>
      </c>
      <c r="B92" s="55">
        <f t="shared" si="2"/>
        <v>0.15674222051479064</v>
      </c>
      <c r="C92" s="54">
        <f t="shared" ref="C92:C101" si="3">B92*K4</f>
        <v>2.5955239211151726E-2</v>
      </c>
    </row>
    <row r="93" spans="1:4">
      <c r="A93" s="200">
        <v>0</v>
      </c>
      <c r="B93" s="55">
        <f t="shared" si="2"/>
        <v>0</v>
      </c>
      <c r="C93" s="54">
        <f t="shared" si="3"/>
        <v>0</v>
      </c>
    </row>
    <row r="94" spans="1:4">
      <c r="A94" s="200">
        <v>0.16200000000000001</v>
      </c>
      <c r="B94" s="55">
        <f t="shared" si="2"/>
        <v>6.2235881674990404E-2</v>
      </c>
      <c r="C94" s="54">
        <f t="shared" si="3"/>
        <v>2.8786457147227675E-3</v>
      </c>
    </row>
    <row r="95" spans="1:4">
      <c r="A95" s="200">
        <v>0.25</v>
      </c>
      <c r="B95" s="55">
        <f t="shared" si="2"/>
        <v>9.6043027276219758E-2</v>
      </c>
      <c r="C95" s="54">
        <f t="shared" si="3"/>
        <v>2.3712963671091755E-2</v>
      </c>
    </row>
    <row r="96" spans="1:4">
      <c r="A96" s="200">
        <v>0.25</v>
      </c>
      <c r="B96" s="55">
        <f t="shared" si="2"/>
        <v>9.6043027276219758E-2</v>
      </c>
      <c r="C96" s="54">
        <f t="shared" si="3"/>
        <v>1.9989454187155063E-2</v>
      </c>
    </row>
    <row r="97" spans="1:15">
      <c r="A97" s="200">
        <v>0.25</v>
      </c>
      <c r="B97" s="55">
        <f t="shared" si="2"/>
        <v>9.6043027276219758E-2</v>
      </c>
      <c r="C97" s="54">
        <f t="shared" si="3"/>
        <v>2.1215061307485843E-2</v>
      </c>
    </row>
    <row r="98" spans="1:15">
      <c r="A98" s="200">
        <v>0.25</v>
      </c>
      <c r="B98" s="55">
        <f t="shared" si="2"/>
        <v>9.6043027276219758E-2</v>
      </c>
      <c r="C98" s="54">
        <f t="shared" si="3"/>
        <v>4.2099842038712906E-2</v>
      </c>
    </row>
    <row r="99" spans="1:15">
      <c r="A99" s="200">
        <v>0.125</v>
      </c>
      <c r="B99" s="55">
        <f t="shared" si="2"/>
        <v>4.8021513638109879E-2</v>
      </c>
      <c r="C99" s="54">
        <f t="shared" si="3"/>
        <v>1.9990595241130334E-2</v>
      </c>
    </row>
    <row r="100" spans="1:15">
      <c r="A100" s="200">
        <v>0.5</v>
      </c>
      <c r="B100" s="55">
        <f t="shared" si="2"/>
        <v>0.19208605455243952</v>
      </c>
      <c r="C100" s="54">
        <f t="shared" si="3"/>
        <v>2.3710163743023729E-2</v>
      </c>
    </row>
    <row r="101" spans="1:15">
      <c r="A101" s="200">
        <v>0</v>
      </c>
      <c r="B101" s="55">
        <f t="shared" si="2"/>
        <v>0</v>
      </c>
      <c r="C101" s="54">
        <f t="shared" si="3"/>
        <v>0</v>
      </c>
    </row>
    <row r="102" spans="1:15">
      <c r="A102" s="57">
        <f>SUM(_xlfn.ANCHORARRAY(A90))</f>
        <v>2.6029999999999998</v>
      </c>
      <c r="B102" s="55"/>
      <c r="C102" s="56">
        <f>SUM(C90:C101)</f>
        <v>0.24238423466410222</v>
      </c>
    </row>
    <row r="103" spans="1:15">
      <c r="A103" s="55"/>
      <c r="B103" s="55"/>
      <c r="C103" s="55"/>
    </row>
    <row r="104" spans="1:15">
      <c r="A104" s="53" t="s">
        <v>170</v>
      </c>
      <c r="B104" s="78">
        <f>C102</f>
        <v>0.24238423466410222</v>
      </c>
      <c r="C104" s="55"/>
    </row>
    <row r="105" spans="1:15" s="35" customFormat="1">
      <c r="E105" s="237"/>
      <c r="F105"/>
    </row>
    <row r="106" spans="1:15" ht="20.399999999999999" customHeight="1">
      <c r="A106" s="602" t="s">
        <v>488</v>
      </c>
      <c r="B106" s="601"/>
      <c r="C106" s="601"/>
      <c r="D106" s="601"/>
      <c r="E106" s="601"/>
      <c r="F106" s="601"/>
      <c r="G106" s="601"/>
      <c r="H106" s="601"/>
      <c r="I106" s="601"/>
      <c r="J106" s="601"/>
      <c r="K106" s="601"/>
      <c r="L106" s="601"/>
      <c r="O106" s="79" t="s">
        <v>162</v>
      </c>
    </row>
    <row r="107" spans="1:15" ht="22.8">
      <c r="A107" s="77" t="s">
        <v>2</v>
      </c>
      <c r="B107" s="77" t="s">
        <v>251</v>
      </c>
      <c r="C107" s="77" t="s">
        <v>4</v>
      </c>
      <c r="D107" s="77" t="s">
        <v>252</v>
      </c>
      <c r="E107" s="77" t="s">
        <v>486</v>
      </c>
      <c r="F107" s="77" t="s">
        <v>158</v>
      </c>
      <c r="G107" s="77" t="s">
        <v>159</v>
      </c>
      <c r="H107" s="603" t="s">
        <v>566</v>
      </c>
      <c r="I107" s="604"/>
      <c r="J107" s="604"/>
      <c r="K107" s="605"/>
      <c r="L107" s="77" t="s">
        <v>2161</v>
      </c>
      <c r="O107" s="80" t="s">
        <v>163</v>
      </c>
    </row>
    <row r="108" spans="1:15">
      <c r="A108" s="436" t="str">
        <f>_xlfn.XLOOKUP(C108,KPI_Database[KPI_Name],KPI_Database[KPI_ID])</f>
        <v>L1.1</v>
      </c>
      <c r="B108" s="214" t="str" cm="1">
        <f t="array" ref="B108:B116">_xlfn.SORTBY(_xlfn._xlws.FILTER(B65:B76,(C65:C76&lt;&gt;0)*ISNUMBER(C65:C76)), _xlfn._xlws.FILTER(C65:C76,(C65:C76&lt;&gt;0)*ISNUMBER(C65:C76)), -1)</f>
        <v>Face 3</v>
      </c>
      <c r="C108" s="215" t="str" cm="1">
        <f t="array" ref="C108">_xlfn.TEXTJOIN(", ",TRUE,_xlfn._xlws.FILTER(KPI_DATABASE!$B:$B,KPI_DATABASE!$D:$D=DODECA_ENGINE!B108))</f>
        <v>Founder Energy Lvl</v>
      </c>
      <c r="D108" s="216">
        <f>_xlfn.XLOOKUP(C108,KPI_Database[KPI_Name],KPI_Database[Weight])</f>
        <v>1</v>
      </c>
      <c r="E108" s="438">
        <f t="shared" ref="E108:E119" si="4">_xlfn.XLOOKUP(B108,$B$65:$B$76,$C$65:$C$76)*$C$62</f>
        <v>0.10074403722617682</v>
      </c>
      <c r="F108" s="217">
        <f t="shared" ref="F108:F119" si="5">_xlfn.XLOOKUP(B108,$A$2:$A$13,E_Vector)</f>
        <v>0.16559188153585278</v>
      </c>
      <c r="G108" s="218">
        <f t="shared" ref="G108:G119" si="6">MIN(1,SUM(E108:F108))</f>
        <v>0.26633591876202961</v>
      </c>
      <c r="H108" s="594">
        <f>IFERROR(_xlfn.XLOOKUP(C108,KPI_Database[KPI_Name],KPI_Database[Increased Sensitivity KPI Target]),  "Pause &amp; Rebalance. Focus on Positive Deltas")</f>
        <v>8.6441179876607439</v>
      </c>
      <c r="I108" s="594"/>
      <c r="J108" s="594"/>
      <c r="K108" s="594"/>
      <c r="L108" s="517">
        <f>IFERROR((G108*_xlfn.XLOOKUP(A108,KPI_Database[KPI_ID],KPI_Database[K_Normalized]))/F108, 0)</f>
        <v>0.30109014723319621</v>
      </c>
    </row>
    <row r="109" spans="1:15">
      <c r="A109" s="435" t="str">
        <f>_xlfn.XLOOKUP(C109,KPI_Database[KPI_Name],KPI_Database[KPI_ID])</f>
        <v>S2.1</v>
      </c>
      <c r="B109" s="211" t="str">
        <v>Face 6</v>
      </c>
      <c r="C109" s="49" t="str" cm="1">
        <f t="array" ref="C109">_xlfn.TEXTJOIN(", ",TRUE,_xlfn._xlws.FILTER(KPI_DATABASE!$B:$B,KPI_DATABASE!$D:$D=DODECA_ENGINE!B109))</f>
        <v>Strat. Convos</v>
      </c>
      <c r="D109" s="89">
        <f>_xlfn.XLOOKUP(C109,KPI_Database[KPI_Name],KPI_Database[Weight])</f>
        <v>1</v>
      </c>
      <c r="E109" s="93">
        <f t="shared" si="4"/>
        <v>6.1730414967020114E-2</v>
      </c>
      <c r="F109" s="50">
        <f t="shared" si="5"/>
        <v>0.24689937774340731</v>
      </c>
      <c r="G109" s="218">
        <f t="shared" si="6"/>
        <v>0.30862979271042745</v>
      </c>
      <c r="H109" s="594">
        <f>IFERROR(_xlfn.XLOOKUP(C109,KPI_Database[KPI_Name],KPI_Database[Increased Sensitivity KPI Target]),  "Pause &amp; Rebalance. Focus on Positive Deltas")</f>
        <v>2.0124172749700824</v>
      </c>
      <c r="I109" s="594"/>
      <c r="J109" s="594"/>
      <c r="K109" s="594"/>
      <c r="L109" s="517">
        <f>IFERROR((G109*_xlfn.XLOOKUP(A109,KPI_Database[KPI_ID],KPI_Database[K_Normalized]))/F109, 0)</f>
        <v>0.5031043187425206</v>
      </c>
    </row>
    <row r="110" spans="1:15">
      <c r="A110" s="435" t="str">
        <f>_xlfn.XLOOKUP(C110,KPI_Database[KPI_Name],KPI_Database[KPI_ID])</f>
        <v>P3.1</v>
      </c>
      <c r="B110" s="211" t="str">
        <v>Face 8</v>
      </c>
      <c r="C110" s="49" t="str" cm="1">
        <f t="array" ref="C110">_xlfn.TEXTJOIN(", ",TRUE,_xlfn._xlws.FILTER(KPI_DATABASE!$B:$B,KPI_DATABASE!$D:$D=DODECA_ENGINE!B110))</f>
        <v>"Live" Test Done</v>
      </c>
      <c r="D110" s="89">
        <f>_xlfn.XLOOKUP(C110,KPI_Database[KPI_Name],KPI_Database[Weight])</f>
        <v>1</v>
      </c>
      <c r="E110" s="93">
        <f t="shared" si="4"/>
        <v>6.1730414967020114E-2</v>
      </c>
      <c r="F110" s="50">
        <f t="shared" si="5"/>
        <v>0.22089121833354255</v>
      </c>
      <c r="G110" s="218">
        <f t="shared" si="6"/>
        <v>0.28262163330056267</v>
      </c>
      <c r="H110" s="594">
        <f>IFERROR(_xlfn.XLOOKUP(C110,KPI_Database[KPI_Name],KPI_Database[Increased Sensitivity KPI Target]),  "Pause &amp; Rebalance. Focus on Positive Deltas")</f>
        <v>0.52125596032569443</v>
      </c>
      <c r="I110" s="594"/>
      <c r="J110" s="594"/>
      <c r="K110" s="594"/>
      <c r="L110" s="517">
        <f>IFERROR((G110*_xlfn.XLOOKUP(A110,KPI_Database[KPI_ID],KPI_Database[K_Normalized]))/F110, 0)</f>
        <v>0.52125596032569443</v>
      </c>
    </row>
    <row r="111" spans="1:15">
      <c r="A111" s="435" t="str">
        <f>_xlfn.XLOOKUP(C111,KPI_Database[KPI_Name],KPI_Database[KPI_ID])</f>
        <v>P1.1</v>
      </c>
      <c r="B111" s="211" t="str">
        <v>Face 5</v>
      </c>
      <c r="C111" s="49" t="str" cm="1">
        <f t="array" ref="C111">_xlfn.TEXTJOIN(", ",TRUE,_xlfn._xlws.FILTER(KPI_DATABASE!$B:$B,KPI_DATABASE!$D:$D=DODECA_ENGINE!B111))</f>
        <v>Clarity Score</v>
      </c>
      <c r="D111" s="89">
        <f>_xlfn.XLOOKUP(C111,KPI_Database[KPI_Name],KPI_Database[Weight])</f>
        <v>1</v>
      </c>
      <c r="E111" s="93">
        <f t="shared" si="4"/>
        <v>4.0001308898629039E-2</v>
      </c>
      <c r="F111" s="50">
        <f t="shared" si="5"/>
        <v>4.6253795033477547E-2</v>
      </c>
      <c r="G111" s="218">
        <f t="shared" si="6"/>
        <v>8.6255103932106586E-2</v>
      </c>
      <c r="H111" s="594" t="str">
        <f>IFERROR(_xlfn.XLOOKUP(C111,KPI_Database[KPI_Name],KPI_Database[Increased Sensitivity KPI Target]),  "Pause &amp; Rebalance. Focus on Positive Deltas")</f>
        <v>Pause &amp; Rebalance. Focus on Positive Deltas</v>
      </c>
      <c r="I111" s="594"/>
      <c r="J111" s="594"/>
      <c r="K111" s="594"/>
      <c r="L111" s="517">
        <f>IFERROR((G111*_xlfn.XLOOKUP(A111,KPI_Database[KPI_ID],KPI_Database[K_Normalized]))/F111, 0)</f>
        <v>0</v>
      </c>
    </row>
    <row r="112" spans="1:15">
      <c r="A112" s="435" t="str">
        <f>_xlfn.XLOOKUP(C112,KPI_Database[KPI_Name],KPI_Database[KPI_ID])</f>
        <v>L3.1</v>
      </c>
      <c r="B112" s="211" t="str">
        <v>Face 10</v>
      </c>
      <c r="C112" s="49" t="str" cm="1">
        <f t="array" ref="C112">_xlfn.TEXTJOIN(", ",TRUE,_xlfn._xlws.FILTER(KPI_DATABASE!$B:$B,KPI_DATABASE!$D:$D=DODECA_ENGINE!B112))</f>
        <v># Value Checks</v>
      </c>
      <c r="D112" s="89">
        <f>_xlfn.XLOOKUP(C112,KPI_Database[KPI_Name],KPI_Database[Weight])</f>
        <v>1</v>
      </c>
      <c r="E112" s="93">
        <f t="shared" si="4"/>
        <v>-3.0865207483510057E-2</v>
      </c>
      <c r="F112" s="50">
        <f t="shared" si="5"/>
        <v>0.41628415530129803</v>
      </c>
      <c r="G112" s="218">
        <f t="shared" si="6"/>
        <v>0.38541894781778796</v>
      </c>
      <c r="H112" s="594" t="str">
        <f>IFERROR(_xlfn.XLOOKUP(C112,KPI_Database[KPI_Name],KPI_Database[Increased Sensitivity KPI Target]),  "Pause &amp; Rebalance. Focus on Positive Deltas")</f>
        <v>Pause &amp; Rebalance. Focus on Positive Deltas</v>
      </c>
      <c r="I112" s="594"/>
      <c r="J112" s="594"/>
      <c r="K112" s="594"/>
      <c r="L112" s="517">
        <f>IFERROR((G112*_xlfn.XLOOKUP(A112,KPI_Database[KPI_ID],KPI_Database[K_Normalized]))/F112, 0)</f>
        <v>0.62052065748172436</v>
      </c>
    </row>
    <row r="113" spans="1:13">
      <c r="A113" s="435" t="str">
        <f>_xlfn.XLOOKUP(C113,KPI_Database[KPI_Name],KPI_Database[KPI_ID])</f>
        <v>S1.1</v>
      </c>
      <c r="B113" s="211" t="str">
        <v>Face 7</v>
      </c>
      <c r="C113" s="49" t="str" cm="1">
        <f t="array" ref="C113">_xlfn.TEXTJOIN(", ",TRUE,_xlfn._xlws.FILTER(KPI_DATABASE!$B:$B,KPI_DATABASE!$D:$D=DODECA_ENGINE!B113))</f>
        <v>Engaging Posts</v>
      </c>
      <c r="D113" s="89">
        <f>_xlfn.XLOOKUP(C113,KPI_Database[KPI_Name],KPI_Database[Weight])</f>
        <v>1</v>
      </c>
      <c r="E113" s="93">
        <f t="shared" si="4"/>
        <v>-6.1730414967020114E-2</v>
      </c>
      <c r="F113" s="50">
        <f t="shared" si="5"/>
        <v>0.2081301969966585</v>
      </c>
      <c r="G113" s="218">
        <f t="shared" si="6"/>
        <v>0.14639978202963838</v>
      </c>
      <c r="H113" s="594" t="str">
        <f>IFERROR(_xlfn.XLOOKUP(C113,KPI_Database[KPI_Name],KPI_Database[Increased Sensitivity KPI Target]),  "Pause &amp; Rebalance. Focus on Positive Deltas")</f>
        <v>Pause &amp; Rebalance. Focus on Positive Deltas</v>
      </c>
      <c r="I113" s="594"/>
      <c r="J113" s="594"/>
      <c r="K113" s="594"/>
      <c r="L113" s="517">
        <f>IFERROR((G113*_xlfn.XLOOKUP(A113,KPI_Database[KPI_ID],KPI_Database[K_Normalized]))/F113, 0)</f>
        <v>0.2203331834014095</v>
      </c>
    </row>
    <row r="114" spans="1:13">
      <c r="A114" s="435" t="str">
        <f>_xlfn.XLOOKUP(C114,KPI_Database[KPI_Name],KPI_Database[KPI_ID])</f>
        <v>E1.1</v>
      </c>
      <c r="B114" s="211" t="str">
        <v>Face 9</v>
      </c>
      <c r="C114" s="49" t="str" cm="1">
        <f t="array" ref="C114">_xlfn.TEXTJOIN(", ",TRUE,_xlfn._xlws.FILTER(KPI_DATABASE!$B:$B,KPI_DATABASE!$D:$D=DODECA_ENGINE!B114))</f>
        <v># Regen Choices</v>
      </c>
      <c r="D114" s="89">
        <f>_xlfn.XLOOKUP(C114,KPI_Database[KPI_Name],KPI_Database[Weight])</f>
        <v>1</v>
      </c>
      <c r="E114" s="93">
        <f t="shared" si="4"/>
        <v>-6.1730414967020114E-2</v>
      </c>
      <c r="F114" s="50">
        <f t="shared" si="5"/>
        <v>0.43834355530707869</v>
      </c>
      <c r="G114" s="218">
        <f t="shared" si="6"/>
        <v>0.37661314034005855</v>
      </c>
      <c r="H114" s="594" t="str">
        <f>IFERROR(_xlfn.XLOOKUP(C114,KPI_Database[KPI_Name],KPI_Database[Increased Sensitivity KPI Target]),  "Pause &amp; Rebalance. Focus on Positive Deltas")</f>
        <v>Pause &amp; Rebalance. Focus on Positive Deltas</v>
      </c>
      <c r="I114" s="594"/>
      <c r="J114" s="594"/>
      <c r="K114" s="594"/>
      <c r="L114" s="517">
        <f>IFERROR((G114*_xlfn.XLOOKUP(A114,KPI_Database[KPI_ID],KPI_Database[K_Normalized]))/F114, 0)</f>
        <v>0.57582949517216042</v>
      </c>
    </row>
    <row r="115" spans="1:13">
      <c r="A115" s="435" t="str">
        <f>_xlfn.XLOOKUP(C115,KPI_Database[KPI_Name],KPI_Database[KPI_ID])</f>
        <v>L2.1</v>
      </c>
      <c r="B115" s="211" t="str">
        <v>Face 2</v>
      </c>
      <c r="C115" s="228" t="str" cm="1">
        <f t="array" ref="C115">_xlfn.TEXTJOIN(", ",TRUE,_xlfn._xlws.FILTER(KPI_DATABASE!$B:$B,KPI_DATABASE!$D:$D=DODECA_ENGINE!B115))</f>
        <v>% Thesis Drafted</v>
      </c>
      <c r="D115" s="89">
        <f>_xlfn.XLOOKUP(C115,KPI_Database[KPI_Name],KPI_Database[Weight])</f>
        <v>1</v>
      </c>
      <c r="E115" s="93">
        <f t="shared" si="4"/>
        <v>-0.10074403722617682</v>
      </c>
      <c r="F115" s="50">
        <f t="shared" si="5"/>
        <v>0.40086371970020074</v>
      </c>
      <c r="G115" s="218">
        <f t="shared" si="6"/>
        <v>0.30011968247402393</v>
      </c>
      <c r="H115" s="594" t="str">
        <f>IFERROR(_xlfn.XLOOKUP(C115,KPI_Database[KPI_Name],KPI_Database[Increased Sensitivity KPI Target]),  "Pause &amp; Rebalance. Focus on Positive Deltas")</f>
        <v>Pause &amp; Rebalance. Focus on Positive Deltas</v>
      </c>
      <c r="I115" s="594"/>
      <c r="J115" s="594"/>
      <c r="K115" s="594"/>
      <c r="L115" s="517">
        <f>IFERROR((G115*_xlfn.XLOOKUP(A115,KPI_Database[KPI_ID],KPI_Database[K_Normalized]))/F115, 0)</f>
        <v>0.45622577116326635</v>
      </c>
    </row>
    <row r="116" spans="1:13">
      <c r="A116" s="435" t="str">
        <f>_xlfn.XLOOKUP(C116,KPI_Database[KPI_Name],KPI_Database[KPI_ID])</f>
        <v>F1.2</v>
      </c>
      <c r="B116" s="212" t="str">
        <v>Face 11</v>
      </c>
      <c r="C116" s="229" t="str" cm="1">
        <f t="array" ref="C116">_xlfn.TEXTJOIN(", ",TRUE,_xlfn._xlws.FILTER(KPI_DATABASE!$B:$B,KPI_DATABASE!$D:$D=DODECA_ENGINE!B116))</f>
        <v># Funding Opps</v>
      </c>
      <c r="D116" s="89">
        <f>_xlfn.XLOOKUP(C116,KPI_Database[KPI_Name],KPI_Database[Weight])</f>
        <v>1</v>
      </c>
      <c r="E116" s="514">
        <f t="shared" si="4"/>
        <v>-0.12346082993404023</v>
      </c>
      <c r="F116" s="515">
        <f t="shared" si="5"/>
        <v>0.12343511244618152</v>
      </c>
      <c r="G116" s="516">
        <f>-0.00002571747222</f>
        <v>-2.5717472219999999E-5</v>
      </c>
      <c r="H116" s="594" t="str">
        <f>IFERROR(_xlfn.XLOOKUP(C116,KPI_Database[KPI_Name],KPI_Database[Increased Sensitivity KPI Target]),  "Pause &amp; Rebalance. Focus on Positive Deltas")</f>
        <v>Pause &amp; Rebalance. Focus on Positive Deltas</v>
      </c>
      <c r="I116" s="594"/>
      <c r="J116" s="594"/>
      <c r="K116" s="594"/>
      <c r="L116" s="517">
        <f>IFERROR((G116*_xlfn.XLOOKUP(A116,KPI_Database[KPI_ID],KPI_Database[K_Normalized]))/F116, 0)</f>
        <v>-4.0098875418855768E-5</v>
      </c>
    </row>
    <row r="117" spans="1:13">
      <c r="A117" s="435" t="e">
        <f>_xlfn.XLOOKUP(C117,KPI_Database[KPI_Name],KPI_Database[KPI_ID])</f>
        <v>#N/A</v>
      </c>
      <c r="B117" s="213"/>
      <c r="C117" s="230" t="str" cm="1">
        <f t="array" ref="C117">_xlfn.TEXTJOIN(", ",TRUE,_xlfn._xlws.FILTER(KPI_DATABASE!$B:$B,KPI_DATABASE!$D:$D=DODECA_ENGINE!B117))</f>
        <v>=IF(AND(Value &gt;= Healthy_Min, Value &lt;= Healthy_Max), 1, IF(Value &lt; Healthy_Min, (Value - Target_Min) / (Healthy_Min - Target_Min), 1 - (Value - Healthy_Max) / (Absolute_Max - Healthy_Max)))</v>
      </c>
      <c r="D117" s="89" t="e">
        <f>_xlfn.XLOOKUP(C117,KPI_Database[KPI_Name],KPI_Database[Weight])</f>
        <v>#N/A</v>
      </c>
      <c r="E117" s="93" t="e">
        <f t="shared" si="4"/>
        <v>#N/A</v>
      </c>
      <c r="F117" s="90" t="e">
        <f t="shared" si="5"/>
        <v>#N/A</v>
      </c>
      <c r="G117" s="218" t="e">
        <f t="shared" si="6"/>
        <v>#N/A</v>
      </c>
      <c r="H117" s="594" t="str">
        <f>IFERROR(_xlfn.XLOOKUP(C117,KPI_Database[KPI_Name],KPI_Database[Increased Sensitivity KPI Target]),  "Pause &amp; Rebalance. Focus on Positive Deltas")</f>
        <v>Pause &amp; Rebalance. Focus on Positive Deltas</v>
      </c>
      <c r="I117" s="594"/>
      <c r="J117" s="594"/>
      <c r="K117" s="594"/>
      <c r="L117" s="517">
        <f>IFERROR((G117*_xlfn.XLOOKUP(A117,KPI_Database[KPI_ID],KPI_Database[K_Normalized]))/F117, 0)</f>
        <v>0</v>
      </c>
    </row>
    <row r="118" spans="1:13">
      <c r="A118" s="435" t="e">
        <f>_xlfn.XLOOKUP(C118,KPI_Database[KPI_Name],KPI_Database[KPI_ID])</f>
        <v>#N/A</v>
      </c>
      <c r="B118" s="213"/>
      <c r="C118" s="230" t="str" cm="1">
        <f t="array" ref="C118">_xlfn.TEXTJOIN(", ",TRUE,_xlfn._xlws.FILTER(KPI_DATABASE!$B:$B,KPI_DATABASE!$D:$D=DODECA_ENGINE!B118))</f>
        <v>=IF(AND(Value &gt;= Healthy_Min, Value &lt;= Healthy_Max), 1, IF(Value &lt; Healthy_Min, (Value - Target_Min) / (Healthy_Min - Target_Min), 1 - (Value - Healthy_Max) / (Absolute_Max - Healthy_Max)))</v>
      </c>
      <c r="D118" s="89" t="e">
        <f>_xlfn.XLOOKUP(C118,KPI_Database[KPI_Name],KPI_Database[Weight])</f>
        <v>#N/A</v>
      </c>
      <c r="E118" s="93" t="e">
        <f t="shared" si="4"/>
        <v>#N/A</v>
      </c>
      <c r="F118" s="90" t="e">
        <f t="shared" si="5"/>
        <v>#N/A</v>
      </c>
      <c r="G118" s="218" t="e">
        <f t="shared" si="6"/>
        <v>#N/A</v>
      </c>
      <c r="H118" s="594" t="str">
        <f>IFERROR(_xlfn.XLOOKUP(C118,KPI_Database[KPI_Name],KPI_Database[Increased Sensitivity KPI Target]),  "Pause &amp; Rebalance. Focus on Positive Deltas")</f>
        <v>Pause &amp; Rebalance. Focus on Positive Deltas</v>
      </c>
      <c r="I118" s="594"/>
      <c r="J118" s="594"/>
      <c r="K118" s="594"/>
      <c r="L118">
        <f>IFERROR((G118*_xlfn.XLOOKUP(A118,KPI_Database[KPI_ID],KPI_Database[K_Normalized]))/F118, 0)</f>
        <v>0</v>
      </c>
    </row>
    <row r="119" spans="1:13">
      <c r="A119" s="435" t="e">
        <f>_xlfn.XLOOKUP(C119,KPI_Database[KPI_Name],KPI_Database[KPI_ID])</f>
        <v>#N/A</v>
      </c>
      <c r="B119" s="213"/>
      <c r="C119" s="230" t="str" cm="1">
        <f t="array" ref="C119">_xlfn.TEXTJOIN(", ",TRUE,_xlfn._xlws.FILTER(KPI_DATABASE!$B:$B,KPI_DATABASE!$D:$D=DODECA_ENGINE!B119))</f>
        <v>=IF(AND(Value &gt;= Healthy_Min, Value &lt;= Healthy_Max), 1, IF(Value &lt; Healthy_Min, (Value - Target_Min) / (Healthy_Min - Target_Min), 1 - (Value - Healthy_Max) / (Absolute_Max - Healthy_Max)))</v>
      </c>
      <c r="D119" s="89" t="e">
        <f>_xlfn.XLOOKUP(C119,KPI_Database[KPI_Name],KPI_Database[Weight])</f>
        <v>#N/A</v>
      </c>
      <c r="E119" s="93" t="e">
        <f t="shared" si="4"/>
        <v>#N/A</v>
      </c>
      <c r="F119" s="90" t="e">
        <f t="shared" si="5"/>
        <v>#N/A</v>
      </c>
      <c r="G119" s="218" t="e">
        <f t="shared" si="6"/>
        <v>#N/A</v>
      </c>
      <c r="H119" s="594" t="str">
        <f>IFERROR(_xlfn.XLOOKUP(C119,KPI_Database[KPI_Name],KPI_Database[Increased Sensitivity KPI Target]),  "Pause &amp; Rebalance. Focus on Positive Deltas")</f>
        <v>Pause &amp; Rebalance. Focus on Positive Deltas</v>
      </c>
      <c r="I119" s="594"/>
      <c r="J119" s="594"/>
      <c r="K119" s="594"/>
      <c r="L119">
        <f>IFERROR((G119*_xlfn.XLOOKUP(A119,KPI_Database[KPI_ID],KPI_Database[K_Normalized]))/F119, 0)</f>
        <v>0</v>
      </c>
    </row>
    <row r="121" spans="1:13" ht="20.399999999999999" customHeight="1">
      <c r="A121" s="600" t="s">
        <v>250</v>
      </c>
      <c r="B121" s="601"/>
      <c r="C121" s="601"/>
      <c r="D121" s="601"/>
      <c r="E121" s="601"/>
      <c r="F121" s="601"/>
      <c r="G121" s="601"/>
      <c r="H121" s="601"/>
      <c r="I121" s="601"/>
      <c r="J121" s="601"/>
      <c r="K121" s="601"/>
      <c r="L121" s="601"/>
      <c r="M121" s="601"/>
    </row>
    <row r="122" spans="1:13" ht="22.8">
      <c r="A122" s="77" t="s">
        <v>2</v>
      </c>
      <c r="B122" s="77" t="s">
        <v>4</v>
      </c>
      <c r="C122" s="77" t="s">
        <v>251</v>
      </c>
      <c r="D122" s="77" t="s">
        <v>252</v>
      </c>
      <c r="E122" s="77" t="s">
        <v>253</v>
      </c>
      <c r="F122" s="77" t="s">
        <v>255</v>
      </c>
      <c r="G122" s="522" t="s">
        <v>158</v>
      </c>
      <c r="H122" s="522" t="s">
        <v>159</v>
      </c>
      <c r="I122" s="597" t="s">
        <v>254</v>
      </c>
      <c r="J122" s="598"/>
      <c r="K122" s="598"/>
      <c r="L122" s="599"/>
      <c r="M122" s="77" t="s">
        <v>2161</v>
      </c>
    </row>
    <row r="123" spans="1:13">
      <c r="A123" s="87" t="str" cm="1">
        <f t="array" ref="A123:A134">KPI_Database[KPI_ID]</f>
        <v>F1.1</v>
      </c>
      <c r="B123" s="231" t="str" cm="1">
        <f t="array" ref="B123:B134">KPI_Database[KPI_Name]</f>
        <v>Months of Runway</v>
      </c>
      <c r="C123" s="437" t="str">
        <f>VLOOKUP(A123,KPI_DATABASE!A1:D13,4,FALSE)</f>
        <v>Face 1</v>
      </c>
      <c r="D123" s="88">
        <f>VLOOKUP(A123,KPI_DATABASE!A:G,7,FALSE)</f>
        <v>1</v>
      </c>
      <c r="E123" s="238">
        <f>VLOOKUP(C123,$B$65:$C$76,2,FALSE)</f>
        <v>0</v>
      </c>
      <c r="F123" s="518">
        <f t="shared" ref="F123:F134" si="7">ABS(D123*E123)</f>
        <v>0</v>
      </c>
      <c r="G123" s="523">
        <f t="shared" ref="G123:G134" si="8">_xlfn.XLOOKUP(C123,$A$2:$A$13,E_Vector)</f>
        <v>0.23961225216342069</v>
      </c>
      <c r="H123" s="524">
        <f>MIN(1,SUM(F123:G123))</f>
        <v>0.23961225216342069</v>
      </c>
      <c r="I123" s="521" t="str">
        <f>IFERROR(_xlfn.XLOOKUP(B123,KPI_Database[KPI_Name],KPI_Database[Increased Sensitivity KPI Target]),  "Pause &amp; Rebalance. Focus on Positive Deltas")</f>
        <v>Pause &amp; Rebalance. Focus on Positive Deltas</v>
      </c>
      <c r="J123" s="595" t="str">
        <f>IF(E123 &gt; 0, ((VLOOKUP(C123, $B$108:$G$119, 5, FALSE) / D123) * (VLOOKUP(A123, KPI_DATABASE!$A:$K, 10, FALSE) - VLOOKUP(A123, KPI_DATABASE!$A:$K, 11, FALSE))) + VLOOKUP(A123, KPI_DATABASE!$A:$K, 11, FALSE), "Pause &amp; Rebalance. Focus on Positive Deltas")</f>
        <v>Pause &amp; Rebalance. Focus on Positive Deltas</v>
      </c>
      <c r="K123" s="596"/>
      <c r="L123" s="596"/>
      <c r="M123">
        <f>IFERROR((H123*_xlfn.XLOOKUP(A123,KPI_Database[KPI_ID],KPI_Database[K_Normalized]))/G123, 0)</f>
        <v>0.39297662337662337</v>
      </c>
    </row>
    <row r="124" spans="1:13">
      <c r="A124" s="84" t="str">
        <v>L2.1</v>
      </c>
      <c r="B124" s="232" t="str">
        <v>% Thesis Drafted</v>
      </c>
      <c r="C124" s="233" t="str">
        <f>VLOOKUP(A124,KPI_DATABASE!A2:D14,4,FALSE)</f>
        <v>Face 2</v>
      </c>
      <c r="D124" s="85">
        <f>VLOOKUP(A124,KPI_DATABASE!A:G,7,FALSE)</f>
        <v>1</v>
      </c>
      <c r="E124" s="40">
        <f t="shared" ref="E124:E134" si="9">VLOOKUP(C124,$B$65:$C$76,2,FALSE)</f>
        <v>-0.40799999999999997</v>
      </c>
      <c r="F124" s="519">
        <f t="shared" si="7"/>
        <v>0.40799999999999997</v>
      </c>
      <c r="G124" s="523">
        <f t="shared" si="8"/>
        <v>0.40086371970020074</v>
      </c>
      <c r="H124" s="524">
        <f t="shared" ref="H124:H134" si="10">MIN(1,SUM(F124:G124))</f>
        <v>0.80886371970020066</v>
      </c>
      <c r="I124" s="521">
        <f>(((VLOOKUP(C124,$B$108:$G$119,5,FALSE)/D124)*(VLOOKUP(A124,KPI_DATABASE!$A:$K,10,FALSE)-VLOOKUP(A124,KPI_DATABASE!$A:$K,11,FALSE)))+VLOOKUP(A124,KPI_DATABASE!$A:$K,11,FALSE))</f>
        <v>40.086371970020075</v>
      </c>
      <c r="J124" s="592" t="str">
        <f>IF(E124 &gt; 0, ((VLOOKUP(C124, $B$108:$G$119, 5, FALSE) / D124) * (VLOOKUP(A124, KPI_DATABASE!$A:$K, 10, FALSE) - VLOOKUP(A124, KPI_DATABASE!$A:$K, 11, FALSE))) + VLOOKUP(A124, KPI_DATABASE!$A:$K, 11, FALSE), "Pause &amp; Rebalance. Focus on Positive Deltas")</f>
        <v>Pause &amp; Rebalance. Focus on Positive Deltas</v>
      </c>
      <c r="K124" s="593"/>
      <c r="L124" s="593"/>
      <c r="M124">
        <f>IFERROR((H124*_xlfn.XLOOKUP(A124,KPI_Database[KPI_ID],KPI_Database[K_Normalized]))/G124, 0)</f>
        <v>1.2295910459593136</v>
      </c>
    </row>
    <row r="125" spans="1:13">
      <c r="A125" s="84" t="str">
        <v>L1.1</v>
      </c>
      <c r="B125" s="232" t="str">
        <v>Founder Energy Lvl</v>
      </c>
      <c r="C125" s="233" t="str">
        <f>VLOOKUP(A125,KPI_DATABASE!A3:D15,4,FALSE)</f>
        <v>Face 3</v>
      </c>
      <c r="D125" s="85">
        <f>VLOOKUP(A125,KPI_DATABASE!A:G,7,FALSE)</f>
        <v>1</v>
      </c>
      <c r="E125" s="40">
        <f t="shared" si="9"/>
        <v>0.40799999999999997</v>
      </c>
      <c r="F125" s="519">
        <f t="shared" si="7"/>
        <v>0.40799999999999997</v>
      </c>
      <c r="G125" s="523">
        <f t="shared" si="8"/>
        <v>0.16559188153585278</v>
      </c>
      <c r="H125" s="524">
        <f t="shared" si="10"/>
        <v>0.57359188153585272</v>
      </c>
      <c r="I125" s="521">
        <f>(((VLOOKUP(C125,$B$108:$G$119,5,FALSE)/D125)*(VLOOKUP(A125,KPI_DATABASE!$A:$K,10,FALSE)-VLOOKUP(A125,KPI_DATABASE!$A:$K,11,FALSE)))+VLOOKUP(A125,KPI_DATABASE!$A:$K,11,FALSE))</f>
        <v>5.3311837630717056</v>
      </c>
      <c r="J125" s="592">
        <f>IF(E125 &gt; 0, ((VLOOKUP(C125, $B$108:$G$119, 5, FALSE) / D125) * (VLOOKUP(A125, KPI_DATABASE!$A:$K, 10, FALSE) - VLOOKUP(A125, KPI_DATABASE!$A:$K, 11, FALSE))) + VLOOKUP(A125, KPI_DATABASE!$A:$K, 11, FALSE), "Pause &amp; Rebalance. Focus on Positive Deltas")</f>
        <v>5.3311837630717056</v>
      </c>
      <c r="K125" s="593"/>
      <c r="L125" s="593"/>
      <c r="M125">
        <f>IFERROR((H125*_xlfn.XLOOKUP(A125,KPI_Database[KPI_ID],KPI_Database[K_Normalized]))/G125, 0)</f>
        <v>0.6484400033842429</v>
      </c>
    </row>
    <row r="126" spans="1:13">
      <c r="A126" s="84" t="str">
        <v>P2.1</v>
      </c>
      <c r="B126" s="232" t="str">
        <v>% Gov Docs Drafted</v>
      </c>
      <c r="C126" s="233" t="str">
        <f>VLOOKUP(A126,KPI_DATABASE!A4:D16,4,FALSE)</f>
        <v>Face 4</v>
      </c>
      <c r="D126" s="85">
        <f>VLOOKUP(A126,KPI_DATABASE!A:G,7,FALSE)</f>
        <v>1</v>
      </c>
      <c r="E126" s="40">
        <f t="shared" si="9"/>
        <v>0</v>
      </c>
      <c r="F126" s="519">
        <f t="shared" si="7"/>
        <v>0</v>
      </c>
      <c r="G126" s="523">
        <f t="shared" si="8"/>
        <v>0.24478839508550371</v>
      </c>
      <c r="H126" s="524">
        <f t="shared" si="10"/>
        <v>0.24478839508550371</v>
      </c>
      <c r="I126" s="521" t="e">
        <f>(((VLOOKUP(C126,$B$108:$G$119,5,FALSE)/D126)*(VLOOKUP(A126,KPI_DATABASE!$A:$K,10,FALSE)-VLOOKUP(A126,KPI_DATABASE!$A:$K,11,FALSE)))+VLOOKUP(A126,KPI_DATABASE!$A:$K,11,FALSE))</f>
        <v>#N/A</v>
      </c>
      <c r="J126" s="592" t="str">
        <f>IF(E126 &gt; 0, ((VLOOKUP(C126, $B$108:$G$119, 5, FALSE) / D126) * (VLOOKUP(A126, KPI_DATABASE!$A:$K, 10, FALSE) - VLOOKUP(A126, KPI_DATABASE!$A:$K, 11, FALSE))) + VLOOKUP(A126, KPI_DATABASE!$A:$K, 11, FALSE), "Pause &amp; Rebalance. Focus on Positive Deltas")</f>
        <v>Pause &amp; Rebalance. Focus on Positive Deltas</v>
      </c>
      <c r="K126" s="593"/>
      <c r="L126" s="593"/>
      <c r="M126">
        <f>IFERROR((H126*_xlfn.XLOOKUP(A126,KPI_Database[KPI_ID],KPI_Database[K_Normalized]))/G126, 0)</f>
        <v>0.37200000000000005</v>
      </c>
    </row>
    <row r="127" spans="1:13">
      <c r="A127" s="84" t="str">
        <v>P1.1</v>
      </c>
      <c r="B127" s="232" t="str">
        <v>Clarity Score</v>
      </c>
      <c r="C127" s="233" t="str">
        <f>VLOOKUP(A127,KPI_DATABASE!A5:D17,4,FALSE)</f>
        <v>Face 5</v>
      </c>
      <c r="D127" s="85">
        <f>VLOOKUP(A127,KPI_DATABASE!A:G,7,FALSE)</f>
        <v>1</v>
      </c>
      <c r="E127" s="40">
        <f t="shared" si="9"/>
        <v>0.16200000000000001</v>
      </c>
      <c r="F127" s="519">
        <f t="shared" si="7"/>
        <v>0.16200000000000001</v>
      </c>
      <c r="G127" s="523">
        <f t="shared" si="8"/>
        <v>4.6253795033477547E-2</v>
      </c>
      <c r="H127" s="524">
        <f t="shared" si="10"/>
        <v>0.20825379503347755</v>
      </c>
      <c r="I127" s="521">
        <f>(((VLOOKUP(C127,$B$108:$G$119,5,FALSE)/D127)*(VLOOKUP(A127,KPI_DATABASE!$A:$K,10,FALSE)-VLOOKUP(A127,KPI_DATABASE!$A:$K,11,FALSE)))+VLOOKUP(A127,KPI_DATABASE!$A:$K,11,FALSE))</f>
        <v>2.1156344875836939</v>
      </c>
      <c r="J127" s="590">
        <f>IF(E127 &gt; 0, ((VLOOKUP(C127, $B$108:$G$119, 5, FALSE) / D127) * (VLOOKUP(A127, KPI_DATABASE!$A:$K, 10, FALSE) - VLOOKUP(A127, KPI_DATABASE!$A:$K, 11, FALSE))) + VLOOKUP(A127, KPI_DATABASE!$A:$K, 11, FALSE), "Pause &amp; Rebalance. Focus on Positive Deltas")</f>
        <v>2.1156344875836939</v>
      </c>
      <c r="K127" s="591"/>
      <c r="L127" s="591"/>
      <c r="M127">
        <f>IFERROR((H127*_xlfn.XLOOKUP(A127,KPI_Database[KPI_ID],KPI_Database[K_Normalized]))/G127, 0)</f>
        <v>0</v>
      </c>
    </row>
    <row r="128" spans="1:13">
      <c r="A128" s="84" t="str">
        <v>S2.1</v>
      </c>
      <c r="B128" s="232" t="str">
        <v>Strat. Convos</v>
      </c>
      <c r="C128" s="233" t="str">
        <f>VLOOKUP(A128,KPI_DATABASE!A6:D18,4,FALSE)</f>
        <v>Face 6</v>
      </c>
      <c r="D128" s="85">
        <f>VLOOKUP(A128,KPI_DATABASE!A:G,7,FALSE)</f>
        <v>1</v>
      </c>
      <c r="E128" s="40">
        <f t="shared" si="9"/>
        <v>0.25</v>
      </c>
      <c r="F128" s="519">
        <f t="shared" si="7"/>
        <v>0.25</v>
      </c>
      <c r="G128" s="523">
        <f t="shared" si="8"/>
        <v>0.24689937774340731</v>
      </c>
      <c r="H128" s="524">
        <f t="shared" si="10"/>
        <v>0.49689937774340731</v>
      </c>
      <c r="I128" s="521">
        <f>(((VLOOKUP(C128,$B$108:$G$119,5,FALSE)/D128)*(VLOOKUP(A128,KPI_DATABASE!$A:$K,10,FALSE)-VLOOKUP(A128,KPI_DATABASE!$A:$K,11,FALSE)))+VLOOKUP(A128,KPI_DATABASE!$A:$K,11,FALSE))</f>
        <v>0.98759751097362924</v>
      </c>
      <c r="J128" s="592">
        <f>IF(E128 &gt; 0, ((VLOOKUP(C128, $B$108:$G$116, 5, FALSE) / D128) * (VLOOKUP(A128, KPI_DATABASE!$A:$K, 10, FALSE) - VLOOKUP(A128, KPI_DATABASE!$A:$K, 11, FALSE))) + VLOOKUP(A128, KPI_DATABASE!$A:$K, 11, FALSE), "Pause &amp; Rebalance. Focus on Positive Deltas")</f>
        <v>0.98759751097362924</v>
      </c>
      <c r="K128" s="593"/>
      <c r="L128" s="593"/>
      <c r="M128">
        <f>IFERROR((H128*_xlfn.XLOOKUP(A128,KPI_Database[KPI_ID],KPI_Database[K_Normalized]))/G128, 0)</f>
        <v>0.81000677454925774</v>
      </c>
    </row>
    <row r="129" spans="1:13">
      <c r="A129" s="84" t="str">
        <v>S1.1</v>
      </c>
      <c r="B129" s="232" t="str">
        <v>Engaging Posts</v>
      </c>
      <c r="C129" s="233" t="str">
        <f>VLOOKUP(A129,KPI_DATABASE!A7:D19,4,FALSE)</f>
        <v>Face 7</v>
      </c>
      <c r="D129" s="85">
        <f>VLOOKUP(A129,KPI_DATABASE!A:G,7,FALSE)</f>
        <v>1</v>
      </c>
      <c r="E129" s="40">
        <f t="shared" si="9"/>
        <v>-0.25</v>
      </c>
      <c r="F129" s="519">
        <f t="shared" si="7"/>
        <v>0.25</v>
      </c>
      <c r="G129" s="523">
        <f t="shared" si="8"/>
        <v>0.2081301969966585</v>
      </c>
      <c r="H129" s="524">
        <f t="shared" si="10"/>
        <v>0.45813019699665847</v>
      </c>
      <c r="I129" s="521">
        <f>(((VLOOKUP(C129,$B$108:$G$119,5,FALSE)/D129)*(VLOOKUP(A129,KPI_DATABASE!$A:$K,10,FALSE)-VLOOKUP(A129,KPI_DATABASE!$A:$K,11,FALSE)))+VLOOKUP(A129,KPI_DATABASE!$A:$K,11,FALSE))</f>
        <v>0.41626039399331699</v>
      </c>
      <c r="J129" s="590" t="str">
        <f>IF(E129 &gt; 0, ((VLOOKUP(C129, $B$108:$G$119, 5, FALSE) / D129) * (VLOOKUP(A129, KPI_DATABASE!$A:$K, 10, FALSE) - VLOOKUP(A129, KPI_DATABASE!$A:$K, 11, FALSE))) + VLOOKUP(A129, KPI_DATABASE!$A:$K, 11, FALSE), "Pause &amp; Rebalance. Focus on Positive Deltas")</f>
        <v>Pause &amp; Rebalance. Focus on Positive Deltas</v>
      </c>
      <c r="K129" s="591"/>
      <c r="L129" s="591"/>
      <c r="M129">
        <f>IFERROR((H129*_xlfn.XLOOKUP(A129,KPI_Database[KPI_ID],KPI_Database[K_Normalized]))/G129, 0)</f>
        <v>0.68949067626448535</v>
      </c>
    </row>
    <row r="130" spans="1:13">
      <c r="A130" s="84" t="str">
        <v>P3.1</v>
      </c>
      <c r="B130" s="232" t="str">
        <v>"Live" Test Done</v>
      </c>
      <c r="C130" s="233" t="str">
        <f>VLOOKUP(A130,KPI_DATABASE!A8:D20,4,FALSE)</f>
        <v>Face 8</v>
      </c>
      <c r="D130" s="85">
        <f>VLOOKUP(A130,KPI_DATABASE!A:G,7,FALSE)</f>
        <v>1</v>
      </c>
      <c r="E130" s="40">
        <f t="shared" si="9"/>
        <v>0.25</v>
      </c>
      <c r="F130" s="519">
        <f t="shared" si="7"/>
        <v>0.25</v>
      </c>
      <c r="G130" s="523">
        <f t="shared" si="8"/>
        <v>0.22089121833354255</v>
      </c>
      <c r="H130" s="524">
        <f t="shared" si="10"/>
        <v>0.47089121833354253</v>
      </c>
      <c r="I130" s="521">
        <f>(((VLOOKUP(C130,$B$108:$G$119,5,FALSE)/D130)*(VLOOKUP(A130,KPI_DATABASE!$A:$K,10,FALSE)-VLOOKUP(A130,KPI_DATABASE!$A:$K,11,FALSE)))+VLOOKUP(A130,KPI_DATABASE!$A:$K,11,FALSE))</f>
        <v>0.22089121833354255</v>
      </c>
      <c r="J130" s="592">
        <f>IF(E130 &gt; 0, ((VLOOKUP(C130, $B$108:$G$119, 5, FALSE) / D130) * (VLOOKUP(A130, KPI_DATABASE!$A:$K, 10, FALSE) - VLOOKUP(A130, KPI_DATABASE!$A:$K, 11, FALSE))) + VLOOKUP(A130, KPI_DATABASE!$A:$K, 11, FALSE), "Pause &amp; Rebalance. Focus on Positive Deltas")</f>
        <v>0.22089121833354255</v>
      </c>
      <c r="K130" s="593"/>
      <c r="L130" s="593"/>
      <c r="M130">
        <f>IFERROR((H130*_xlfn.XLOOKUP(A130,KPI_Database[KPI_ID],KPI_Database[K_Normalized]))/G130, 0)</f>
        <v>0.86849280203667356</v>
      </c>
    </row>
    <row r="131" spans="1:13">
      <c r="A131" s="84" t="str">
        <v>E1.1</v>
      </c>
      <c r="B131" s="232" t="str">
        <v># Regen Choices</v>
      </c>
      <c r="C131" s="233" t="str">
        <f>VLOOKUP(A131,KPI_DATABASE!A9:D21,4,FALSE)</f>
        <v>Face 9</v>
      </c>
      <c r="D131" s="85">
        <f>VLOOKUP(A131,KPI_DATABASE!A:G,7,FALSE)</f>
        <v>1</v>
      </c>
      <c r="E131" s="40">
        <f t="shared" si="9"/>
        <v>-0.25</v>
      </c>
      <c r="F131" s="519">
        <f t="shared" si="7"/>
        <v>0.25</v>
      </c>
      <c r="G131" s="523">
        <f t="shared" si="8"/>
        <v>0.43834355530707869</v>
      </c>
      <c r="H131" s="524">
        <f t="shared" si="10"/>
        <v>0.68834355530707869</v>
      </c>
      <c r="I131" s="521">
        <f>(((VLOOKUP(C131,$B$108:$G$119,5,FALSE)/D131)*(VLOOKUP(A131,KPI_DATABASE!$A:$K,10,FALSE)-VLOOKUP(A131,KPI_DATABASE!$A:$K,11,FALSE)))+VLOOKUP(A131,KPI_DATABASE!$A:$K,11,FALSE))</f>
        <v>4.3834355530707869</v>
      </c>
      <c r="J131" s="592" t="str">
        <f>IF(E131 &gt; 0, ((VLOOKUP(C131, $B$108:$G$119, 5, FALSE) / D131) * (VLOOKUP(A131, KPI_DATABASE!$A:$K, 10, FALSE) - VLOOKUP(A131, KPI_DATABASE!$A:$K, 11, FALSE))) + VLOOKUP(A131, KPI_DATABASE!$A:$K, 11, FALSE), "Pause &amp; Rebalance. Focus on Positive Deltas")</f>
        <v>Pause &amp; Rebalance. Focus on Positive Deltas</v>
      </c>
      <c r="K131" s="593"/>
      <c r="L131" s="593"/>
      <c r="M131">
        <f>IFERROR((H131*_xlfn.XLOOKUP(A131,KPI_Database[KPI_ID],KPI_Database[K_Normalized]))/G131, 0)</f>
        <v>1.0524553699841401</v>
      </c>
    </row>
    <row r="132" spans="1:13">
      <c r="A132" s="84" t="str">
        <v>L3.1</v>
      </c>
      <c r="B132" s="232" t="str">
        <v># Value Checks</v>
      </c>
      <c r="C132" s="233" t="str">
        <f>VLOOKUP(A132,KPI_DATABASE!A10:D22,4,FALSE)</f>
        <v>Face 10</v>
      </c>
      <c r="D132" s="85">
        <f>VLOOKUP(A132,KPI_DATABASE!A:G,7,FALSE)</f>
        <v>1</v>
      </c>
      <c r="E132" s="40">
        <f t="shared" si="9"/>
        <v>-0.125</v>
      </c>
      <c r="F132" s="519">
        <f t="shared" si="7"/>
        <v>0.125</v>
      </c>
      <c r="G132" s="523">
        <f t="shared" si="8"/>
        <v>0.41628415530129803</v>
      </c>
      <c r="H132" s="524">
        <f t="shared" si="10"/>
        <v>0.54128415530129803</v>
      </c>
      <c r="I132" s="521">
        <f>(((VLOOKUP(C132,$B$108:$G$119,5,FALSE)/D132)*(VLOOKUP(A132,KPI_DATABASE!$A:$K,10,FALSE)-VLOOKUP(A132,KPI_DATABASE!$A:$K,11,FALSE)))+VLOOKUP(A132,KPI_DATABASE!$A:$K,11,FALSE))</f>
        <v>8.3256831060259611</v>
      </c>
      <c r="J132" s="590" t="str">
        <f>IF(E132 &gt; 0, ((VLOOKUP(C132, $B$108:$G$116, 5, FALSE) / D132) * (VLOOKUP(A132, KPI_DATABASE!$A:$K, 10, FALSE) - VLOOKUP(A132, KPI_DATABASE!$A:$K, 11, FALSE))) + VLOOKUP(A132, KPI_DATABASE!$A:$K, 11, FALSE), "Pause &amp; Rebalance. Focus on Positive Deltas")</f>
        <v>Pause &amp; Rebalance. Focus on Positive Deltas</v>
      </c>
      <c r="K132" s="591"/>
      <c r="L132" s="591"/>
      <c r="M132">
        <f>IFERROR((H132*_xlfn.XLOOKUP(A132,KPI_Database[KPI_ID],KPI_Database[K_Normalized]))/G132, 0)</f>
        <v>0.87146208517696477</v>
      </c>
    </row>
    <row r="133" spans="1:13">
      <c r="A133" s="84" t="str">
        <v>F1.2</v>
      </c>
      <c r="B133" s="232" t="str">
        <v># Funding Opps</v>
      </c>
      <c r="C133" s="233" t="str">
        <f>VLOOKUP(A133,KPI_DATABASE!A11:D23,4,FALSE)</f>
        <v>Face 11</v>
      </c>
      <c r="D133" s="85">
        <f>VLOOKUP(A133,KPI_DATABASE!A:G,7,FALSE)</f>
        <v>1</v>
      </c>
      <c r="E133" s="40">
        <f t="shared" si="9"/>
        <v>-0.5</v>
      </c>
      <c r="F133" s="519">
        <f t="shared" si="7"/>
        <v>0.5</v>
      </c>
      <c r="G133" s="523">
        <f t="shared" si="8"/>
        <v>0.12343511244618152</v>
      </c>
      <c r="H133" s="524">
        <f t="shared" si="10"/>
        <v>0.62343511244618155</v>
      </c>
      <c r="I133" s="521">
        <f>(((VLOOKUP(C133,$B$108:$G$119,5,FALSE)/D133)*(VLOOKUP(A133,KPI_DATABASE!$A:$K,10,FALSE)-VLOOKUP(A133,KPI_DATABASE!$A:$K,11,FALSE)))+VLOOKUP(A133,KPI_DATABASE!$A:$K,11,FALSE))</f>
        <v>0.49374044978472609</v>
      </c>
      <c r="J133" s="592" t="str">
        <f>IF(E133 &gt; 0, ((VLOOKUP(C133, $B$108:$G$119, 5, FALSE) / D133) * (VLOOKUP(A133, KPI_DATABASE!$A:$K, 10, FALSE) - VLOOKUP(A133, KPI_DATABASE!$A:$K, 11, FALSE))) + VLOOKUP(A133, KPI_DATABASE!$A:$K, 11, FALSE), "Pause &amp; Rebalance. Focus on Positive Deltas")</f>
        <v>Pause &amp; Rebalance. Focus on Positive Deltas</v>
      </c>
      <c r="K133" s="593"/>
      <c r="L133" s="593"/>
      <c r="M133">
        <f>IFERROR((H133*_xlfn.XLOOKUP(A133,KPI_Database[KPI_ID],KPI_Database[K_Normalized]))/G133, 0)</f>
        <v>0.97206469951111596</v>
      </c>
    </row>
    <row r="134" spans="1:13">
      <c r="A134" s="84" t="str">
        <v>R1.1</v>
      </c>
      <c r="B134" s="232" t="str">
        <v>Bus Factor</v>
      </c>
      <c r="C134" s="233" t="str">
        <f>VLOOKUP(A134,KPI_DATABASE!A12:D24,4,FALSE)</f>
        <v>Face 12</v>
      </c>
      <c r="D134" s="86">
        <f>VLOOKUP(A134,KPI_DATABASE!A:G,7,FALSE)</f>
        <v>1</v>
      </c>
      <c r="E134" s="40">
        <f t="shared" si="9"/>
        <v>0</v>
      </c>
      <c r="F134" s="520">
        <f t="shared" si="7"/>
        <v>0</v>
      </c>
      <c r="G134" s="523">
        <f t="shared" si="8"/>
        <v>0.19632633030875329</v>
      </c>
      <c r="H134" s="524">
        <f t="shared" si="10"/>
        <v>0.19632633030875329</v>
      </c>
      <c r="I134" s="521" t="e">
        <f>(((VLOOKUP(C134,$B$108:$G$119,5,FALSE)/D134)*(VLOOKUP(A134,KPI_DATABASE!$A:$K,10,FALSE)-VLOOKUP(A134,KPI_DATABASE!$A:$K,11,FALSE)))+VLOOKUP(A134,KPI_DATABASE!$A:$K,11,FALSE))</f>
        <v>#N/A</v>
      </c>
      <c r="J134" s="592" t="str">
        <f>IF(E134 &gt; 0, ((VLOOKUP(C134, $B$108:$G$119, 5, FALSE) / D134) * (VLOOKUP(A134, KPI_DATABASE!$A:$K, 10, FALSE) - VLOOKUP(A134, KPI_DATABASE!$A:$K, 11, FALSE))) + VLOOKUP(A134, KPI_DATABASE!$A:$K, 11, FALSE), "Pause &amp; Rebalance. Focus on Positive Deltas")</f>
        <v>Pause &amp; Rebalance. Focus on Positive Deltas</v>
      </c>
      <c r="K134" s="593"/>
      <c r="L134" s="593"/>
      <c r="M134">
        <f>IFERROR((H134*_xlfn.XLOOKUP(A134,KPI_Database[KPI_ID],KPI_Database[K_Normalized]))/G134, 0)</f>
        <v>0.26907809523809512</v>
      </c>
    </row>
    <row r="140" spans="1:13">
      <c r="A140" s="16"/>
    </row>
  </sheetData>
  <mergeCells count="33">
    <mergeCell ref="I122:L122"/>
    <mergeCell ref="A121:M121"/>
    <mergeCell ref="A106:L106"/>
    <mergeCell ref="J130:L130"/>
    <mergeCell ref="J131:L131"/>
    <mergeCell ref="H107:K107"/>
    <mergeCell ref="J124:L124"/>
    <mergeCell ref="J125:L125"/>
    <mergeCell ref="J126:L126"/>
    <mergeCell ref="J127:L127"/>
    <mergeCell ref="J128:L128"/>
    <mergeCell ref="J129:L129"/>
    <mergeCell ref="J132:L132"/>
    <mergeCell ref="J133:L133"/>
    <mergeCell ref="J134:L134"/>
    <mergeCell ref="H108:K108"/>
    <mergeCell ref="H109:K109"/>
    <mergeCell ref="H110:K110"/>
    <mergeCell ref="H111:K111"/>
    <mergeCell ref="H112:K112"/>
    <mergeCell ref="H113:K113"/>
    <mergeCell ref="H114:K114"/>
    <mergeCell ref="H115:K115"/>
    <mergeCell ref="H116:K116"/>
    <mergeCell ref="H117:K117"/>
    <mergeCell ref="H118:K118"/>
    <mergeCell ref="H119:K119"/>
    <mergeCell ref="J123:L123"/>
    <mergeCell ref="A15:L15"/>
    <mergeCell ref="A29:M29"/>
    <mergeCell ref="A45:C45"/>
    <mergeCell ref="A60:C60"/>
    <mergeCell ref="A78:C78"/>
  </mergeCells>
  <phoneticPr fontId="14" type="noConversion"/>
  <conditionalFormatting sqref="B65:B76">
    <cfRule type="expression" dxfId="6" priority="8">
      <formula>C65&lt;0</formula>
    </cfRule>
    <cfRule type="expression" dxfId="5" priority="9">
      <formula>C65&gt;0</formula>
    </cfRule>
  </conditionalFormatting>
  <conditionalFormatting sqref="C47:C58">
    <cfRule type="colorScale" priority="10">
      <colorScale>
        <cfvo type="min"/>
        <cfvo type="max"/>
        <color theme="1" tint="0.499984740745262"/>
        <color theme="1" tint="4.9989318521683403E-2"/>
      </colorScale>
    </cfRule>
  </conditionalFormatting>
  <conditionalFormatting sqref="E108:E119">
    <cfRule type="colorScale" priority="4">
      <colorScale>
        <cfvo type="min"/>
        <cfvo type="max"/>
        <color rgb="FFFF0000"/>
        <color theme="7"/>
      </colorScale>
    </cfRule>
    <cfRule type="colorScale" priority="6">
      <colorScale>
        <cfvo type="min"/>
        <cfvo type="percentile" val="50"/>
        <cfvo type="max"/>
        <color rgb="FFF8696B"/>
        <color rgb="FFFFEB84"/>
        <color rgb="FF63BE7B"/>
      </colorScale>
    </cfRule>
    <cfRule type="colorScale" priority="7">
      <colorScale>
        <cfvo type="min"/>
        <cfvo type="percentile" val="50"/>
        <cfvo type="max"/>
        <color rgb="FFF8696B"/>
        <color rgb="FFFFEB84"/>
        <color rgb="FF63BE7B"/>
      </colorScale>
    </cfRule>
  </conditionalFormatting>
  <conditionalFormatting sqref="F123:F134">
    <cfRule type="colorScale" priority="1">
      <colorScale>
        <cfvo type="min"/>
        <cfvo type="max"/>
        <color rgb="FF002060"/>
        <color rgb="FFC00000"/>
      </colorScale>
    </cfRule>
    <cfRule type="colorScale" priority="2">
      <colorScale>
        <cfvo type="min"/>
        <cfvo type="percentile" val="50"/>
        <cfvo type="max"/>
        <color rgb="FF5A8AC6"/>
        <color rgb="FFFCFCFF"/>
        <color rgb="FFF8696B"/>
      </colorScale>
    </cfRule>
    <cfRule type="colorScale" priority="5">
      <colorScale>
        <cfvo type="min"/>
        <cfvo type="max"/>
        <color theme="0" tint="-0.499984740745262"/>
        <color theme="1" tint="4.9989318521683403E-2"/>
      </colorScale>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ED3CF-0D9E-4E86-A809-35893B547708}">
  <dimension ref="A1:AN45"/>
  <sheetViews>
    <sheetView zoomScale="97" zoomScaleNormal="42" workbookViewId="0">
      <selection activeCell="M12" sqref="M12"/>
    </sheetView>
  </sheetViews>
  <sheetFormatPr defaultRowHeight="14.4"/>
  <cols>
    <col min="1" max="1" width="10.6640625" customWidth="1"/>
    <col min="2" max="2" width="15.44140625" bestFit="1" customWidth="1"/>
    <col min="3" max="4" width="15.77734375" bestFit="1" customWidth="1"/>
    <col min="5" max="5" width="19.21875" bestFit="1" customWidth="1"/>
    <col min="6" max="7" width="19.77734375" bestFit="1" customWidth="1"/>
    <col min="8" max="8" width="27.6640625" bestFit="1" customWidth="1"/>
    <col min="9" max="9" width="29.44140625" style="495" bestFit="1" customWidth="1"/>
    <col min="10" max="10" width="29.44140625" style="495" customWidth="1"/>
    <col min="11" max="11" width="23.5546875" style="495" bestFit="1" customWidth="1"/>
    <col min="12" max="12" width="18" style="495" bestFit="1" customWidth="1"/>
    <col min="13" max="13" width="25.21875" style="503" bestFit="1" customWidth="1"/>
    <col min="14" max="14" width="43" style="495" customWidth="1"/>
    <col min="15" max="15" width="26.44140625" style="495" bestFit="1" customWidth="1"/>
    <col min="16" max="16" width="59.88671875" style="495" bestFit="1" customWidth="1"/>
    <col min="17" max="17" width="9.88671875" customWidth="1"/>
    <col min="18" max="18" width="10.5546875" customWidth="1"/>
    <col min="19" max="19" width="10.44140625" customWidth="1"/>
    <col min="20" max="20" width="10.109375" bestFit="1" customWidth="1"/>
    <col min="21" max="21" width="17.33203125" customWidth="1"/>
    <col min="22" max="22" width="9.109375" bestFit="1" customWidth="1"/>
    <col min="23" max="23" width="16.109375" bestFit="1" customWidth="1"/>
    <col min="24" max="24" width="9.33203125" style="19" bestFit="1" customWidth="1"/>
    <col min="25" max="25" width="17" bestFit="1" customWidth="1"/>
    <col min="26" max="26" width="9.77734375" bestFit="1" customWidth="1"/>
    <col min="27" max="27" width="17.44140625" customWidth="1"/>
    <col min="28" max="28" width="9.44140625" style="19" bestFit="1" customWidth="1"/>
    <col min="29" max="29" width="17.109375" bestFit="1" customWidth="1"/>
    <col min="30" max="30" width="16.109375" style="19" customWidth="1"/>
    <col min="31" max="31" width="17" bestFit="1" customWidth="1"/>
    <col min="32" max="32" width="15.5546875" customWidth="1"/>
    <col min="33" max="33" width="17.109375" bestFit="1" customWidth="1"/>
    <col min="34" max="34" width="17.21875" customWidth="1"/>
    <col min="35" max="35" width="17" bestFit="1" customWidth="1"/>
    <col min="36" max="36" width="15" customWidth="1"/>
    <col min="37" max="37" width="17.109375" bestFit="1" customWidth="1"/>
    <col min="38" max="38" width="17" customWidth="1"/>
    <col min="39" max="39" width="12.33203125" bestFit="1" customWidth="1"/>
    <col min="40" max="40" width="15.6640625" bestFit="1" customWidth="1"/>
  </cols>
  <sheetData>
    <row r="1" spans="1:40" ht="21.6" customHeight="1">
      <c r="A1" s="97" t="s">
        <v>1983</v>
      </c>
      <c r="B1" s="428" t="s">
        <v>1984</v>
      </c>
      <c r="C1" s="428" t="s">
        <v>1985</v>
      </c>
      <c r="D1" s="428" t="s">
        <v>1986</v>
      </c>
      <c r="E1" s="97" t="s">
        <v>1987</v>
      </c>
      <c r="F1" s="97" t="s">
        <v>1988</v>
      </c>
      <c r="G1" s="97" t="s">
        <v>1989</v>
      </c>
      <c r="H1" s="97" t="s">
        <v>2050</v>
      </c>
      <c r="I1" s="496" t="s">
        <v>2138</v>
      </c>
      <c r="J1" s="496" t="s">
        <v>2140</v>
      </c>
      <c r="K1" s="494" t="s">
        <v>2051</v>
      </c>
      <c r="L1" s="494" t="s">
        <v>2052</v>
      </c>
      <c r="M1" s="494" t="s">
        <v>2141</v>
      </c>
      <c r="N1" s="504" t="s">
        <v>2139</v>
      </c>
      <c r="O1" s="494" t="s">
        <v>2137</v>
      </c>
      <c r="P1" s="433" t="s">
        <v>2036</v>
      </c>
      <c r="S1" s="467" t="s">
        <v>1983</v>
      </c>
      <c r="T1" s="468" t="s">
        <v>2010</v>
      </c>
      <c r="U1" s="469" t="s">
        <v>2056</v>
      </c>
      <c r="V1" s="470" t="s">
        <v>2127</v>
      </c>
      <c r="W1" s="469" t="s">
        <v>2057</v>
      </c>
      <c r="X1" s="470" t="s">
        <v>2128</v>
      </c>
      <c r="Y1" s="469" t="s">
        <v>2059</v>
      </c>
      <c r="Z1" s="470" t="s">
        <v>2129</v>
      </c>
      <c r="AA1" s="469" t="s">
        <v>2060</v>
      </c>
      <c r="AB1" s="470" t="s">
        <v>2130</v>
      </c>
      <c r="AC1" s="469" t="s">
        <v>2061</v>
      </c>
      <c r="AD1" s="470" t="s">
        <v>2131</v>
      </c>
      <c r="AE1" s="469" t="s">
        <v>2062</v>
      </c>
      <c r="AF1" s="470" t="s">
        <v>2132</v>
      </c>
      <c r="AG1" s="469" t="s">
        <v>2063</v>
      </c>
      <c r="AH1" s="470" t="s">
        <v>2133</v>
      </c>
      <c r="AI1" s="469" t="s">
        <v>2064</v>
      </c>
      <c r="AJ1" s="470" t="s">
        <v>2134</v>
      </c>
      <c r="AK1" s="469" t="s">
        <v>2058</v>
      </c>
      <c r="AL1" s="470" t="s">
        <v>2135</v>
      </c>
      <c r="AM1" s="471" t="s">
        <v>2136</v>
      </c>
      <c r="AN1" s="471" t="s">
        <v>2162</v>
      </c>
    </row>
    <row r="2" spans="1:40">
      <c r="A2" s="431" t="s">
        <v>1990</v>
      </c>
      <c r="B2" s="236" t="str" cm="1">
        <f t="array" ref="B2">IFERROR("Face " &amp; _xlfn.LET(
_xlpm.Vertex, $A2,
_xlpm.Table1, $S$2:$T$11,
_xlpm.Table2, $S$12:$T$21,
_xlpm.FaceString, IFERROR(VLOOKUP(_xlpm.Vertex, _xlpm.Table1, 2, FALSE), VLOOKUP(_xlpm.Vertex, _xlpm.Table2, 2, FALSE)),
_xlpm.FaceArray, _xlfn.TEXTSPLIT(_xlpm.FaceString, ", "),
INDEX(_xlpm.FaceArray, COLUMN(A1))
), "")</f>
        <v>Face 1</v>
      </c>
      <c r="C2" s="236" t="str" cm="1">
        <f t="array" ref="C2">IFERROR("Face " &amp; _xlfn.LET(
_xlpm.Vertex, $A2,
_xlpm.Table1, $S$2:$T$11,
_xlpm.Table2, $S$12:$T$21,
_xlpm.FaceString, IFERROR(VLOOKUP(_xlpm.Vertex, _xlpm.Table1, 2, FALSE), VLOOKUP(_xlpm.Vertex, _xlpm.Table2, 2, FALSE)),
_xlpm.FaceArray, _xlfn.TEXTSPLIT(_xlpm.FaceString, ", "),
INDEX(_xlpm.FaceArray, COLUMN(B1))
), "")</f>
        <v>Face 2</v>
      </c>
      <c r="D2" s="236" t="str" cm="1">
        <f t="array" ref="D2">IFERROR("Face " &amp; _xlfn.LET(
_xlpm.Vertex, $A2,
_xlpm.Table1, $S$2:$T$11,
_xlpm.Table2, $S$12:$T$21,
_xlpm.FaceString, IFERROR(VLOOKUP(_xlpm.Vertex, _xlpm.Table1, 2, FALSE), VLOOKUP(_xlpm.Vertex, _xlpm.Table2, 2, FALSE)),
_xlpm.FaceArray, _xlfn.TEXTSPLIT(_xlpm.FaceString, ", "),
INDEX(_xlpm.FaceArray, COLUMN(C1))
), "")</f>
        <v>Face 6</v>
      </c>
      <c r="E2" s="434">
        <f>VLOOKUP(B2, DODECA_ENGINE!$A$2:$K$13, 11, FALSE)</f>
        <v>0.23961225216342069</v>
      </c>
      <c r="F2" s="434">
        <f>VLOOKUP(C2, DODECA_ENGINE!$A$2:$K$13, 11, FALSE)</f>
        <v>0.40086371970020074</v>
      </c>
      <c r="G2" s="434">
        <f>VLOOKUP(D2, DODECA_ENGINE!$A$2:$K$13, 11, FALSE)</f>
        <v>0.24689937774340731</v>
      </c>
      <c r="H2" s="493">
        <f t="shared" ref="H2:H21" si="0">AVERAGE(E2:G2)</f>
        <v>0.29579178320234295</v>
      </c>
      <c r="I2" s="501">
        <f>(ABS(F2-E2) + ABS(G2-F2) + ABS(E2-G2)) / 3</f>
        <v>0.10750097835785337</v>
      </c>
      <c r="J2" s="498">
        <f>Vortex_Map[[#This Row],[Macro Vortex Strength(ω)]]/(2/3)</f>
        <v>0.16125146753678007</v>
      </c>
      <c r="K2" s="502">
        <f>_xlfn.XLOOKUP(Vortex_Map[[#This Row],[Vertex_ID]],$S$2:$S$21,$AM$2:$AM$21)</f>
        <v>0.72765840403944571</v>
      </c>
      <c r="L2" s="502">
        <f>_xlfn.XLOOKUP(Vortex_Map[[#This Row],[Vertex_ID]],$S$2:$S$21,$AN$2:$AN$21)</f>
        <v>0.2440182420209264</v>
      </c>
      <c r="M2" s="500">
        <f>Vortex_Map[[#This Row],[Micro Vortex (ω)]]/(2/3)</f>
        <v>0.36602736303138961</v>
      </c>
      <c r="N2" s="499">
        <f t="shared" ref="N2:N21" si="1" xml:space="preserve"> (H2 * (1 - J2)) * (K2 * (1 - M2))</f>
        <v>0.11445003821992444</v>
      </c>
      <c r="O2" s="499">
        <f>Vortex_Map[[#This Row],[Micro V-Mean (Avg of 9 KPIs)]]/Vortex_Map[[#This Row],[Micro Vortex (ω)]]</f>
        <v>2.981983633736053</v>
      </c>
      <c r="P2" s="497" t="str">
        <f>_xlfn.XLOOKUP(Vortex_Map[[#This Row],[Face_1_ID]],DODECA_ENGINE!$A$2:$A$13,DODECA_ENGINE!$B$2:$B$13) &amp; " , " &amp; _xlfn.XLOOKUP(Vortex_Map[[#This Row],[Face_2_ID]],DODECA_ENGINE!$A$2:$A$13,DODECA_ENGINE!$B$2:$B$13) &amp; " , " &amp; _xlfn.XLOOKUP(Vortex_Map[[#This Row],[Face_3_ID]],DODECA_ENGINE!$A$2:$A$13,DODECA_ENGINE!$B$2:$B$13)</f>
        <v>Financial Capital , Intellectual Capital , Community &amp; Partners</v>
      </c>
      <c r="S2" s="472" t="s">
        <v>1990</v>
      </c>
      <c r="T2" s="473" t="s">
        <v>2011</v>
      </c>
      <c r="U2" s="474" t="str">
        <f t="shared" ref="U2:U21" si="2">"E" &amp; MIN(VALUE(LEFT(T2, FIND(",", T2) - 1)), VALUE(MID(T2, FIND(",", T2) + 2, FIND(",", T2, FIND(",", T2) + 1) - FIND(",", T2) - 2))) &amp; "-" &amp; MAX(VALUE(LEFT(T2, FIND(",", T2) - 1)), VALUE(MID(T2, FIND(",", T2) + 2, FIND(",", T2, FIND(",", T2) + 1) - FIND(",", T2) - 2)))</f>
        <v>E1-2</v>
      </c>
      <c r="V2" s="475">
        <f>_xlfn.XLOOKUP(U2,Edge_Tension_Map[Edge_ID],Edge_Tension_Map[Edge KPI Coherence])</f>
        <v>0.83874853246322001</v>
      </c>
      <c r="W2" s="476" t="str">
        <f t="shared" ref="W2:W21" si="3">"E" &amp; MIN(VALUE(LEFT(T2, FIND(",", T2) - 1)), VALUE(RIGHT(T2, LEN(T2) - FIND(",", T2, FIND(",", T2) + 1) - 1))) &amp; "-" &amp; MAX(VALUE(LEFT(T2, FIND(",", T2) - 1)), VALUE(RIGHT(T2, LEN(T2) - FIND(",", T2, FIND(",", T2) + 1) - 1)))</f>
        <v>E1-6</v>
      </c>
      <c r="X2" s="477">
        <f>_xlfn.XLOOKUP(W2,Edge_Tension_Map[Edge_ID],Edge_Tension_Map[Edge KPI Coherence])</f>
        <v>0.99271287442001332</v>
      </c>
      <c r="Y2" s="476" t="str">
        <f t="shared" ref="Y2:Y21" si="4">"E" &amp; MIN(VALUE(MID(T2, FIND(",", T2) + 2, FIND(",", T2, FIND(",", T2) + 1) - FIND(",", T2) - 2)), VALUE(RIGHT(T2, LEN(T2) - FIND(",", T2, FIND(",", T2) + 1) - 1))) &amp; "-" &amp; MAX(VALUE(MID(T2, FIND(",", T2) + 2, FIND(",", T2, FIND(",", T2) + 1) - FIND(",", T2) - 2)), VALUE(RIGHT(T2, LEN(T2) - FIND(",", T2, FIND(",", T2) + 1) - 1)))</f>
        <v>E2-6</v>
      </c>
      <c r="Z2" s="478">
        <f>_xlfn.XLOOKUP(Y2,Edge_Tension_Map[Edge_ID],Edge_Tension_Map[Edge KPI Coherence])</f>
        <v>0.84603565804320657</v>
      </c>
      <c r="AA2" s="476" t="s">
        <v>2068</v>
      </c>
      <c r="AB2" s="479" cm="1">
        <f t="array" ref="AB2">_xlfn.LET(
    _xlpm.cell_value, AA2,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0.4</v>
      </c>
      <c r="AC2" s="476" t="s">
        <v>2069</v>
      </c>
      <c r="AD2" s="480" cm="1">
        <f t="array" ref="AD2">_xlfn.LET(
    _xlpm.cell_value, AC2,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E2" s="476" t="s">
        <v>2070</v>
      </c>
      <c r="AF2" s="480" cm="1">
        <f t="array" ref="AF2">_xlfn.LET(
    _xlpm.cell_value, AE2,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0.4</v>
      </c>
      <c r="AG2" s="476" t="s">
        <v>2071</v>
      </c>
      <c r="AH2" s="480" cm="1">
        <f t="array" ref="AH2">_xlfn.LET(
    _xlpm.cell_value, AG2,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I2" s="476" t="s">
        <v>2072</v>
      </c>
      <c r="AJ2" s="480" cm="1">
        <f t="array" ref="AJ2">_xlfn.LET(
    _xlpm.cell_value, AI2,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0.5714285714285714</v>
      </c>
      <c r="AK2" s="481" t="s">
        <v>2073</v>
      </c>
      <c r="AL2" s="480" cm="1">
        <f t="array" ref="AL2">_xlfn.LET(
    _xlpm.cell_value, AK2,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0.5</v>
      </c>
      <c r="AM2" s="482">
        <f>AVERAGE(VORTEX_MAP!$AL2,VORTEX_MAP!$AJ2,VORTEX_MAP!$AH2,VORTEX_MAP!$AF2,VORTEX_MAP!$AD2,VORTEX_MAP!$AB2,VORTEX_MAP!$Z2,VORTEX_MAP!$X2,VORTEX_MAP!$V2)</f>
        <v>0.72765840403944571</v>
      </c>
      <c r="AN2">
        <f>_xlfn.STDEV.P(V2,X2,Z2,AB2,AD2,AF2,AH2,AJ2,AL2)</f>
        <v>0.2440182420209264</v>
      </c>
    </row>
    <row r="3" spans="1:40">
      <c r="A3" s="431" t="s">
        <v>1999</v>
      </c>
      <c r="B3" s="236" t="str" cm="1">
        <f t="array" ref="B3">IFERROR("Face " &amp; _xlfn.LET(
_xlpm.Vertex, $A3,
_xlpm.Table1, $S$2:$T$11,
_xlpm.Table2, $S$12:$T$21,
_xlpm.FaceString, IFERROR(VLOOKUP(_xlpm.Vertex, _xlpm.Table1, 2, FALSE), VLOOKUP(_xlpm.Vertex, _xlpm.Table2, 2, FALSE)),
_xlpm.FaceArray, _xlfn.TEXTSPLIT(_xlpm.FaceString, ", "),
INDEX(_xlpm.FaceArray, COLUMN(A2))
), "")</f>
        <v>Face 4</v>
      </c>
      <c r="C3" s="236" t="str" cm="1">
        <f t="array" ref="C3">IFERROR("Face " &amp; _xlfn.LET(
_xlpm.Vertex, $A3,
_xlpm.Table1, $S$2:$T$11,
_xlpm.Table2, $S$12:$T$21,
_xlpm.FaceString, IFERROR(VLOOKUP(_xlpm.Vertex, _xlpm.Table1, 2, FALSE), VLOOKUP(_xlpm.Vertex, _xlpm.Table2, 2, FALSE)),
_xlpm.FaceArray, _xlfn.TEXTSPLIT(_xlpm.FaceString, ", "),
INDEX(_xlpm.FaceArray, COLUMN(B2))
), "")</f>
        <v>Face 5</v>
      </c>
      <c r="D3" s="236" t="str" cm="1">
        <f t="array" ref="D3">IFERROR("Face " &amp; _xlfn.LET(
_xlpm.Vertex, $A3,
_xlpm.Table1, $S$2:$T$11,
_xlpm.Table2, $S$12:$T$21,
_xlpm.FaceString, IFERROR(VLOOKUP(_xlpm.Vertex, _xlpm.Table1, 2, FALSE), VLOOKUP(_xlpm.Vertex, _xlpm.Table2, 2, FALSE)),
_xlpm.FaceArray, _xlfn.TEXTSPLIT(_xlpm.FaceString, ", "),
INDEX(_xlpm.FaceArray, COLUMN(C2))
), "")</f>
        <v>Face 7</v>
      </c>
      <c r="E3" s="434">
        <f>VLOOKUP(B3, DODECA_ENGINE!$A$2:$K$13, 11, FALSE)</f>
        <v>0.24478839508550371</v>
      </c>
      <c r="F3" s="434">
        <f>VLOOKUP(C3, DODECA_ENGINE!$A$2:$K$13, 11, FALSE)</f>
        <v>4.6253795033477547E-2</v>
      </c>
      <c r="G3" s="434">
        <f>VLOOKUP(D3, DODECA_ENGINE!$A$2:$K$13, 11, FALSE)</f>
        <v>0.2081301969966585</v>
      </c>
      <c r="H3" s="493">
        <f t="shared" si="0"/>
        <v>0.16639079570521323</v>
      </c>
      <c r="I3" s="501">
        <f t="shared" ref="I3:I21" si="5">(ABS(F3-E3) + ABS(G3-F3) + ABS(E3-G3)) / 3</f>
        <v>0.1323564000346841</v>
      </c>
      <c r="J3" s="498">
        <f>Vortex_Map[[#This Row],[Macro Vortex Strength(ω)]]/(2/3)</f>
        <v>0.19853460005202617</v>
      </c>
      <c r="K3" s="502">
        <f>_xlfn.XLOOKUP(Vortex_Map[[#This Row],[Vertex_ID]],$S$2:$S$21,$AM$2:$AM$21)</f>
        <v>0.70508754919478778</v>
      </c>
      <c r="L3" s="502">
        <f>_xlfn.XLOOKUP(Vortex_Map[[#This Row],[Vertex_ID]],$S$2:$S$21,$AN$2:$AN$21)</f>
        <v>0.31177196840640042</v>
      </c>
      <c r="M3" s="500">
        <f>Vortex_Map[[#This Row],[Micro Vortex (ω)]]/(2/3)</f>
        <v>0.46765795260960064</v>
      </c>
      <c r="N3" s="499">
        <f t="shared" si="1"/>
        <v>5.0055049258282976E-2</v>
      </c>
      <c r="O3" s="499">
        <f>Vortex_Map[[#This Row],[Micro V-Mean (Avg of 9 KPIs)]]/Vortex_Map[[#This Row],[Micro Vortex (ω)]]</f>
        <v>2.2615488903598071</v>
      </c>
      <c r="P3" s="497" t="str">
        <f>_xlfn.XLOOKUP(Vortex_Map[[#This Row],[Face_1_ID]],DODECA_ENGINE!$A$2:$A$13,DODECA_ENGINE!$B$2:$B$13) &amp; " , " &amp; _xlfn.XLOOKUP(Vortex_Map[[#This Row],[Face_2_ID]],DODECA_ENGINE!$A$2:$A$13,DODECA_ENGINE!$B$2:$B$13) &amp; " , " &amp; _xlfn.XLOOKUP(Vortex_Map[[#This Row],[Face_3_ID]],DODECA_ENGINE!$A$2:$A$13,DODECA_ENGINE!$B$2:$B$13)</f>
        <v>Structural Capital , Market Resonance , Brand &amp; Reputation</v>
      </c>
      <c r="S3" s="472" t="s">
        <v>1991</v>
      </c>
      <c r="T3" s="473" t="s">
        <v>2013</v>
      </c>
      <c r="U3" s="474" t="str">
        <f t="shared" si="2"/>
        <v>E1-5</v>
      </c>
      <c r="V3" s="475" t="e">
        <f>_xlfn.XLOOKUP(U3,Edge_Tension_Map[Edge_ID],Edge_Tension_Map[Edge KPI Coherence])</f>
        <v>#N/A</v>
      </c>
      <c r="W3" s="476" t="str">
        <f t="shared" si="3"/>
        <v>E1-6</v>
      </c>
      <c r="X3" s="477">
        <f>_xlfn.XLOOKUP(W3,Edge_Tension_Map[Edge_ID],Edge_Tension_Map[Edge KPI Coherence])</f>
        <v>0.99271287442001332</v>
      </c>
      <c r="Y3" s="476" t="str">
        <f t="shared" si="4"/>
        <v>E5-6</v>
      </c>
      <c r="Z3" s="478" t="e">
        <f>_xlfn.XLOOKUP(Y3,Edge_Tension_Map[Edge_ID],Edge_Tension_Map[Edge KPI Coherence])</f>
        <v>#N/A</v>
      </c>
      <c r="AA3" s="476" t="s">
        <v>2074</v>
      </c>
      <c r="AB3" s="479" cm="1">
        <f t="array" ref="AB3">_xlfn.LET(
    _xlpm.cell_value, AA3,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0.14285714285714285</v>
      </c>
      <c r="AC3" s="476" t="s">
        <v>2069</v>
      </c>
      <c r="AD3" s="480" cm="1">
        <f t="array" ref="AD3">_xlfn.LET(
    _xlpm.cell_value, AC3,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E3" s="476" t="s">
        <v>2075</v>
      </c>
      <c r="AF3" s="480" cm="1">
        <f t="array" ref="AF3">_xlfn.LET(
    _xlpm.cell_value, AE3,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0.5</v>
      </c>
      <c r="AG3" s="476" t="s">
        <v>2076</v>
      </c>
      <c r="AH3" s="480" cm="1">
        <f t="array" ref="AH3">_xlfn.LET(
    _xlpm.cell_value, AG3,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7.2000000000000008E-2</v>
      </c>
      <c r="AI3" s="476" t="s">
        <v>2073</v>
      </c>
      <c r="AJ3" s="480" cm="1">
        <f t="array" ref="AJ3">_xlfn.LET(
    _xlpm.cell_value, AI3,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0.5</v>
      </c>
      <c r="AK3" s="481" t="s">
        <v>2077</v>
      </c>
      <c r="AL3" s="480" cm="1">
        <f t="array" ref="AL3">_xlfn.LET(
    _xlpm.cell_value, AK3,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v>
      </c>
      <c r="AM3" s="483" t="e">
        <f>AVERAGE(VORTEX_MAP!$AL3,VORTEX_MAP!$AJ3,VORTEX_MAP!$AH3,VORTEX_MAP!$AF3,VORTEX_MAP!$AD3,VORTEX_MAP!$AB3,VORTEX_MAP!$Z3,VORTEX_MAP!$X3,VORTEX_MAP!$V3)</f>
        <v>#N/A</v>
      </c>
      <c r="AN3" t="e">
        <f t="shared" ref="AN3:AN21" si="6">_xlfn.STDEV.P(V3,X3,Z3,AB3,AD3,AF3,AH3,AJ3,AL3)</f>
        <v>#N/A</v>
      </c>
    </row>
    <row r="4" spans="1:40">
      <c r="A4" s="431" t="s">
        <v>2000</v>
      </c>
      <c r="B4" s="236" t="str" cm="1">
        <f t="array" ref="B4">IFERROR("Face " &amp; _xlfn.LET(
_xlpm.Vertex, $A4,
_xlpm.Table1, $S$2:$T$11,
_xlpm.Table2, $S$12:$T$21,
_xlpm.FaceString, IFERROR(VLOOKUP(_xlpm.Vertex, _xlpm.Table1, 2, FALSE), VLOOKUP(_xlpm.Vertex, _xlpm.Table2, 2, FALSE)),
_xlpm.FaceArray, _xlfn.TEXTSPLIT(_xlpm.FaceString, ", "),
INDEX(_xlpm.FaceArray, COLUMN(A3))
), "")</f>
        <v>Face 3</v>
      </c>
      <c r="C4" s="236" t="str" cm="1">
        <f t="array" ref="C4">IFERROR("Face " &amp; _xlfn.LET(
_xlpm.Vertex, $A4,
_xlpm.Table1, $S$2:$T$11,
_xlpm.Table2, $S$12:$T$21,
_xlpm.FaceString, IFERROR(VLOOKUP(_xlpm.Vertex, _xlpm.Table1, 2, FALSE), VLOOKUP(_xlpm.Vertex, _xlpm.Table2, 2, FALSE)),
_xlpm.FaceArray, _xlfn.TEXTSPLIT(_xlpm.FaceString, ", "),
INDEX(_xlpm.FaceArray, COLUMN(B3))
), "")</f>
        <v>Face 4</v>
      </c>
      <c r="D4" s="236" t="str" cm="1">
        <f t="array" ref="D4">IFERROR("Face " &amp; _xlfn.LET(
_xlpm.Vertex, $A4,
_xlpm.Table1, $S$2:$T$11,
_xlpm.Table2, $S$12:$T$21,
_xlpm.FaceString, IFERROR(VLOOKUP(_xlpm.Vertex, _xlpm.Table1, 2, FALSE), VLOOKUP(_xlpm.Vertex, _xlpm.Table2, 2, FALSE)),
_xlpm.FaceArray, _xlfn.TEXTSPLIT(_xlpm.FaceString, ", "),
INDEX(_xlpm.FaceArray, COLUMN(C3))
), "")</f>
        <v>Face 11</v>
      </c>
      <c r="E4" s="434">
        <f>VLOOKUP(B4, DODECA_ENGINE!$A$2:$K$13, 11, FALSE)</f>
        <v>0.16559188153585278</v>
      </c>
      <c r="F4" s="434">
        <f>VLOOKUP(C4, DODECA_ENGINE!$A$2:$K$13, 11, FALSE)</f>
        <v>0.24478839508550371</v>
      </c>
      <c r="G4" s="434">
        <f>VLOOKUP(D4, DODECA_ENGINE!$A$2:$K$13, 11, FALSE)</f>
        <v>0.12343511244618152</v>
      </c>
      <c r="H4" s="493">
        <f t="shared" si="0"/>
        <v>0.17793846302251268</v>
      </c>
      <c r="I4" s="501">
        <f t="shared" si="5"/>
        <v>8.0902188426214786E-2</v>
      </c>
      <c r="J4" s="498">
        <f>Vortex_Map[[#This Row],[Macro Vortex Strength(ω)]]/(2/3)</f>
        <v>0.12135328263932219</v>
      </c>
      <c r="K4" s="502" t="e">
        <f>_xlfn.XLOOKUP(Vortex_Map[[#This Row],[Vertex_ID]],$S$2:$S$21,$AM$2:$AM$21)</f>
        <v>#N/A</v>
      </c>
      <c r="L4" s="502" t="e">
        <f>_xlfn.XLOOKUP(Vortex_Map[[#This Row],[Vertex_ID]],$S$2:$S$21,$AN$2:$AN$21)</f>
        <v>#N/A</v>
      </c>
      <c r="M4" s="500" t="e">
        <f>Vortex_Map[[#This Row],[Micro Vortex (ω)]]/(2/3)</f>
        <v>#N/A</v>
      </c>
      <c r="N4" s="499" t="e">
        <f t="shared" si="1"/>
        <v>#N/A</v>
      </c>
      <c r="O4" s="499" t="e">
        <f>Vortex_Map[[#This Row],[Micro V-Mean (Avg of 9 KPIs)]]/Vortex_Map[[#This Row],[Micro Vortex (ω)]]</f>
        <v>#N/A</v>
      </c>
      <c r="P4" s="497" t="str">
        <f>_xlfn.XLOOKUP(Vortex_Map[[#This Row],[Face_1_ID]],DODECA_ENGINE!$A$2:$A$13,DODECA_ENGINE!$B$2:$B$13) &amp; " , " &amp; _xlfn.XLOOKUP(Vortex_Map[[#This Row],[Face_2_ID]],DODECA_ENGINE!$A$2:$A$13,DODECA_ENGINE!$B$2:$B$13) &amp; " , " &amp; _xlfn.XLOOKUP(Vortex_Map[[#This Row],[Face_3_ID]],DODECA_ENGINE!$A$2:$A$13,DODECA_ENGINE!$B$2:$B$13)</f>
        <v>Human Capital , Structural Capital , Funding Pipeline</v>
      </c>
      <c r="S4" s="472" t="s">
        <v>1992</v>
      </c>
      <c r="T4" s="473" t="s">
        <v>2015</v>
      </c>
      <c r="U4" s="474" t="str">
        <f t="shared" si="2"/>
        <v>E1-8</v>
      </c>
      <c r="V4" s="475">
        <f>_xlfn.XLOOKUP(U4,Edge_Tension_Map[Edge_ID],Edge_Tension_Map[Edge KPI Coherence])</f>
        <v>0.98127896617012189</v>
      </c>
      <c r="W4" s="476" t="str">
        <f t="shared" si="3"/>
        <v>E1-9</v>
      </c>
      <c r="X4" s="477" t="e">
        <f>_xlfn.XLOOKUP(W4,Edge_Tension_Map[Edge_ID],Edge_Tension_Map[Edge KPI Coherence])</f>
        <v>#N/A</v>
      </c>
      <c r="Y4" s="476" t="str">
        <f t="shared" si="4"/>
        <v>E8-9</v>
      </c>
      <c r="Z4" s="478" t="e">
        <f>_xlfn.XLOOKUP(Y4,Edge_Tension_Map[Edge_ID],Edge_Tension_Map[Edge KPI Coherence])</f>
        <v>#N/A</v>
      </c>
      <c r="AA4" s="476" t="s">
        <v>2078</v>
      </c>
      <c r="AB4" s="479" cm="1">
        <f t="array" ref="AB4">_xlfn.LET(
    _xlpm.cell_value, AA4,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0.41666666666666669</v>
      </c>
      <c r="AC4" s="476" t="s">
        <v>2079</v>
      </c>
      <c r="AD4" s="480" cm="1">
        <f t="array" ref="AD4">_xlfn.LET(
    _xlpm.cell_value, AC4,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0.42857142857142855</v>
      </c>
      <c r="AE4" s="476" t="s">
        <v>2080</v>
      </c>
      <c r="AF4" s="480" cm="1">
        <f t="array" ref="AF4">_xlfn.LET(
    _xlpm.cell_value, AE4,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v>
      </c>
      <c r="AG4" s="476" t="s">
        <v>2081</v>
      </c>
      <c r="AH4" s="480" cm="1">
        <f t="array" ref="AH4">_xlfn.LET(
    _xlpm.cell_value, AG4,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0.2</v>
      </c>
      <c r="AI4" s="476" t="s">
        <v>2082</v>
      </c>
      <c r="AJ4" s="480" cm="1">
        <f t="array" ref="AJ4">_xlfn.LET(
    _xlpm.cell_value, AI4,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K4" s="481" t="s">
        <v>2083</v>
      </c>
      <c r="AL4" s="480" cm="1">
        <f t="array" ref="AL4">_xlfn.LET(
    _xlpm.cell_value, AK4,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M4" s="482" t="e">
        <f>AVERAGE(VORTEX_MAP!$AL4,VORTEX_MAP!$AJ4,VORTEX_MAP!$AH4,VORTEX_MAP!$AF4,VORTEX_MAP!$AD4,VORTEX_MAP!$AB4,VORTEX_MAP!$Z4,VORTEX_MAP!$X4,VORTEX_MAP!$V4)</f>
        <v>#N/A</v>
      </c>
      <c r="AN4" t="e">
        <f t="shared" si="6"/>
        <v>#N/A</v>
      </c>
    </row>
    <row r="5" spans="1:40">
      <c r="A5" s="431" t="s">
        <v>2001</v>
      </c>
      <c r="B5" s="236" t="str" cm="1">
        <f t="array" ref="B5">IFERROR("Face " &amp; _xlfn.LET(
_xlpm.Vertex, $A5,
_xlpm.Table1, $S$2:$T$11,
_xlpm.Table2, $S$12:$T$21,
_xlpm.FaceString, IFERROR(VLOOKUP(_xlpm.Vertex, _xlpm.Table1, 2, FALSE), VLOOKUP(_xlpm.Vertex, _xlpm.Table2, 2, FALSE)),
_xlpm.FaceArray, _xlfn.TEXTSPLIT(_xlpm.FaceString, ", "),
INDEX(_xlpm.FaceArray, COLUMN(A4))
), "")</f>
        <v>Face 4</v>
      </c>
      <c r="C5" s="236" t="str" cm="1">
        <f t="array" ref="C5">IFERROR("Face " &amp; _xlfn.LET(
_xlpm.Vertex, $A5,
_xlpm.Table1, $S$2:$T$11,
_xlpm.Table2, $S$12:$T$21,
_xlpm.FaceString, IFERROR(VLOOKUP(_xlpm.Vertex, _xlpm.Table1, 2, FALSE), VLOOKUP(_xlpm.Vertex, _xlpm.Table2, 2, FALSE)),
_xlpm.FaceArray, _xlfn.TEXTSPLIT(_xlpm.FaceString, ", "),
INDEX(_xlpm.FaceArray, COLUMN(B4))
), "")</f>
        <v>Face 7</v>
      </c>
      <c r="D5" s="236" t="str" cm="1">
        <f t="array" ref="D5">IFERROR("Face " &amp; _xlfn.LET(
_xlpm.Vertex, $A5,
_xlpm.Table1, $S$2:$T$11,
_xlpm.Table2, $S$12:$T$21,
_xlpm.FaceString, IFERROR(VLOOKUP(_xlpm.Vertex, _xlpm.Table1, 2, FALSE), VLOOKUP(_xlpm.Vertex, _xlpm.Table2, 2, FALSE)),
_xlpm.FaceArray, _xlfn.TEXTSPLIT(_xlpm.FaceString, ", "),
INDEX(_xlpm.FaceArray, COLUMN(C4))
), "")</f>
        <v>Face 11</v>
      </c>
      <c r="E5" s="434">
        <f>VLOOKUP(B5, DODECA_ENGINE!$A$2:$K$13, 11, FALSE)</f>
        <v>0.24478839508550371</v>
      </c>
      <c r="F5" s="434">
        <f>VLOOKUP(C5, DODECA_ENGINE!$A$2:$K$13, 11, FALSE)</f>
        <v>0.2081301969966585</v>
      </c>
      <c r="G5" s="434">
        <f>VLOOKUP(D5, DODECA_ENGINE!$A$2:$K$13, 11, FALSE)</f>
        <v>0.12343511244618152</v>
      </c>
      <c r="H5" s="493">
        <f t="shared" si="0"/>
        <v>0.19211790150944794</v>
      </c>
      <c r="I5" s="501">
        <f t="shared" si="5"/>
        <v>8.0902188426214786E-2</v>
      </c>
      <c r="J5" s="498">
        <f>Vortex_Map[[#This Row],[Macro Vortex Strength(ω)]]/(2/3)</f>
        <v>0.12135328263932219</v>
      </c>
      <c r="K5" s="502" t="e">
        <f>_xlfn.XLOOKUP(Vortex_Map[[#This Row],[Vertex_ID]],$S$2:$S$21,$AM$2:$AM$21)</f>
        <v>#N/A</v>
      </c>
      <c r="L5" s="502" t="e">
        <f>_xlfn.XLOOKUP(Vortex_Map[[#This Row],[Vertex_ID]],$S$2:$S$21,$AN$2:$AN$21)</f>
        <v>#N/A</v>
      </c>
      <c r="M5" s="500" t="e">
        <f>Vortex_Map[[#This Row],[Micro Vortex (ω)]]/(2/3)</f>
        <v>#N/A</v>
      </c>
      <c r="N5" s="499" t="e">
        <f t="shared" si="1"/>
        <v>#N/A</v>
      </c>
      <c r="O5" s="499" t="e">
        <f>Vortex_Map[[#This Row],[Micro V-Mean (Avg of 9 KPIs)]]/Vortex_Map[[#This Row],[Micro Vortex (ω)]]</f>
        <v>#N/A</v>
      </c>
      <c r="P5" s="497" t="str">
        <f>_xlfn.XLOOKUP(Vortex_Map[[#This Row],[Face_1_ID]],DODECA_ENGINE!$A$2:$A$13,DODECA_ENGINE!$B$2:$B$13) &amp; " , " &amp; _xlfn.XLOOKUP(Vortex_Map[[#This Row],[Face_2_ID]],DODECA_ENGINE!$A$2:$A$13,DODECA_ENGINE!$B$2:$B$13) &amp; " , " &amp; _xlfn.XLOOKUP(Vortex_Map[[#This Row],[Face_3_ID]],DODECA_ENGINE!$A$2:$A$13,DODECA_ENGINE!$B$2:$B$13)</f>
        <v>Structural Capital , Brand &amp; Reputation , Funding Pipeline</v>
      </c>
      <c r="S5" s="472" t="s">
        <v>1993</v>
      </c>
      <c r="T5" s="473" t="s">
        <v>2017</v>
      </c>
      <c r="U5" s="474" t="str">
        <f t="shared" si="2"/>
        <v>E2-9</v>
      </c>
      <c r="V5" s="475" t="e">
        <f>_xlfn.XLOOKUP(U5,Edge_Tension_Map[Edge_ID],Edge_Tension_Map[Edge KPI Coherence])</f>
        <v>#N/A</v>
      </c>
      <c r="W5" s="476" t="str">
        <f t="shared" si="3"/>
        <v>E2-10</v>
      </c>
      <c r="X5" s="477">
        <f>_xlfn.XLOOKUP(W5,Edge_Tension_Map[Edge_ID],Edge_Tension_Map[Edge KPI Coherence])</f>
        <v>0.98457956439890271</v>
      </c>
      <c r="Y5" s="476" t="str">
        <f t="shared" si="4"/>
        <v>E9-10</v>
      </c>
      <c r="Z5" s="478" t="e">
        <f>_xlfn.XLOOKUP(Y5,Edge_Tension_Map[Edge_ID],Edge_Tension_Map[Edge KPI Coherence])</f>
        <v>#N/A</v>
      </c>
      <c r="AA5" s="476" t="s">
        <v>2084</v>
      </c>
      <c r="AB5" s="479" cm="1">
        <f t="array" ref="AB5">_xlfn.LET(
    _xlpm.cell_value, AA5,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C5" s="476" t="s">
        <v>2085</v>
      </c>
      <c r="AD5" s="480" cm="1">
        <f t="array" ref="AD5">_xlfn.LET(
    _xlpm.cell_value, AC5,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0.5</v>
      </c>
      <c r="AE5" s="476" t="s">
        <v>2086</v>
      </c>
      <c r="AF5" s="480" cm="1">
        <f t="array" ref="AF5">_xlfn.LET(
    _xlpm.cell_value, AE5,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0.1</v>
      </c>
      <c r="AG5" s="476" t="s">
        <v>2083</v>
      </c>
      <c r="AH5" s="480" cm="1">
        <f t="array" ref="AH5">_xlfn.LET(
    _xlpm.cell_value, AG5,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I5" s="476" t="s">
        <v>2087</v>
      </c>
      <c r="AJ5" s="480" cm="1">
        <f t="array" ref="AJ5">_xlfn.LET(
    _xlpm.cell_value, AI5,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0.9</v>
      </c>
      <c r="AK5" s="481" t="s">
        <v>2088</v>
      </c>
      <c r="AL5" s="480" cm="1">
        <f t="array" ref="AL5">_xlfn.LET(
    _xlpm.cell_value, AK5,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M5" s="483" t="e">
        <f>AVERAGE(VORTEX_MAP!$AL5,VORTEX_MAP!$AJ5,VORTEX_MAP!$AH5,VORTEX_MAP!$AF5,VORTEX_MAP!$AD5,VORTEX_MAP!$AB5,VORTEX_MAP!$Z5,VORTEX_MAP!$X5,VORTEX_MAP!$V5)</f>
        <v>#N/A</v>
      </c>
      <c r="AN5" t="e">
        <f t="shared" si="6"/>
        <v>#N/A</v>
      </c>
    </row>
    <row r="6" spans="1:40">
      <c r="A6" s="431" t="s">
        <v>2002</v>
      </c>
      <c r="B6" s="236" t="str" cm="1">
        <f t="array" ref="B6">IFERROR("Face " &amp; _xlfn.LET(
_xlpm.Vertex, $A6,
_xlpm.Table1, $S$2:$T$11,
_xlpm.Table2, $S$12:$T$21,
_xlpm.FaceString, IFERROR(VLOOKUP(_xlpm.Vertex, _xlpm.Table1, 2, FALSE), VLOOKUP(_xlpm.Vertex, _xlpm.Table2, 2, FALSE)),
_xlpm.FaceArray, _xlfn.TEXTSPLIT(_xlpm.FaceString, ", "),
INDEX(_xlpm.FaceArray, COLUMN(A5))
), "")</f>
        <v>Face 5</v>
      </c>
      <c r="C6" s="236" t="str" cm="1">
        <f t="array" ref="C6">IFERROR("Face " &amp; _xlfn.LET(
_xlpm.Vertex, $A6,
_xlpm.Table1, $S$2:$T$11,
_xlpm.Table2, $S$12:$T$21,
_xlpm.FaceString, IFERROR(VLOOKUP(_xlpm.Vertex, _xlpm.Table1, 2, FALSE), VLOOKUP(_xlpm.Vertex, _xlpm.Table2, 2, FALSE)),
_xlpm.FaceArray, _xlfn.TEXTSPLIT(_xlpm.FaceString, ", "),
INDEX(_xlpm.FaceArray, COLUMN(B5))
), "")</f>
        <v>Face 7</v>
      </c>
      <c r="D6" s="236" t="str" cm="1">
        <f t="array" ref="D6">IFERROR("Face " &amp; _xlfn.LET(
_xlpm.Vertex, $A6,
_xlpm.Table1, $S$2:$T$11,
_xlpm.Table2, $S$12:$T$21,
_xlpm.FaceString, IFERROR(VLOOKUP(_xlpm.Vertex, _xlpm.Table1, 2, FALSE), VLOOKUP(_xlpm.Vertex, _xlpm.Table2, 2, FALSE)),
_xlpm.FaceArray, _xlfn.TEXTSPLIT(_xlpm.FaceString, ", "),
INDEX(_xlpm.FaceArray, COLUMN(C5))
), "")</f>
        <v>Face 8</v>
      </c>
      <c r="E6" s="434">
        <f>VLOOKUP(B6, DODECA_ENGINE!$A$2:$K$13, 11, FALSE)</f>
        <v>4.6253795033477547E-2</v>
      </c>
      <c r="F6" s="434">
        <f>VLOOKUP(C6, DODECA_ENGINE!$A$2:$K$13, 11, FALSE)</f>
        <v>0.2081301969966585</v>
      </c>
      <c r="G6" s="434">
        <f>VLOOKUP(D6, DODECA_ENGINE!$A$2:$K$13, 11, FALSE)</f>
        <v>0.22089121833354255</v>
      </c>
      <c r="H6" s="493">
        <f t="shared" si="0"/>
        <v>0.1584250701212262</v>
      </c>
      <c r="I6" s="501">
        <f>(ABS(F6-E6) + ABS(G6-F6) + ABS(E6-G6)) / 3</f>
        <v>0.11642494886671001</v>
      </c>
      <c r="J6" s="498">
        <f>Vortex_Map[[#This Row],[Macro Vortex Strength(ω)]]/(2/3)</f>
        <v>0.17463742330006501</v>
      </c>
      <c r="K6" s="502">
        <f>_xlfn.XLOOKUP(Vortex_Map[[#This Row],[Vertex_ID]],$S$2:$S$21,$AM$2:$AM$21)</f>
        <v>0.64948772501918617</v>
      </c>
      <c r="L6" s="502">
        <f>_xlfn.XLOOKUP(Vortex_Map[[#This Row],[Vertex_ID]],$S$2:$S$21,$AN$2:$AN$21)</f>
        <v>0.37919067860491551</v>
      </c>
      <c r="M6" s="500">
        <f>Vortex_Map[[#This Row],[Micro Vortex (ω)]]/(2/3)</f>
        <v>0.56878601790737326</v>
      </c>
      <c r="N6" s="499">
        <f t="shared" si="1"/>
        <v>3.66211909094456E-2</v>
      </c>
      <c r="O6" s="499">
        <f>Vortex_Map[[#This Row],[Micro V-Mean (Avg of 9 KPIs)]]/Vortex_Map[[#This Row],[Micro Vortex (ω)]]</f>
        <v>1.7128261892109886</v>
      </c>
      <c r="P6" s="497" t="str">
        <f>_xlfn.XLOOKUP(Vortex_Map[[#This Row],[Face_1_ID]],DODECA_ENGINE!$A$2:$A$13,DODECA_ENGINE!$B$2:$B$13) &amp; " , " &amp; _xlfn.XLOOKUP(Vortex_Map[[#This Row],[Face_2_ID]],DODECA_ENGINE!$A$2:$A$13,DODECA_ENGINE!$B$2:$B$13) &amp; " , " &amp; _xlfn.XLOOKUP(Vortex_Map[[#This Row],[Face_3_ID]],DODECA_ENGINE!$A$2:$A$13,DODECA_ENGINE!$B$2:$B$13)</f>
        <v>Market Resonance , Brand &amp; Reputation , Core Operations</v>
      </c>
      <c r="S6" s="472" t="s">
        <v>1994</v>
      </c>
      <c r="T6" s="473" t="s">
        <v>2019</v>
      </c>
      <c r="U6" s="474" t="str">
        <f t="shared" si="2"/>
        <v>E2-3</v>
      </c>
      <c r="V6" s="475">
        <f>_xlfn.XLOOKUP(U6,Edge_Tension_Map[Edge_ID],Edge_Tension_Map[Edge KPI Coherence])</f>
        <v>0.76472816183565206</v>
      </c>
      <c r="W6" s="476" t="str">
        <f t="shared" si="3"/>
        <v>E2-10</v>
      </c>
      <c r="X6" s="477">
        <f>_xlfn.XLOOKUP(W6,Edge_Tension_Map[Edge_ID],Edge_Tension_Map[Edge KPI Coherence])</f>
        <v>0.98457956439890271</v>
      </c>
      <c r="Y6" s="476" t="str">
        <f t="shared" si="4"/>
        <v>E3-10</v>
      </c>
      <c r="Z6" s="478" t="e">
        <f>_xlfn.XLOOKUP(Y6,Edge_Tension_Map[Edge_ID],Edge_Tension_Map[Edge KPI Coherence])</f>
        <v>#N/A</v>
      </c>
      <c r="AA6" s="476" t="s">
        <v>2089</v>
      </c>
      <c r="AB6" s="479" cm="1">
        <f t="array" ref="AB6">_xlfn.LET(
    _xlpm.cell_value, AA6,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0.2857142857142857</v>
      </c>
      <c r="AC6" s="476" t="s">
        <v>2085</v>
      </c>
      <c r="AD6" s="480" cm="1">
        <f t="array" ref="AD6">_xlfn.LET(
    _xlpm.cell_value, AC6,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0.5</v>
      </c>
      <c r="AE6" s="476" t="s">
        <v>2090</v>
      </c>
      <c r="AF6" s="480" cm="1">
        <f t="array" ref="AF6">_xlfn.LET(
    _xlpm.cell_value, AE6,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0.5</v>
      </c>
      <c r="AG6" s="476" t="s">
        <v>2091</v>
      </c>
      <c r="AH6" s="480" cm="1">
        <f t="array" ref="AH6">_xlfn.LET(
    _xlpm.cell_value, AG6,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0.8571428571428571</v>
      </c>
      <c r="AI6" s="476" t="s">
        <v>2087</v>
      </c>
      <c r="AJ6" s="480" cm="1">
        <f t="array" ref="AJ6">_xlfn.LET(
    _xlpm.cell_value, AI6,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0.9</v>
      </c>
      <c r="AK6" s="481" t="s">
        <v>2088</v>
      </c>
      <c r="AL6" s="480" cm="1">
        <f t="array" ref="AL6">_xlfn.LET(
    _xlpm.cell_value, AK6,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M6" s="482" t="e">
        <f>AVERAGE(VORTEX_MAP!$AL6,VORTEX_MAP!$AJ6,VORTEX_MAP!$AH6,VORTEX_MAP!$AF6,VORTEX_MAP!$AD6,VORTEX_MAP!$AB6,VORTEX_MAP!$Z6,VORTEX_MAP!$X6,VORTEX_MAP!$V6)</f>
        <v>#N/A</v>
      </c>
      <c r="AN6" t="e">
        <f t="shared" si="6"/>
        <v>#N/A</v>
      </c>
    </row>
    <row r="7" spans="1:40">
      <c r="A7" s="431" t="s">
        <v>2003</v>
      </c>
      <c r="B7" s="236" t="str" cm="1">
        <f t="array" ref="B7">IFERROR("Face " &amp; _xlfn.LET(
_xlpm.Vertex, $A7,
_xlpm.Table1, $S$2:$T$11,
_xlpm.Table2, $S$12:$T$21,
_xlpm.FaceString, IFERROR(VLOOKUP(_xlpm.Vertex, _xlpm.Table1, 2, FALSE), VLOOKUP(_xlpm.Vertex, _xlpm.Table2, 2, FALSE)),
_xlpm.FaceArray, _xlfn.TEXTSPLIT(_xlpm.FaceString, ", "),
INDEX(_xlpm.FaceArray, COLUMN(A6))
), "")</f>
        <v>Face 7</v>
      </c>
      <c r="C7" s="236" t="str" cm="1">
        <f t="array" ref="C7">IFERROR("Face " &amp; _xlfn.LET(
_xlpm.Vertex, $A7,
_xlpm.Table1, $S$2:$T$11,
_xlpm.Table2, $S$12:$T$21,
_xlpm.FaceString, IFERROR(VLOOKUP(_xlpm.Vertex, _xlpm.Table1, 2, FALSE), VLOOKUP(_xlpm.Vertex, _xlpm.Table2, 2, FALSE)),
_xlpm.FaceArray, _xlfn.TEXTSPLIT(_xlpm.FaceString, ", "),
INDEX(_xlpm.FaceArray, COLUMN(B6))
), "")</f>
        <v>Face 8</v>
      </c>
      <c r="D7" s="236" t="str" cm="1">
        <f t="array" ref="D7">IFERROR("Face " &amp; _xlfn.LET(
_xlpm.Vertex, $A7,
_xlpm.Table1, $S$2:$T$11,
_xlpm.Table2, $S$12:$T$21,
_xlpm.FaceString, IFERROR(VLOOKUP(_xlpm.Vertex, _xlpm.Table1, 2, FALSE), VLOOKUP(_xlpm.Vertex, _xlpm.Table2, 2, FALSE)),
_xlpm.FaceArray, _xlfn.TEXTSPLIT(_xlpm.FaceString, ", "),
INDEX(_xlpm.FaceArray, COLUMN(C6))
), "")</f>
        <v>Face 12</v>
      </c>
      <c r="E7" s="434">
        <f>VLOOKUP(B7, DODECA_ENGINE!$A$2:$K$13, 11, FALSE)</f>
        <v>0.2081301969966585</v>
      </c>
      <c r="F7" s="434">
        <f>VLOOKUP(C7, DODECA_ENGINE!$A$2:$K$13, 11, FALSE)</f>
        <v>0.22089121833354255</v>
      </c>
      <c r="G7" s="434">
        <f>VLOOKUP(D7, DODECA_ENGINE!$A$2:$K$13, 11, FALSE)</f>
        <v>0.19632633030875329</v>
      </c>
      <c r="H7" s="493">
        <f t="shared" si="0"/>
        <v>0.20844924854631811</v>
      </c>
      <c r="I7" s="501">
        <f t="shared" si="5"/>
        <v>1.6376592016526175E-2</v>
      </c>
      <c r="J7" s="498">
        <f>Vortex_Map[[#This Row],[Macro Vortex Strength(ω)]]/(2/3)</f>
        <v>2.4564888024789264E-2</v>
      </c>
      <c r="K7" s="502" t="e">
        <f>_xlfn.XLOOKUP(Vortex_Map[[#This Row],[Vertex_ID]],$S$2:$S$21,$AM$2:$AM$21)</f>
        <v>#N/A</v>
      </c>
      <c r="L7" s="502" t="e">
        <f>_xlfn.XLOOKUP(Vortex_Map[[#This Row],[Vertex_ID]],$S$2:$S$21,$AN$2:$AN$21)</f>
        <v>#N/A</v>
      </c>
      <c r="M7" s="500" t="e">
        <f>Vortex_Map[[#This Row],[Micro Vortex (ω)]]/(2/3)</f>
        <v>#N/A</v>
      </c>
      <c r="N7" s="499" t="e">
        <f t="shared" si="1"/>
        <v>#N/A</v>
      </c>
      <c r="O7" s="499" t="e">
        <f>Vortex_Map[[#This Row],[Micro V-Mean (Avg of 9 KPIs)]]/Vortex_Map[[#This Row],[Micro Vortex (ω)]]</f>
        <v>#N/A</v>
      </c>
      <c r="P7" s="497" t="str">
        <f>_xlfn.XLOOKUP(Vortex_Map[[#This Row],[Face_1_ID]],DODECA_ENGINE!$A$2:$A$13,DODECA_ENGINE!$B$2:$B$13) &amp; " , " &amp; _xlfn.XLOOKUP(Vortex_Map[[#This Row],[Face_2_ID]],DODECA_ENGINE!$A$2:$A$13,DODECA_ENGINE!$B$2:$B$13) &amp; " , " &amp; _xlfn.XLOOKUP(Vortex_Map[[#This Row],[Face_3_ID]],DODECA_ENGINE!$A$2:$A$13,DODECA_ENGINE!$B$2:$B$13)</f>
        <v>Brand &amp; Reputation , Core Operations , Risk &amp; Resilience</v>
      </c>
      <c r="S7" s="472" t="s">
        <v>1995</v>
      </c>
      <c r="T7" s="473" t="s">
        <v>2065</v>
      </c>
      <c r="U7" s="474" t="str">
        <f t="shared" si="2"/>
        <v>E3-6</v>
      </c>
      <c r="V7" s="475">
        <f>_xlfn.XLOOKUP(U7,Edge_Tension_Map[Edge_ID],Edge_Tension_Map[Edge KPI Coherence])</f>
        <v>0.91869250379244549</v>
      </c>
      <c r="W7" s="476" t="str">
        <f t="shared" si="3"/>
        <v>E2-3</v>
      </c>
      <c r="X7" s="477">
        <f>_xlfn.XLOOKUP(W7,Edge_Tension_Map[Edge_ID],Edge_Tension_Map[Edge KPI Coherence])</f>
        <v>0.76472816183565206</v>
      </c>
      <c r="Y7" s="476" t="str">
        <f t="shared" si="4"/>
        <v>E2-6</v>
      </c>
      <c r="Z7" s="478">
        <f>_xlfn.XLOOKUP(Y7,Edge_Tension_Map[Edge_ID],Edge_Tension_Map[Edge KPI Coherence])</f>
        <v>0.84603565804320657</v>
      </c>
      <c r="AA7" s="476" t="s">
        <v>2092</v>
      </c>
      <c r="AB7" s="479" cm="1">
        <f t="array" ref="AB7">_xlfn.LET(
    _xlpm.cell_value, AA7,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C7" s="476" t="s">
        <v>2090</v>
      </c>
      <c r="AD7" s="480" cm="1">
        <f t="array" ref="AD7">_xlfn.LET(
    _xlpm.cell_value, AC7,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0.5</v>
      </c>
      <c r="AE7" s="476" t="s">
        <v>2073</v>
      </c>
      <c r="AF7" s="480" cm="1">
        <f t="array" ref="AF7">_xlfn.LET(
    _xlpm.cell_value, AE7,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0.5</v>
      </c>
      <c r="AG7" s="476" t="s">
        <v>2072</v>
      </c>
      <c r="AH7" s="480" cm="1">
        <f t="array" ref="AH7">_xlfn.LET(
    _xlpm.cell_value, AG7,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0.5714285714285714</v>
      </c>
      <c r="AI7" s="476" t="s">
        <v>2071</v>
      </c>
      <c r="AJ7" s="480" cm="1">
        <f t="array" ref="AJ7">_xlfn.LET(
    _xlpm.cell_value, AI7,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K7" s="481" t="s">
        <v>2089</v>
      </c>
      <c r="AL7" s="480" cm="1">
        <f t="array" ref="AL7">_xlfn.LET(
    _xlpm.cell_value, AK7,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0.2857142857142857</v>
      </c>
      <c r="AM7" s="483">
        <f>AVERAGE(VORTEX_MAP!$AL7,VORTEX_MAP!$AJ7,VORTEX_MAP!$AH7,VORTEX_MAP!$AF7,VORTEX_MAP!$AD7,VORTEX_MAP!$AB7,VORTEX_MAP!$Z7,VORTEX_MAP!$X7,VORTEX_MAP!$V7)</f>
        <v>0.70962213120157336</v>
      </c>
      <c r="AN7">
        <f t="shared" si="6"/>
        <v>0.24052547940709654</v>
      </c>
    </row>
    <row r="8" spans="1:40">
      <c r="A8" s="431" t="s">
        <v>2004</v>
      </c>
      <c r="B8" s="236" t="str" cm="1">
        <f t="array" ref="B8">IFERROR("Face " &amp; _xlfn.LET(
_xlpm.Vertex, $A8,
_xlpm.Table1, $S$2:$T$11,
_xlpm.Table2, $S$12:$T$21,
_xlpm.FaceString, IFERROR(VLOOKUP(_xlpm.Vertex, _xlpm.Table1, 2, FALSE), VLOOKUP(_xlpm.Vertex, _xlpm.Table2, 2, FALSE)),
_xlpm.FaceArray, _xlfn.TEXTSPLIT(_xlpm.FaceString, ", "),
INDEX(_xlpm.FaceArray, COLUMN(A7))
), "")</f>
        <v>Face 7</v>
      </c>
      <c r="C8" s="236" t="str" cm="1">
        <f t="array" ref="C8">IFERROR("Face " &amp; _xlfn.LET(
_xlpm.Vertex, $A8,
_xlpm.Table1, $S$2:$T$11,
_xlpm.Table2, $S$12:$T$21,
_xlpm.FaceString, IFERROR(VLOOKUP(_xlpm.Vertex, _xlpm.Table1, 2, FALSE), VLOOKUP(_xlpm.Vertex, _xlpm.Table2, 2, FALSE)),
_xlpm.FaceArray, _xlfn.TEXTSPLIT(_xlpm.FaceString, ", "),
INDEX(_xlpm.FaceArray, COLUMN(B7))
), "")</f>
        <v>Face 11</v>
      </c>
      <c r="D8" s="236" t="str" cm="1">
        <f t="array" ref="D8">IFERROR("Face " &amp; _xlfn.LET(
_xlpm.Vertex, $A8,
_xlpm.Table1, $S$2:$T$11,
_xlpm.Table2, $S$12:$T$21,
_xlpm.FaceString, IFERROR(VLOOKUP(_xlpm.Vertex, _xlpm.Table1, 2, FALSE), VLOOKUP(_xlpm.Vertex, _xlpm.Table2, 2, FALSE)),
_xlpm.FaceArray, _xlfn.TEXTSPLIT(_xlpm.FaceString, ", "),
INDEX(_xlpm.FaceArray, COLUMN(C7))
), "")</f>
        <v>Face 12</v>
      </c>
      <c r="E8" s="434">
        <f>VLOOKUP(B8, DODECA_ENGINE!$A$2:$K$13, 11, FALSE)</f>
        <v>0.2081301969966585</v>
      </c>
      <c r="F8" s="434">
        <f>VLOOKUP(C8, DODECA_ENGINE!$A$2:$K$13, 11, FALSE)</f>
        <v>0.12343511244618152</v>
      </c>
      <c r="G8" s="434">
        <f>VLOOKUP(D8, DODECA_ENGINE!$A$2:$K$13, 11, FALSE)</f>
        <v>0.19632633030875329</v>
      </c>
      <c r="H8" s="493">
        <f t="shared" si="0"/>
        <v>0.17596387991719778</v>
      </c>
      <c r="I8" s="501">
        <f t="shared" si="5"/>
        <v>5.646338970031798E-2</v>
      </c>
      <c r="J8" s="498">
        <f>Vortex_Map[[#This Row],[Macro Vortex Strength(ω)]]/(2/3)</f>
        <v>8.4695084550476973E-2</v>
      </c>
      <c r="K8" s="502" t="e">
        <f>_xlfn.XLOOKUP(Vortex_Map[[#This Row],[Vertex_ID]],$S$2:$S$21,$AM$2:$AM$21)</f>
        <v>#N/A</v>
      </c>
      <c r="L8" s="502" t="e">
        <f>_xlfn.XLOOKUP(Vortex_Map[[#This Row],[Vertex_ID]],$S$2:$S$21,$AN$2:$AN$21)</f>
        <v>#N/A</v>
      </c>
      <c r="M8" s="500" t="e">
        <f>Vortex_Map[[#This Row],[Micro Vortex (ω)]]/(2/3)</f>
        <v>#N/A</v>
      </c>
      <c r="N8" s="499" t="e">
        <f t="shared" si="1"/>
        <v>#N/A</v>
      </c>
      <c r="O8" s="499" t="e">
        <f>Vortex_Map[[#This Row],[Micro V-Mean (Avg of 9 KPIs)]]/Vortex_Map[[#This Row],[Micro Vortex (ω)]]</f>
        <v>#N/A</v>
      </c>
      <c r="P8" s="497" t="str">
        <f>_xlfn.XLOOKUP(Vortex_Map[[#This Row],[Face_1_ID]],DODECA_ENGINE!$A$2:$A$13,DODECA_ENGINE!$B$2:$B$13) &amp; " , " &amp; _xlfn.XLOOKUP(Vortex_Map[[#This Row],[Face_2_ID]],DODECA_ENGINE!$A$2:$A$13,DODECA_ENGINE!$B$2:$B$13) &amp; " , " &amp; _xlfn.XLOOKUP(Vortex_Map[[#This Row],[Face_3_ID]],DODECA_ENGINE!$A$2:$A$13,DODECA_ENGINE!$B$2:$B$13)</f>
        <v>Brand &amp; Reputation , Funding Pipeline , Risk &amp; Resilience</v>
      </c>
      <c r="S8" s="472" t="s">
        <v>1996</v>
      </c>
      <c r="T8" s="473" t="s">
        <v>2022</v>
      </c>
      <c r="U8" s="474" t="str">
        <f t="shared" si="2"/>
        <v>E3-10</v>
      </c>
      <c r="V8" s="475" t="e">
        <f>_xlfn.XLOOKUP(U8,Edge_Tension_Map[Edge_ID],Edge_Tension_Map[Edge KPI Coherence])</f>
        <v>#N/A</v>
      </c>
      <c r="W8" s="476" t="str">
        <f t="shared" si="3"/>
        <v>E3-11</v>
      </c>
      <c r="X8" s="477">
        <f>_xlfn.XLOOKUP(W8,Edge_Tension_Map[Edge_ID],Edge_Tension_Map[Edge KPI Coherence])</f>
        <v>0.95784323091032875</v>
      </c>
      <c r="Y8" s="476" t="str">
        <f t="shared" si="4"/>
        <v>E10-11</v>
      </c>
      <c r="Z8" s="478">
        <f>_xlfn.XLOOKUP(Y8,Edge_Tension_Map[Edge_ID],Edge_Tension_Map[Edge KPI Coherence])</f>
        <v>0.70715095714488352</v>
      </c>
      <c r="AA8" s="476" t="s">
        <v>2091</v>
      </c>
      <c r="AB8" s="479" cm="1">
        <f t="array" ref="AB8">_xlfn.LET(
    _xlpm.cell_value, AA8,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0.8571428571428571</v>
      </c>
      <c r="AC8" s="476" t="s">
        <v>2093</v>
      </c>
      <c r="AD8" s="480" cm="1">
        <f t="array" ref="AD8">_xlfn.LET(
    _xlpm.cell_value, AC8,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0.6</v>
      </c>
      <c r="AE8" s="476" t="s">
        <v>2094</v>
      </c>
      <c r="AF8" s="480" t="str" cm="1">
        <f t="array" ref="AF8">_xlfn.LET(
    _xlpm.cell_value, AE8,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Not Found</v>
      </c>
      <c r="AG8" s="476" t="s">
        <v>2100</v>
      </c>
      <c r="AH8" s="480" cm="1">
        <f t="array" ref="AH8">_xlfn.LET(
    _xlpm.cell_value, AG8,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v>
      </c>
      <c r="AI8" s="476" t="s">
        <v>2122</v>
      </c>
      <c r="AJ8" s="480" cm="1">
        <f t="array" ref="AJ8">_xlfn.LET(
    _xlpm.cell_value, AI8,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v>
      </c>
      <c r="AK8" s="481" t="s">
        <v>2120</v>
      </c>
      <c r="AL8" s="480" cm="1">
        <f t="array" ref="AL8">_xlfn.LET(
    _xlpm.cell_value, AK8,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0.14285714285714285</v>
      </c>
      <c r="AM8" s="482" t="e">
        <f>AVERAGE(VORTEX_MAP!$AL8,VORTEX_MAP!$AJ8,VORTEX_MAP!$AH8,VORTEX_MAP!$AF8,VORTEX_MAP!$AD8,VORTEX_MAP!$AB8,VORTEX_MAP!$Z8,VORTEX_MAP!$X8,VORTEX_MAP!$V8)</f>
        <v>#N/A</v>
      </c>
      <c r="AN8" t="e">
        <f t="shared" si="6"/>
        <v>#N/A</v>
      </c>
    </row>
    <row r="9" spans="1:40">
      <c r="A9" s="431" t="s">
        <v>2005</v>
      </c>
      <c r="B9" s="236" t="str" cm="1">
        <f t="array" ref="B9">IFERROR("Face " &amp; _xlfn.LET(
_xlpm.Vertex, $A9,
_xlpm.Table1, $S$2:$T$11,
_xlpm.Table2, $S$12:$T$21,
_xlpm.FaceString, IFERROR(VLOOKUP(_xlpm.Vertex, _xlpm.Table1, 2, FALSE), VLOOKUP(_xlpm.Vertex, _xlpm.Table2, 2, FALSE)),
_xlpm.FaceArray, _xlfn.TEXTSPLIT(_xlpm.FaceString, ", "),
INDEX(_xlpm.FaceArray, COLUMN(A8))
), "")</f>
        <v>Face 8</v>
      </c>
      <c r="C9" s="236" t="str" cm="1">
        <f t="array" ref="C9">IFERROR("Face " &amp; _xlfn.LET(
_xlpm.Vertex, $A9,
_xlpm.Table1, $S$2:$T$11,
_xlpm.Table2, $S$12:$T$21,
_xlpm.FaceString, IFERROR(VLOOKUP(_xlpm.Vertex, _xlpm.Table1, 2, FALSE), VLOOKUP(_xlpm.Vertex, _xlpm.Table2, 2, FALSE)),
_xlpm.FaceArray, _xlfn.TEXTSPLIT(_xlpm.FaceString, ", "),
INDEX(_xlpm.FaceArray, COLUMN(B8))
), "")</f>
        <v>Face 9</v>
      </c>
      <c r="D9" s="236" t="str" cm="1">
        <f t="array" ref="D9">IFERROR("Face " &amp; _xlfn.LET(
_xlpm.Vertex, $A9,
_xlpm.Table1, $S$2:$T$11,
_xlpm.Table2, $S$12:$T$21,
_xlpm.FaceString, IFERROR(VLOOKUP(_xlpm.Vertex, _xlpm.Table1, 2, FALSE), VLOOKUP(_xlpm.Vertex, _xlpm.Table2, 2, FALSE)),
_xlpm.FaceArray, _xlfn.TEXTSPLIT(_xlpm.FaceString, ", "),
INDEX(_xlpm.FaceArray, COLUMN(C8))
), "")</f>
        <v>Face 12</v>
      </c>
      <c r="E9" s="434">
        <f>VLOOKUP(B9, DODECA_ENGINE!$A$2:$K$13, 11, FALSE)</f>
        <v>0.22089121833354255</v>
      </c>
      <c r="F9" s="434">
        <f>VLOOKUP(C9, DODECA_ENGINE!$A$2:$K$13, 11, FALSE)</f>
        <v>0.43834355530707869</v>
      </c>
      <c r="G9" s="434">
        <f>VLOOKUP(D9, DODECA_ENGINE!$A$2:$K$13, 11, FALSE)</f>
        <v>0.19632633030875329</v>
      </c>
      <c r="H9" s="493">
        <f t="shared" si="0"/>
        <v>0.2851870346497915</v>
      </c>
      <c r="I9" s="501">
        <f t="shared" si="5"/>
        <v>0.16134481666555026</v>
      </c>
      <c r="J9" s="498">
        <f>Vortex_Map[[#This Row],[Macro Vortex Strength(ω)]]/(2/3)</f>
        <v>0.2420172249983254</v>
      </c>
      <c r="K9" s="502" t="e">
        <f>_xlfn.XLOOKUP(Vortex_Map[[#This Row],[Vertex_ID]],$S$2:$S$21,$AM$2:$AM$21)</f>
        <v>#N/A</v>
      </c>
      <c r="L9" s="502" t="e">
        <f>_xlfn.XLOOKUP(Vortex_Map[[#This Row],[Vertex_ID]],$S$2:$S$21,$AN$2:$AN$21)</f>
        <v>#N/A</v>
      </c>
      <c r="M9" s="500" t="e">
        <f>Vortex_Map[[#This Row],[Micro Vortex (ω)]]/(2/3)</f>
        <v>#N/A</v>
      </c>
      <c r="N9" s="499" t="e">
        <f t="shared" si="1"/>
        <v>#N/A</v>
      </c>
      <c r="O9" s="499" t="e">
        <f>Vortex_Map[[#This Row],[Micro V-Mean (Avg of 9 KPIs)]]/Vortex_Map[[#This Row],[Micro Vortex (ω)]]</f>
        <v>#N/A</v>
      </c>
      <c r="P9" s="497" t="str">
        <f>_xlfn.XLOOKUP(Vortex_Map[[#This Row],[Face_1_ID]],DODECA_ENGINE!$A$2:$A$13,DODECA_ENGINE!$B$2:$B$13) &amp; " , " &amp; _xlfn.XLOOKUP(Vortex_Map[[#This Row],[Face_2_ID]],DODECA_ENGINE!$A$2:$A$13,DODECA_ENGINE!$B$2:$B$13) &amp; " , " &amp; _xlfn.XLOOKUP(Vortex_Map[[#This Row],[Face_3_ID]],DODECA_ENGINE!$A$2:$A$13,DODECA_ENGINE!$B$2:$B$13)</f>
        <v>Core Operations , Regenerative Flow , Risk &amp; Resilience</v>
      </c>
      <c r="S9" s="472" t="s">
        <v>1997</v>
      </c>
      <c r="T9" s="473" t="s">
        <v>2024</v>
      </c>
      <c r="U9" s="474" t="str">
        <f t="shared" si="2"/>
        <v>E4-5</v>
      </c>
      <c r="V9" s="475">
        <f>_xlfn.XLOOKUP(U9,Edge_Tension_Map[Edge_ID],Edge_Tension_Map[Edge KPI Coherence])</f>
        <v>0.80146539994797383</v>
      </c>
      <c r="W9" s="476" t="str">
        <f t="shared" si="3"/>
        <v>E4-6</v>
      </c>
      <c r="X9" s="477">
        <f>_xlfn.XLOOKUP(W9,Edge_Tension_Map[Edge_ID],Edge_Tension_Map[Edge KPI Coherence])</f>
        <v>0.99788901734209645</v>
      </c>
      <c r="Y9" s="476" t="str">
        <f t="shared" si="4"/>
        <v>E5-6</v>
      </c>
      <c r="Z9" s="478" t="e">
        <f>_xlfn.XLOOKUP(Y9,Edge_Tension_Map[Edge_ID],Edge_Tension_Map[Edge KPI Coherence])</f>
        <v>#N/A</v>
      </c>
      <c r="AA9" s="476" t="s">
        <v>2105</v>
      </c>
      <c r="AB9" s="479" cm="1">
        <f t="array" ref="AB9">_xlfn.LET(
    _xlpm.cell_value, AA9,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0.1</v>
      </c>
      <c r="AC9" s="476" t="s">
        <v>2112</v>
      </c>
      <c r="AD9" s="480" cm="1">
        <f t="array" ref="AD9">_xlfn.LET(
    _xlpm.cell_value, AC9,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E9" s="476" t="s">
        <v>2075</v>
      </c>
      <c r="AF9" s="480" cm="1">
        <f t="array" ref="AF9">_xlfn.LET(
    _xlpm.cell_value, AE9,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0.5</v>
      </c>
      <c r="AG9" s="476" t="s">
        <v>2076</v>
      </c>
      <c r="AH9" s="480" cm="1">
        <f t="array" ref="AH9">_xlfn.LET(
    _xlpm.cell_value, AG9,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7.2000000000000008E-2</v>
      </c>
      <c r="AI9" s="476" t="s">
        <v>2116</v>
      </c>
      <c r="AJ9" s="480" cm="1">
        <f t="array" ref="AJ9">_xlfn.LET(
    _xlpm.cell_value, AI9,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0.66666666666666663</v>
      </c>
      <c r="AK9" s="481" t="s">
        <v>2077</v>
      </c>
      <c r="AL9" s="480" cm="1">
        <f t="array" ref="AL9">_xlfn.LET(
    _xlpm.cell_value, AK9,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v>
      </c>
      <c r="AM9" s="483" t="e">
        <f>AVERAGE(VORTEX_MAP!$AL9,VORTEX_MAP!$AJ9,VORTEX_MAP!$AH9,VORTEX_MAP!$AF9,VORTEX_MAP!$AD9,VORTEX_MAP!$AB9,VORTEX_MAP!$Z9,VORTEX_MAP!$X9,VORTEX_MAP!$V9)</f>
        <v>#N/A</v>
      </c>
      <c r="AN9" t="e">
        <f t="shared" si="6"/>
        <v>#N/A</v>
      </c>
    </row>
    <row r="10" spans="1:40">
      <c r="A10" s="431" t="s">
        <v>2006</v>
      </c>
      <c r="B10" s="236" t="str" cm="1">
        <f t="array" ref="B10">IFERROR("Face " &amp; _xlfn.LET(
_xlpm.Vertex, $A10,
_xlpm.Table1, $S$2:$T$11,
_xlpm.Table2, $S$12:$T$21,
_xlpm.FaceString, IFERROR(VLOOKUP(_xlpm.Vertex, _xlpm.Table1, 2, FALSE), VLOOKUP(_xlpm.Vertex, _xlpm.Table2, 2, FALSE)),
_xlpm.FaceArray, _xlfn.TEXTSPLIT(_xlpm.FaceString, ", "),
INDEX(_xlpm.FaceArray, COLUMN(A9))
), "")</f>
        <v>Face 9</v>
      </c>
      <c r="C10" s="236" t="str" cm="1">
        <f t="array" ref="C10">IFERROR("Face " &amp; _xlfn.LET(
_xlpm.Vertex, $A10,
_xlpm.Table1, $S$2:$T$11,
_xlpm.Table2, $S$12:$T$21,
_xlpm.FaceString, IFERROR(VLOOKUP(_xlpm.Vertex, _xlpm.Table1, 2, FALSE), VLOOKUP(_xlpm.Vertex, _xlpm.Table2, 2, FALSE)),
_xlpm.FaceArray, _xlfn.TEXTSPLIT(_xlpm.FaceString, ", "),
INDEX(_xlpm.FaceArray, COLUMN(B9))
), "")</f>
        <v>Face 10</v>
      </c>
      <c r="D10" s="236" t="str" cm="1">
        <f t="array" ref="D10">IFERROR("Face " &amp; _xlfn.LET(
_xlpm.Vertex, $A10,
_xlpm.Table1, $S$2:$T$11,
_xlpm.Table2, $S$12:$T$21,
_xlpm.FaceString, IFERROR(VLOOKUP(_xlpm.Vertex, _xlpm.Table1, 2, FALSE), VLOOKUP(_xlpm.Vertex, _xlpm.Table2, 2, FALSE)),
_xlpm.FaceArray, _xlfn.TEXTSPLIT(_xlpm.FaceString, ", "),
INDEX(_xlpm.FaceArray, COLUMN(C9))
), "")</f>
        <v>Face 12</v>
      </c>
      <c r="E10" s="434">
        <f>VLOOKUP(B10, DODECA_ENGINE!$A$2:$K$13, 11, FALSE)</f>
        <v>0.43834355530707869</v>
      </c>
      <c r="F10" s="434">
        <f>VLOOKUP(C10, DODECA_ENGINE!$A$2:$K$13, 11, FALSE)</f>
        <v>0.41628415530129803</v>
      </c>
      <c r="G10" s="434">
        <f>VLOOKUP(D10, DODECA_ENGINE!$A$2:$K$13, 11, FALSE)</f>
        <v>0.19632633030875329</v>
      </c>
      <c r="H10" s="493">
        <f t="shared" si="0"/>
        <v>0.35031801363904336</v>
      </c>
      <c r="I10" s="501">
        <f t="shared" si="5"/>
        <v>0.16134481666555026</v>
      </c>
      <c r="J10" s="498">
        <f>Vortex_Map[[#This Row],[Macro Vortex Strength(ω)]]/(2/3)</f>
        <v>0.2420172249983254</v>
      </c>
      <c r="K10" s="502" t="e">
        <f>_xlfn.XLOOKUP(Vortex_Map[[#This Row],[Vertex_ID]],$S$2:$S$21,$AM$2:$AM$21)</f>
        <v>#N/A</v>
      </c>
      <c r="L10" s="502" t="e">
        <f>_xlfn.XLOOKUP(Vortex_Map[[#This Row],[Vertex_ID]],$S$2:$S$21,$AN$2:$AN$21)</f>
        <v>#N/A</v>
      </c>
      <c r="M10" s="500" t="e">
        <f>Vortex_Map[[#This Row],[Micro Vortex (ω)]]/(2/3)</f>
        <v>#N/A</v>
      </c>
      <c r="N10" s="499" t="e">
        <f t="shared" si="1"/>
        <v>#N/A</v>
      </c>
      <c r="O10" s="499" t="e">
        <f>Vortex_Map[[#This Row],[Micro V-Mean (Avg of 9 KPIs)]]/Vortex_Map[[#This Row],[Micro Vortex (ω)]]</f>
        <v>#N/A</v>
      </c>
      <c r="P10" s="497" t="str">
        <f>_xlfn.XLOOKUP(Vortex_Map[[#This Row],[Face_1_ID]],DODECA_ENGINE!$A$2:$A$13,DODECA_ENGINE!$B$2:$B$13) &amp; " , " &amp; _xlfn.XLOOKUP(Vortex_Map[[#This Row],[Face_2_ID]],DODECA_ENGINE!$A$2:$A$13,DODECA_ENGINE!$B$2:$B$13) &amp; " , " &amp; _xlfn.XLOOKUP(Vortex_Map[[#This Row],[Face_3_ID]],DODECA_ENGINE!$A$2:$A$13,DODECA_ENGINE!$B$2:$B$13)</f>
        <v>Regenerative Flow , Foundational Values , Risk &amp; Resilience</v>
      </c>
      <c r="S10" s="472" t="s">
        <v>1998</v>
      </c>
      <c r="T10" s="473" t="s">
        <v>2026</v>
      </c>
      <c r="U10" s="474" t="str">
        <f t="shared" si="2"/>
        <v>E1-5</v>
      </c>
      <c r="V10" s="475" t="e">
        <f>_xlfn.XLOOKUP(U10,Edge_Tension_Map[Edge_ID],Edge_Tension_Map[Edge KPI Coherence])</f>
        <v>#N/A</v>
      </c>
      <c r="W10" s="476" t="str">
        <f t="shared" si="3"/>
        <v>E1-8</v>
      </c>
      <c r="X10" s="477">
        <f>_xlfn.XLOOKUP(W10,Edge_Tension_Map[Edge_ID],Edge_Tension_Map[Edge KPI Coherence])</f>
        <v>0.98127896617012189</v>
      </c>
      <c r="Y10" s="476" t="str">
        <f t="shared" si="4"/>
        <v>E5-8</v>
      </c>
      <c r="Z10" s="478">
        <f>_xlfn.XLOOKUP(Y10,Edge_Tension_Map[Edge_ID],Edge_Tension_Map[Edge KPI Coherence])</f>
        <v>0.82536257669993496</v>
      </c>
      <c r="AA10" s="476" t="s">
        <v>2074</v>
      </c>
      <c r="AB10" s="479" cm="1">
        <f t="array" ref="AB10">_xlfn.LET(
    _xlpm.cell_value, AA10,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0.14285714285714285</v>
      </c>
      <c r="AC10" s="476" t="s">
        <v>2078</v>
      </c>
      <c r="AD10" s="480" cm="1">
        <f t="array" ref="AD10">_xlfn.LET(
    _xlpm.cell_value, AC10,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0.41666666666666669</v>
      </c>
      <c r="AE10" s="476" t="s">
        <v>2075</v>
      </c>
      <c r="AF10" s="480" cm="1">
        <f t="array" ref="AF10">_xlfn.LET(
    _xlpm.cell_value, AE10,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0.5</v>
      </c>
      <c r="AG10" s="476" t="s">
        <v>2110</v>
      </c>
      <c r="AH10" s="480" cm="1">
        <f t="array" ref="AH10">_xlfn.LET(
    _xlpm.cell_value, AG10,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v>
      </c>
      <c r="AI10" s="476" t="s">
        <v>2080</v>
      </c>
      <c r="AJ10" s="480" cm="1">
        <f t="array" ref="AJ10">_xlfn.LET(
    _xlpm.cell_value, AI10,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v>
      </c>
      <c r="AK10" s="481" t="s">
        <v>2118</v>
      </c>
      <c r="AL10" s="480" cm="1">
        <f t="array" ref="AL10">_xlfn.LET(
    _xlpm.cell_value, AK10,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0.95180722891566261</v>
      </c>
      <c r="AM10" s="482" t="e">
        <f>AVERAGE(VORTEX_MAP!$AL10,VORTEX_MAP!$AJ10,VORTEX_MAP!$AH10,VORTEX_MAP!$AF10,VORTEX_MAP!$AD10,VORTEX_MAP!$AB10,VORTEX_MAP!$Z10,VORTEX_MAP!$X10,VORTEX_MAP!$V10)</f>
        <v>#N/A</v>
      </c>
      <c r="AN10" t="e">
        <f t="shared" si="6"/>
        <v>#N/A</v>
      </c>
    </row>
    <row r="11" spans="1:40">
      <c r="A11" s="431" t="s">
        <v>2007</v>
      </c>
      <c r="B11" s="236" t="str" cm="1">
        <f t="array" ref="B11">IFERROR("Face " &amp; _xlfn.LET(
_xlpm.Vertex, $A11,
_xlpm.Table1, $S$2:$T$11,
_xlpm.Table2, $S$12:$T$21,
_xlpm.FaceString, IFERROR(VLOOKUP(_xlpm.Vertex, _xlpm.Table1, 2, FALSE), VLOOKUP(_xlpm.Vertex, _xlpm.Table2, 2, FALSE)),
_xlpm.FaceArray, _xlfn.TEXTSPLIT(_xlpm.FaceString, ", "),
INDEX(_xlpm.FaceArray, COLUMN(A10))
), "")</f>
        <v>Face 10</v>
      </c>
      <c r="C11" s="236" t="str" cm="1">
        <f t="array" ref="C11">IFERROR("Face " &amp; _xlfn.LET(
_xlpm.Vertex, $A11,
_xlpm.Table1, $S$2:$T$11,
_xlpm.Table2, $S$12:$T$21,
_xlpm.FaceString, IFERROR(VLOOKUP(_xlpm.Vertex, _xlpm.Table1, 2, FALSE), VLOOKUP(_xlpm.Vertex, _xlpm.Table2, 2, FALSE)),
_xlpm.FaceArray, _xlfn.TEXTSPLIT(_xlpm.FaceString, ", "),
INDEX(_xlpm.FaceArray, COLUMN(B10))
), "")</f>
        <v>Face 11</v>
      </c>
      <c r="D11" s="236" t="str" cm="1">
        <f t="array" ref="D11">IFERROR("Face " &amp; _xlfn.LET(
_xlpm.Vertex, $A11,
_xlpm.Table1, $S$2:$T$11,
_xlpm.Table2, $S$12:$T$21,
_xlpm.FaceString, IFERROR(VLOOKUP(_xlpm.Vertex, _xlpm.Table1, 2, FALSE), VLOOKUP(_xlpm.Vertex, _xlpm.Table2, 2, FALSE)),
_xlpm.FaceArray, _xlfn.TEXTSPLIT(_xlpm.FaceString, ", "),
INDEX(_xlpm.FaceArray, COLUMN(C10))
), "")</f>
        <v>Face 12</v>
      </c>
      <c r="E11" s="434">
        <f>VLOOKUP(B11, DODECA_ENGINE!$A$2:$K$13, 11, FALSE)</f>
        <v>0.41628415530129803</v>
      </c>
      <c r="F11" s="434">
        <f>VLOOKUP(C11, DODECA_ENGINE!$A$2:$K$13, 11, FALSE)</f>
        <v>0.12343511244618152</v>
      </c>
      <c r="G11" s="434">
        <f>VLOOKUP(D11, DODECA_ENGINE!$A$2:$K$13, 11, FALSE)</f>
        <v>0.19632633030875329</v>
      </c>
      <c r="H11" s="493">
        <f t="shared" si="0"/>
        <v>0.24534853268541093</v>
      </c>
      <c r="I11" s="501">
        <f t="shared" si="5"/>
        <v>0.19523269523674433</v>
      </c>
      <c r="J11" s="498">
        <f>Vortex_Map[[#This Row],[Macro Vortex Strength(ω)]]/(2/3)</f>
        <v>0.29284904285511654</v>
      </c>
      <c r="K11" s="502">
        <f>_xlfn.XLOOKUP(Vortex_Map[[#This Row],[Vertex_ID]],$S$2:$S$21,$AM$2:$AM$21)</f>
        <v>0.50005471005336033</v>
      </c>
      <c r="L11" s="502">
        <f>_xlfn.XLOOKUP(Vortex_Map[[#This Row],[Vertex_ID]],$S$2:$S$21,$AN$2:$AN$21)</f>
        <v>0.32050639709137191</v>
      </c>
      <c r="M11" s="500">
        <f>Vortex_Map[[#This Row],[Micro Vortex (ω)]]/(2/3)</f>
        <v>0.48075959563705789</v>
      </c>
      <c r="N11" s="499">
        <f t="shared" si="1"/>
        <v>4.5048631281893355E-2</v>
      </c>
      <c r="O11" s="499">
        <f>Vortex_Map[[#This Row],[Micro V-Mean (Avg of 9 KPIs)]]/Vortex_Map[[#This Row],[Micro Vortex (ω)]]</f>
        <v>1.5602019634909243</v>
      </c>
      <c r="P11" s="497" t="str">
        <f>_xlfn.XLOOKUP(Vortex_Map[[#This Row],[Face_1_ID]],DODECA_ENGINE!$A$2:$A$13,DODECA_ENGINE!$B$2:$B$13) &amp; " , " &amp; _xlfn.XLOOKUP(Vortex_Map[[#This Row],[Face_2_ID]],DODECA_ENGINE!$A$2:$A$13,DODECA_ENGINE!$B$2:$B$13) &amp; " , " &amp; _xlfn.XLOOKUP(Vortex_Map[[#This Row],[Face_3_ID]],DODECA_ENGINE!$A$2:$A$13,DODECA_ENGINE!$B$2:$B$13)</f>
        <v>Foundational Values , Funding Pipeline , Risk &amp; Resilience</v>
      </c>
      <c r="S11" s="472" t="s">
        <v>1999</v>
      </c>
      <c r="T11" s="473" t="s">
        <v>2027</v>
      </c>
      <c r="U11" s="474" t="str">
        <f t="shared" si="2"/>
        <v>E4-5</v>
      </c>
      <c r="V11" s="475">
        <f>_xlfn.XLOOKUP(U11,Edge_Tension_Map[Edge_ID],Edge_Tension_Map[Edge KPI Coherence])</f>
        <v>0.80146539994797383</v>
      </c>
      <c r="W11" s="476" t="str">
        <f t="shared" si="3"/>
        <v>E4-7</v>
      </c>
      <c r="X11" s="477">
        <f>_xlfn.XLOOKUP(W11,Edge_Tension_Map[Edge_ID],Edge_Tension_Map[Edge KPI Coherence])</f>
        <v>0.96334180191115482</v>
      </c>
      <c r="Y11" s="476" t="str">
        <f t="shared" si="4"/>
        <v>E5-7</v>
      </c>
      <c r="Z11" s="478">
        <f>_xlfn.XLOOKUP(Y11,Edge_Tension_Map[Edge_ID],Edge_Tension_Map[Edge KPI Coherence])</f>
        <v>0.83812359803681902</v>
      </c>
      <c r="AA11" s="476" t="s">
        <v>2105</v>
      </c>
      <c r="AB11" s="479" cm="1">
        <f t="array" ref="AB11">_xlfn.LET(
    _xlpm.cell_value, AA11,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0.1</v>
      </c>
      <c r="AC11" s="476" t="s">
        <v>2104</v>
      </c>
      <c r="AD11" s="480" cm="1">
        <f t="array" ref="AD11">_xlfn.LET(
    _xlpm.cell_value, AC11,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E11" s="476" t="s">
        <v>2075</v>
      </c>
      <c r="AF11" s="480" cm="1">
        <f t="array" ref="AF11">_xlfn.LET(
    _xlpm.cell_value, AE11,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0.5</v>
      </c>
      <c r="AG11" s="476" t="s">
        <v>2103</v>
      </c>
      <c r="AH11" s="480" cm="1">
        <f t="array" ref="AH11">_xlfn.LET(
    _xlpm.cell_value, AG11,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I11" s="476" t="s">
        <v>2123</v>
      </c>
      <c r="AJ11" s="480" cm="1">
        <f t="array" ref="AJ11">_xlfn.LET(
    _xlpm.cell_value, AI11,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0.2857142857142857</v>
      </c>
      <c r="AK11" s="481" t="s">
        <v>2124</v>
      </c>
      <c r="AL11" s="480" cm="1">
        <f t="array" ref="AL11">_xlfn.LET(
    _xlpm.cell_value, AK11,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0.8571428571428571</v>
      </c>
      <c r="AM11" s="483">
        <f>AVERAGE(VORTEX_MAP!$AL11,VORTEX_MAP!$AJ11,VORTEX_MAP!$AH11,VORTEX_MAP!$AF11,VORTEX_MAP!$AD11,VORTEX_MAP!$AB11,VORTEX_MAP!$Z11,VORTEX_MAP!$X11,VORTEX_MAP!$V11)</f>
        <v>0.70508754919478778</v>
      </c>
      <c r="AN11">
        <f t="shared" si="6"/>
        <v>0.31177196840640042</v>
      </c>
    </row>
    <row r="12" spans="1:40">
      <c r="A12" s="431" t="s">
        <v>2008</v>
      </c>
      <c r="B12" s="236" t="str" cm="1">
        <f t="array" ref="B12">IFERROR("Face " &amp; _xlfn.LET(
_xlpm.Vertex, $A12,
_xlpm.Table1, $S$2:$T$11,
_xlpm.Table2, $S$12:$T$21,
_xlpm.FaceString, IFERROR(VLOOKUP(_xlpm.Vertex, _xlpm.Table1, 2, FALSE), VLOOKUP(_xlpm.Vertex, _xlpm.Table2, 2, FALSE)),
_xlpm.FaceArray, _xlfn.TEXTSPLIT(_xlpm.FaceString, ", "),
INDEX(_xlpm.FaceArray, COLUMN(A11))
), "")</f>
        <v>Face 3</v>
      </c>
      <c r="C12" s="236" t="str" cm="1">
        <f t="array" ref="C12">IFERROR("Face " &amp; _xlfn.LET(
_xlpm.Vertex, $A12,
_xlpm.Table1, $S$2:$T$11,
_xlpm.Table2, $S$12:$T$21,
_xlpm.FaceString, IFERROR(VLOOKUP(_xlpm.Vertex, _xlpm.Table1, 2, FALSE), VLOOKUP(_xlpm.Vertex, _xlpm.Table2, 2, FALSE)),
_xlpm.FaceArray, _xlfn.TEXTSPLIT(_xlpm.FaceString, ", "),
INDEX(_xlpm.FaceArray, COLUMN(B11))
), "")</f>
        <v>Face 4</v>
      </c>
      <c r="D12" s="236" t="str" cm="1">
        <f t="array" ref="D12">IFERROR("Face " &amp; _xlfn.LET(
_xlpm.Vertex, $A12,
_xlpm.Table1, $S$2:$T$11,
_xlpm.Table2, $S$12:$T$21,
_xlpm.FaceString, IFERROR(VLOOKUP(_xlpm.Vertex, _xlpm.Table1, 2, FALSE), VLOOKUP(_xlpm.Vertex, _xlpm.Table2, 2, FALSE)),
_xlpm.FaceArray, _xlfn.TEXTSPLIT(_xlpm.FaceString, ", "),
INDEX(_xlpm.FaceArray, COLUMN(C11))
), "")</f>
        <v>Face 6</v>
      </c>
      <c r="E12" s="434">
        <f>VLOOKUP(B12, DODECA_ENGINE!$A$2:$K$13, 11, FALSE)</f>
        <v>0.16559188153585278</v>
      </c>
      <c r="F12" s="434">
        <f>VLOOKUP(C12, DODECA_ENGINE!$A$2:$K$13, 11, FALSE)</f>
        <v>0.24478839508550371</v>
      </c>
      <c r="G12" s="434">
        <f>VLOOKUP(D12, DODECA_ENGINE!$A$2:$K$13, 11, FALSE)</f>
        <v>0.24689937774340731</v>
      </c>
      <c r="H12" s="493">
        <f t="shared" si="0"/>
        <v>0.21909321812158791</v>
      </c>
      <c r="I12" s="501">
        <f t="shared" si="5"/>
        <v>5.4204997471703022E-2</v>
      </c>
      <c r="J12" s="498">
        <f>Vortex_Map[[#This Row],[Macro Vortex Strength(ω)]]/(2/3)</f>
        <v>8.1307496207554536E-2</v>
      </c>
      <c r="K12" s="502">
        <f>_xlfn.XLOOKUP(Vortex_Map[[#This Row],[Vertex_ID]],$S$2:$S$21,$AM$2:$AM$21)</f>
        <v>0.77822796380572845</v>
      </c>
      <c r="L12" s="502">
        <f>_xlfn.XLOOKUP(Vortex_Map[[#This Row],[Vertex_ID]],$S$2:$S$21,$AN$2:$AN$21)</f>
        <v>0.32168877984734723</v>
      </c>
      <c r="M12" s="500">
        <f>Vortex_Map[[#This Row],[Micro Vortex (ω)]]/(2/3)</f>
        <v>0.48253316977102084</v>
      </c>
      <c r="N12" s="499">
        <f t="shared" si="1"/>
        <v>8.1056613632201624E-2</v>
      </c>
      <c r="O12" s="499">
        <f>Vortex_Map[[#This Row],[Micro V-Mean (Avg of 9 KPIs)]]/Vortex_Map[[#This Row],[Micro Vortex (ω)]]</f>
        <v>2.419195236386626</v>
      </c>
      <c r="P12" s="497" t="str">
        <f>_xlfn.XLOOKUP(Vortex_Map[[#This Row],[Face_1_ID]],DODECA_ENGINE!$A$2:$A$13,DODECA_ENGINE!$B$2:$B$13) &amp; " , " &amp; _xlfn.XLOOKUP(Vortex_Map[[#This Row],[Face_2_ID]],DODECA_ENGINE!$A$2:$A$13,DODECA_ENGINE!$B$2:$B$13) &amp; " , " &amp; _xlfn.XLOOKUP(Vortex_Map[[#This Row],[Face_3_ID]],DODECA_ENGINE!$A$2:$A$13,DODECA_ENGINE!$B$2:$B$13)</f>
        <v>Human Capital , Structural Capital , Community &amp; Partners</v>
      </c>
      <c r="S12" s="472" t="s">
        <v>2000</v>
      </c>
      <c r="T12" s="473" t="s">
        <v>2012</v>
      </c>
      <c r="U12" s="474" t="str">
        <f t="shared" si="2"/>
        <v>E3-4</v>
      </c>
      <c r="V12" s="475">
        <f>_xlfn.XLOOKUP(U12,Edge_Tension_Map[Edge_ID],Edge_Tension_Map[Edge KPI Coherence])</f>
        <v>0.92080348645034904</v>
      </c>
      <c r="W12" s="476" t="str">
        <f t="shared" si="3"/>
        <v>E3-11</v>
      </c>
      <c r="X12" s="477">
        <f>_xlfn.XLOOKUP(W12,Edge_Tension_Map[Edge_ID],Edge_Tension_Map[Edge KPI Coherence])</f>
        <v>0.95784323091032875</v>
      </c>
      <c r="Y12" s="476" t="str">
        <f t="shared" si="4"/>
        <v>E4-11</v>
      </c>
      <c r="Z12" s="478" t="e">
        <f>_xlfn.XLOOKUP(Y12,Edge_Tension_Map[Edge_ID],Edge_Tension_Map[Edge KPI Coherence])</f>
        <v>#N/A</v>
      </c>
      <c r="AA12" s="476" t="s">
        <v>2099</v>
      </c>
      <c r="AB12" s="479" cm="1">
        <f t="array" ref="AB12">_xlfn.LET(
    _xlpm.cell_value, AA12,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C12" s="476" t="s">
        <v>2093</v>
      </c>
      <c r="AD12" s="480" cm="1">
        <f t="array" ref="AD12">_xlfn.LET(
    _xlpm.cell_value, AC12,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0.6</v>
      </c>
      <c r="AE12" s="476" t="s">
        <v>2112</v>
      </c>
      <c r="AF12" s="480" cm="1">
        <f t="array" ref="AF12">_xlfn.LET(
    _xlpm.cell_value, AE12,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G12" s="476" t="s">
        <v>2104</v>
      </c>
      <c r="AH12" s="480" cm="1">
        <f t="array" ref="AH12">_xlfn.LET(
    _xlpm.cell_value, AG12,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I12" s="476" t="s">
        <v>2121</v>
      </c>
      <c r="AJ12" s="480" cm="1">
        <f t="array" ref="AJ12">_xlfn.LET(
    _xlpm.cell_value, AI12,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0.05</v>
      </c>
      <c r="AK12" s="481" t="s">
        <v>2122</v>
      </c>
      <c r="AL12" s="480" cm="1">
        <f t="array" ref="AL12">_xlfn.LET(
    _xlpm.cell_value, AK12,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v>
      </c>
      <c r="AM12" s="482" t="e">
        <f>AVERAGE(VORTEX_MAP!$AL12,VORTEX_MAP!$AJ12,VORTEX_MAP!$AH12,VORTEX_MAP!$AF12,VORTEX_MAP!$AD12,VORTEX_MAP!$AB12,VORTEX_MAP!$Z12,VORTEX_MAP!$X12,VORTEX_MAP!$V12)</f>
        <v>#N/A</v>
      </c>
      <c r="AN12" t="e">
        <f t="shared" si="6"/>
        <v>#N/A</v>
      </c>
    </row>
    <row r="13" spans="1:40">
      <c r="A13" s="431" t="s">
        <v>1991</v>
      </c>
      <c r="B13" s="236" t="str" cm="1">
        <f t="array" ref="B13">IFERROR("Face " &amp; _xlfn.LET(
_xlpm.Vertex, $A13,
_xlpm.Table1, $S$2:$T$11,
_xlpm.Table2, $S$12:$T$21,
_xlpm.FaceString, IFERROR(VLOOKUP(_xlpm.Vertex, _xlpm.Table1, 2, FALSE), VLOOKUP(_xlpm.Vertex, _xlpm.Table2, 2, FALSE)),
_xlpm.FaceArray, _xlfn.TEXTSPLIT(_xlpm.FaceString, ", "),
INDEX(_xlpm.FaceArray, COLUMN(A12))
), "")</f>
        <v>Face 1</v>
      </c>
      <c r="C13" s="236" t="str" cm="1">
        <f t="array" ref="C13">IFERROR("Face " &amp; _xlfn.LET(
_xlpm.Vertex, $A13,
_xlpm.Table1, $S$2:$T$11,
_xlpm.Table2, $S$12:$T$21,
_xlpm.FaceString, IFERROR(VLOOKUP(_xlpm.Vertex, _xlpm.Table1, 2, FALSE), VLOOKUP(_xlpm.Vertex, _xlpm.Table2, 2, FALSE)),
_xlpm.FaceArray, _xlfn.TEXTSPLIT(_xlpm.FaceString, ", "),
INDEX(_xlpm.FaceArray, COLUMN(B12))
), "")</f>
        <v>Face 5</v>
      </c>
      <c r="D13" s="236" t="str" cm="1">
        <f t="array" ref="D13">IFERROR("Face " &amp; _xlfn.LET(
_xlpm.Vertex, $A13,
_xlpm.Table1, $S$2:$T$11,
_xlpm.Table2, $S$12:$T$21,
_xlpm.FaceString, IFERROR(VLOOKUP(_xlpm.Vertex, _xlpm.Table1, 2, FALSE), VLOOKUP(_xlpm.Vertex, _xlpm.Table2, 2, FALSE)),
_xlpm.FaceArray, _xlfn.TEXTSPLIT(_xlpm.FaceString, ", "),
INDEX(_xlpm.FaceArray, COLUMN(C12))
), "")</f>
        <v>Face 6</v>
      </c>
      <c r="E13" s="434">
        <f>VLOOKUP(B13, DODECA_ENGINE!$A$2:$K$13, 11, FALSE)</f>
        <v>0.23961225216342069</v>
      </c>
      <c r="F13" s="434">
        <f>VLOOKUP(C13, DODECA_ENGINE!$A$2:$K$13, 11, FALSE)</f>
        <v>4.6253795033477547E-2</v>
      </c>
      <c r="G13" s="434">
        <f>VLOOKUP(D13, DODECA_ENGINE!$A$2:$K$13, 11, FALSE)</f>
        <v>0.24689937774340731</v>
      </c>
      <c r="H13" s="493">
        <f t="shared" si="0"/>
        <v>0.17758847498010186</v>
      </c>
      <c r="I13" s="501">
        <f t="shared" si="5"/>
        <v>0.13376372180661986</v>
      </c>
      <c r="J13" s="498">
        <f>Vortex_Map[[#This Row],[Macro Vortex Strength(ω)]]/(2/3)</f>
        <v>0.2006455827099298</v>
      </c>
      <c r="K13" s="502" t="e">
        <f>_xlfn.XLOOKUP(Vortex_Map[[#This Row],[Vertex_ID]],$S$2:$S$21,$AM$2:$AM$21)</f>
        <v>#N/A</v>
      </c>
      <c r="L13" s="502" t="e">
        <f>_xlfn.XLOOKUP(Vortex_Map[[#This Row],[Vertex_ID]],$S$2:$S$21,$AN$2:$AN$21)</f>
        <v>#N/A</v>
      </c>
      <c r="M13" s="500" t="e">
        <f>Vortex_Map[[#This Row],[Micro Vortex (ω)]]/(2/3)</f>
        <v>#N/A</v>
      </c>
      <c r="N13" s="499" t="e">
        <f t="shared" si="1"/>
        <v>#N/A</v>
      </c>
      <c r="O13" s="499" t="e">
        <f>Vortex_Map[[#This Row],[Micro V-Mean (Avg of 9 KPIs)]]/Vortex_Map[[#This Row],[Micro Vortex (ω)]]</f>
        <v>#N/A</v>
      </c>
      <c r="P13" s="497" t="str">
        <f>_xlfn.XLOOKUP(Vortex_Map[[#This Row],[Face_1_ID]],DODECA_ENGINE!$A$2:$A$13,DODECA_ENGINE!$B$2:$B$13) &amp; " , " &amp; _xlfn.XLOOKUP(Vortex_Map[[#This Row],[Face_2_ID]],DODECA_ENGINE!$A$2:$A$13,DODECA_ENGINE!$B$2:$B$13) &amp; " , " &amp; _xlfn.XLOOKUP(Vortex_Map[[#This Row],[Face_3_ID]],DODECA_ENGINE!$A$2:$A$13,DODECA_ENGINE!$B$2:$B$13)</f>
        <v>Financial Capital , Market Resonance , Community &amp; Partners</v>
      </c>
      <c r="S13" s="472" t="s">
        <v>2001</v>
      </c>
      <c r="T13" s="473" t="s">
        <v>2014</v>
      </c>
      <c r="U13" s="474" t="str">
        <f t="shared" si="2"/>
        <v>E4-7</v>
      </c>
      <c r="V13" s="475">
        <f>_xlfn.XLOOKUP(U13,Edge_Tension_Map[Edge_ID],Edge_Tension_Map[Edge KPI Coherence])</f>
        <v>0.96334180191115482</v>
      </c>
      <c r="W13" s="476" t="str">
        <f t="shared" si="3"/>
        <v>E4-11</v>
      </c>
      <c r="X13" s="477" t="e">
        <f>_xlfn.XLOOKUP(W13,Edge_Tension_Map[Edge_ID],Edge_Tension_Map[Edge KPI Coherence])</f>
        <v>#N/A</v>
      </c>
      <c r="Y13" s="476" t="str">
        <f t="shared" si="4"/>
        <v>E7-11</v>
      </c>
      <c r="Z13" s="478" t="e">
        <f>_xlfn.XLOOKUP(Y13,Edge_Tension_Map[Edge_ID],Edge_Tension_Map[Edge KPI Coherence])</f>
        <v>#N/A</v>
      </c>
      <c r="AA13" s="476" t="s">
        <v>2104</v>
      </c>
      <c r="AB13" s="479" cm="1">
        <f t="array" ref="AB13">_xlfn.LET(
    _xlpm.cell_value, AA13,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C13" s="476" t="s">
        <v>2111</v>
      </c>
      <c r="AD13" s="480" cm="1">
        <f t="array" ref="AD13">_xlfn.LET(
    _xlpm.cell_value, AC13,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v>
      </c>
      <c r="AE13" s="476" t="s">
        <v>2124</v>
      </c>
      <c r="AF13" s="480" cm="1">
        <f t="array" ref="AF13">_xlfn.LET(
    _xlpm.cell_value, AE13,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0.8571428571428571</v>
      </c>
      <c r="AG13" s="476" t="s">
        <v>2101</v>
      </c>
      <c r="AH13" s="480" cm="1">
        <f t="array" ref="AH13">_xlfn.LET(
    _xlpm.cell_value, AG13,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0.33333333333333331</v>
      </c>
      <c r="AI13" s="476" t="s">
        <v>2119</v>
      </c>
      <c r="AJ13" s="480" cm="1">
        <f t="array" ref="AJ13">_xlfn.LET(
    _xlpm.cell_value, AI13,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0.14285714285714285</v>
      </c>
      <c r="AK13" s="481" t="s">
        <v>2120</v>
      </c>
      <c r="AL13" s="480" cm="1">
        <f t="array" ref="AL13">_xlfn.LET(
    _xlpm.cell_value, AK13,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0.14285714285714285</v>
      </c>
      <c r="AM13" s="483" t="e">
        <f>AVERAGE(VORTEX_MAP!$AL13,VORTEX_MAP!$AJ13,VORTEX_MAP!$AH13,VORTEX_MAP!$AF13,VORTEX_MAP!$AD13,VORTEX_MAP!$AB13,VORTEX_MAP!$Z13,VORTEX_MAP!$X13,VORTEX_MAP!$V13)</f>
        <v>#N/A</v>
      </c>
      <c r="AN13" t="e">
        <f t="shared" si="6"/>
        <v>#N/A</v>
      </c>
    </row>
    <row r="14" spans="1:40">
      <c r="A14" s="431" t="s">
        <v>2009</v>
      </c>
      <c r="B14" s="236" t="str" cm="1">
        <f t="array" ref="B14">IFERROR("Face " &amp; _xlfn.LET(
_xlpm.Vertex, $A14,
_xlpm.Table1, $S$2:$T$11,
_xlpm.Table2, $S$12:$T$21,
_xlpm.FaceString, IFERROR(VLOOKUP(_xlpm.Vertex, _xlpm.Table1, 2, FALSE), VLOOKUP(_xlpm.Vertex, _xlpm.Table2, 2, FALSE)),
_xlpm.FaceArray, _xlfn.TEXTSPLIT(_xlpm.FaceString, ", "),
INDEX(_xlpm.FaceArray, COLUMN(A13))
), "")</f>
        <v>Face 1</v>
      </c>
      <c r="C14" s="236" t="str" cm="1">
        <f t="array" ref="C14">IFERROR("Face " &amp; _xlfn.LET(
_xlpm.Vertex, $A14,
_xlpm.Table1, $S$2:$T$11,
_xlpm.Table2, $S$12:$T$21,
_xlpm.FaceString, IFERROR(VLOOKUP(_xlpm.Vertex, _xlpm.Table1, 2, FALSE), VLOOKUP(_xlpm.Vertex, _xlpm.Table2, 2, FALSE)),
_xlpm.FaceArray, _xlfn.TEXTSPLIT(_xlpm.FaceString, ", "),
INDEX(_xlpm.FaceArray, COLUMN(B13))
), "")</f>
        <v>Face 9</v>
      </c>
      <c r="D14" s="236" t="str" cm="1">
        <f t="array" ref="D14">IFERROR("Face " &amp; _xlfn.LET(
_xlpm.Vertex, $A14,
_xlpm.Table1, $S$2:$T$11,
_xlpm.Table2, $S$12:$T$21,
_xlpm.FaceString, IFERROR(VLOOKUP(_xlpm.Vertex, _xlpm.Table1, 2, FALSE), VLOOKUP(_xlpm.Vertex, _xlpm.Table2, 2, FALSE)),
_xlpm.FaceArray, _xlfn.TEXTSPLIT(_xlpm.FaceString, ", "),
INDEX(_xlpm.FaceArray, COLUMN(C13))
), "")</f>
        <v>Face 2</v>
      </c>
      <c r="E14" s="434">
        <f>VLOOKUP(B14, DODECA_ENGINE!$A$2:$K$13, 11, FALSE)</f>
        <v>0.23961225216342069</v>
      </c>
      <c r="F14" s="434">
        <f>VLOOKUP(C14, DODECA_ENGINE!$A$2:$K$13, 11, FALSE)</f>
        <v>0.43834355530707869</v>
      </c>
      <c r="G14" s="434">
        <f>VLOOKUP(D14, DODECA_ENGINE!$A$2:$K$13, 11, FALSE)</f>
        <v>0.40086371970020074</v>
      </c>
      <c r="H14" s="493">
        <f t="shared" si="0"/>
        <v>0.35960650905690006</v>
      </c>
      <c r="I14" s="501">
        <f t="shared" si="5"/>
        <v>0.13248753542910532</v>
      </c>
      <c r="J14" s="498">
        <f>Vortex_Map[[#This Row],[Macro Vortex Strength(ω)]]/(2/3)</f>
        <v>0.198731303143658</v>
      </c>
      <c r="K14" s="502" t="e">
        <f>_xlfn.XLOOKUP(Vortex_Map[[#This Row],[Vertex_ID]],$S$2:$S$21,$AM$2:$AM$21)</f>
        <v>#N/A</v>
      </c>
      <c r="L14" s="502" t="e">
        <f>_xlfn.XLOOKUP(Vortex_Map[[#This Row],[Vertex_ID]],$S$2:$S$21,$AN$2:$AN$21)</f>
        <v>#N/A</v>
      </c>
      <c r="M14" s="500" t="e">
        <f>Vortex_Map[[#This Row],[Micro Vortex (ω)]]/(2/3)</f>
        <v>#N/A</v>
      </c>
      <c r="N14" s="499" t="e">
        <f t="shared" si="1"/>
        <v>#N/A</v>
      </c>
      <c r="O14" s="499" t="e">
        <f>Vortex_Map[[#This Row],[Micro V-Mean (Avg of 9 KPIs)]]/Vortex_Map[[#This Row],[Micro Vortex (ω)]]</f>
        <v>#N/A</v>
      </c>
      <c r="P14" s="497" t="str">
        <f>_xlfn.XLOOKUP(Vortex_Map[[#This Row],[Face_1_ID]],DODECA_ENGINE!$A$2:$A$13,DODECA_ENGINE!$B$2:$B$13) &amp; " , " &amp; _xlfn.XLOOKUP(Vortex_Map[[#This Row],[Face_2_ID]],DODECA_ENGINE!$A$2:$A$13,DODECA_ENGINE!$B$2:$B$13) &amp; " , " &amp; _xlfn.XLOOKUP(Vortex_Map[[#This Row],[Face_3_ID]],DODECA_ENGINE!$A$2:$A$13,DODECA_ENGINE!$B$2:$B$13)</f>
        <v>Financial Capital , Regenerative Flow , Intellectual Capital</v>
      </c>
      <c r="S14" s="472" t="s">
        <v>2002</v>
      </c>
      <c r="T14" s="473" t="s">
        <v>2016</v>
      </c>
      <c r="U14" s="474" t="str">
        <f t="shared" si="2"/>
        <v>E5-7</v>
      </c>
      <c r="V14" s="475">
        <f>_xlfn.XLOOKUP(U14,Edge_Tension_Map[Edge_ID],Edge_Tension_Map[Edge KPI Coherence])</f>
        <v>0.83812359803681902</v>
      </c>
      <c r="W14" s="476" t="str">
        <f t="shared" si="3"/>
        <v>E5-8</v>
      </c>
      <c r="X14" s="477">
        <f>_xlfn.XLOOKUP(W14,Edge_Tension_Map[Edge_ID],Edge_Tension_Map[Edge KPI Coherence])</f>
        <v>0.82536257669993496</v>
      </c>
      <c r="Y14" s="476" t="str">
        <f t="shared" si="4"/>
        <v>E7-8</v>
      </c>
      <c r="Z14" s="478">
        <f>_xlfn.XLOOKUP(Y14,Edge_Tension_Map[Edge_ID],Edge_Tension_Map[Edge KPI Coherence])</f>
        <v>0.98723897866311594</v>
      </c>
      <c r="AA14" s="476" t="s">
        <v>2103</v>
      </c>
      <c r="AB14" s="479" cm="1">
        <f t="array" ref="AB14">_xlfn.LET(
    _xlpm.cell_value, AA14,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C14" s="476" t="s">
        <v>2110</v>
      </c>
      <c r="AD14" s="480" cm="1">
        <f t="array" ref="AD14">_xlfn.LET(
    _xlpm.cell_value, AC14,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v>
      </c>
      <c r="AE14" s="476" t="s">
        <v>2124</v>
      </c>
      <c r="AF14" s="480" cm="1">
        <f t="array" ref="AF14">_xlfn.LET(
    _xlpm.cell_value, AE14,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0.8571428571428571</v>
      </c>
      <c r="AG14" s="476" t="s">
        <v>2123</v>
      </c>
      <c r="AH14" s="480" cm="1">
        <f t="array" ref="AH14">_xlfn.LET(
    _xlpm.cell_value, AG14,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0.2857142857142857</v>
      </c>
      <c r="AI14" s="476" t="s">
        <v>2118</v>
      </c>
      <c r="AJ14" s="480" cm="1">
        <f t="array" ref="AJ14">_xlfn.LET(
    _xlpm.cell_value, AI14,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0.95180722891566261</v>
      </c>
      <c r="AK14" s="481" t="s">
        <v>2086</v>
      </c>
      <c r="AL14" s="480" cm="1">
        <f t="array" ref="AL14">_xlfn.LET(
    _xlpm.cell_value, AK14,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0.1</v>
      </c>
      <c r="AM14" s="482">
        <f>AVERAGE(VORTEX_MAP!$AL14,VORTEX_MAP!$AJ14,VORTEX_MAP!$AH14,VORTEX_MAP!$AF14,VORTEX_MAP!$AD14,VORTEX_MAP!$AB14,VORTEX_MAP!$Z14,VORTEX_MAP!$X14,VORTEX_MAP!$V14)</f>
        <v>0.64948772501918617</v>
      </c>
      <c r="AN14">
        <f t="shared" si="6"/>
        <v>0.37919067860491551</v>
      </c>
    </row>
    <row r="15" spans="1:40">
      <c r="A15" s="431" t="s">
        <v>1992</v>
      </c>
      <c r="B15" s="236" t="str" cm="1">
        <f t="array" ref="B15">IFERROR("Face " &amp; _xlfn.LET(
_xlpm.Vertex, $A15,
_xlpm.Table1, $S$2:$T$11,
_xlpm.Table2, $S$12:$T$21,
_xlpm.FaceString, IFERROR(VLOOKUP(_xlpm.Vertex, _xlpm.Table1, 2, FALSE), VLOOKUP(_xlpm.Vertex, _xlpm.Table2, 2, FALSE)),
_xlpm.FaceArray, _xlfn.TEXTSPLIT(_xlpm.FaceString, ", "),
INDEX(_xlpm.FaceArray, COLUMN(A14))
), "")</f>
        <v>Face 1</v>
      </c>
      <c r="C15" s="236" t="str" cm="1">
        <f t="array" ref="C15">IFERROR("Face " &amp; _xlfn.LET(
_xlpm.Vertex, $A15,
_xlpm.Table1, $S$2:$T$11,
_xlpm.Table2, $S$12:$T$21,
_xlpm.FaceString, IFERROR(VLOOKUP(_xlpm.Vertex, _xlpm.Table1, 2, FALSE), VLOOKUP(_xlpm.Vertex, _xlpm.Table2, 2, FALSE)),
_xlpm.FaceArray, _xlfn.TEXTSPLIT(_xlpm.FaceString, ", "),
INDEX(_xlpm.FaceArray, COLUMN(B14))
), "")</f>
        <v>Face 8</v>
      </c>
      <c r="D15" s="236" t="str" cm="1">
        <f t="array" ref="D15">IFERROR("Face " &amp; _xlfn.LET(
_xlpm.Vertex, $A15,
_xlpm.Table1, $S$2:$T$11,
_xlpm.Table2, $S$12:$T$21,
_xlpm.FaceString, IFERROR(VLOOKUP(_xlpm.Vertex, _xlpm.Table1, 2, FALSE), VLOOKUP(_xlpm.Vertex, _xlpm.Table2, 2, FALSE)),
_xlpm.FaceArray, _xlfn.TEXTSPLIT(_xlpm.FaceString, ", "),
INDEX(_xlpm.FaceArray, COLUMN(C14))
), "")</f>
        <v>Face 9</v>
      </c>
      <c r="E15" s="434">
        <f>VLOOKUP(B15, DODECA_ENGINE!$A$2:$K$13, 11, FALSE)</f>
        <v>0.23961225216342069</v>
      </c>
      <c r="F15" s="434">
        <f>VLOOKUP(C15, DODECA_ENGINE!$A$2:$K$13, 11, FALSE)</f>
        <v>0.22089121833354255</v>
      </c>
      <c r="G15" s="434">
        <f>VLOOKUP(D15, DODECA_ENGINE!$A$2:$K$13, 11, FALSE)</f>
        <v>0.43834355530707869</v>
      </c>
      <c r="H15" s="493">
        <f t="shared" si="0"/>
        <v>0.29961567526801397</v>
      </c>
      <c r="I15" s="501">
        <f t="shared" si="5"/>
        <v>0.14496822464902409</v>
      </c>
      <c r="J15" s="498">
        <f>Vortex_Map[[#This Row],[Macro Vortex Strength(ω)]]/(2/3)</f>
        <v>0.21745233697353614</v>
      </c>
      <c r="K15" s="502" t="e">
        <f>_xlfn.XLOOKUP(Vortex_Map[[#This Row],[Vertex_ID]],$S$2:$S$21,$AM$2:$AM$21)</f>
        <v>#N/A</v>
      </c>
      <c r="L15" s="502" t="e">
        <f>_xlfn.XLOOKUP(Vortex_Map[[#This Row],[Vertex_ID]],$S$2:$S$21,$AN$2:$AN$21)</f>
        <v>#N/A</v>
      </c>
      <c r="M15" s="500" t="e">
        <f>Vortex_Map[[#This Row],[Micro Vortex (ω)]]/(2/3)</f>
        <v>#N/A</v>
      </c>
      <c r="N15" s="499" t="e">
        <f t="shared" si="1"/>
        <v>#N/A</v>
      </c>
      <c r="O15" s="499" t="e">
        <f>Vortex_Map[[#This Row],[Micro V-Mean (Avg of 9 KPIs)]]/Vortex_Map[[#This Row],[Micro Vortex (ω)]]</f>
        <v>#N/A</v>
      </c>
      <c r="P15" s="497" t="str">
        <f>_xlfn.XLOOKUP(Vortex_Map[[#This Row],[Face_1_ID]],DODECA_ENGINE!$A$2:$A$13,DODECA_ENGINE!$B$2:$B$13) &amp; " , " &amp; _xlfn.XLOOKUP(Vortex_Map[[#This Row],[Face_2_ID]],DODECA_ENGINE!$A$2:$A$13,DODECA_ENGINE!$B$2:$B$13) &amp; " , " &amp; _xlfn.XLOOKUP(Vortex_Map[[#This Row],[Face_3_ID]],DODECA_ENGINE!$A$2:$A$13,DODECA_ENGINE!$B$2:$B$13)</f>
        <v>Financial Capital , Core Operations , Regenerative Flow</v>
      </c>
      <c r="S15" s="472" t="s">
        <v>2003</v>
      </c>
      <c r="T15" s="473" t="s">
        <v>2018</v>
      </c>
      <c r="U15" s="474" t="str">
        <f t="shared" si="2"/>
        <v>E7-8</v>
      </c>
      <c r="V15" s="475">
        <f>_xlfn.XLOOKUP(U15,Edge_Tension_Map[Edge_ID],Edge_Tension_Map[Edge KPI Coherence])</f>
        <v>0.98723897866311594</v>
      </c>
      <c r="W15" s="476" t="str">
        <f t="shared" si="3"/>
        <v>E7-12</v>
      </c>
      <c r="X15" s="477" t="e">
        <f>_xlfn.XLOOKUP(W15,Edge_Tension_Map[Edge_ID],Edge_Tension_Map[Edge KPI Coherence])</f>
        <v>#N/A</v>
      </c>
      <c r="Y15" s="476" t="str">
        <f t="shared" si="4"/>
        <v>E8-12</v>
      </c>
      <c r="Z15" s="478">
        <f>_xlfn.XLOOKUP(Y15,Edge_Tension_Map[Edge_ID],Edge_Tension_Map[Edge KPI Coherence])</f>
        <v>0.97543511197521071</v>
      </c>
      <c r="AA15" s="476" t="s">
        <v>2102</v>
      </c>
      <c r="AB15" s="479" cm="1">
        <f t="array" ref="AB15">_xlfn.LET(
    _xlpm.cell_value, AA15,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v>
      </c>
      <c r="AC15" s="476" t="s">
        <v>2109</v>
      </c>
      <c r="AD15" s="480" cm="1">
        <f t="array" ref="AD15">_xlfn.LET(
    _xlpm.cell_value, AC15,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0.25</v>
      </c>
      <c r="AE15" s="476" t="s">
        <v>2118</v>
      </c>
      <c r="AF15" s="480" cm="1">
        <f t="array" ref="AF15">_xlfn.LET(
    _xlpm.cell_value, AE15,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0.95180722891566261</v>
      </c>
      <c r="AG15" s="476" t="s">
        <v>2108</v>
      </c>
      <c r="AH15" s="480" cm="1">
        <f t="array" ref="AH15">_xlfn.LET(
    _xlpm.cell_value, AG15,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0.16666666666666666</v>
      </c>
      <c r="AI15" s="476" t="s">
        <v>2113</v>
      </c>
      <c r="AJ15" s="480" cm="1">
        <f t="array" ref="AJ15">_xlfn.LET(
    _xlpm.cell_value, AI15,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0.77666666666666673</v>
      </c>
      <c r="AK15" s="481" t="s">
        <v>2115</v>
      </c>
      <c r="AL15" s="480" cm="1">
        <f t="array" ref="AL15">_xlfn.LET(
    _xlpm.cell_value, AK15,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0.16666666666666666</v>
      </c>
      <c r="AM15" s="483" t="e">
        <f>AVERAGE(VORTEX_MAP!$AL15,VORTEX_MAP!$AJ15,VORTEX_MAP!$AH15,VORTEX_MAP!$AF15,VORTEX_MAP!$AD15,VORTEX_MAP!$AB15,VORTEX_MAP!$Z15,VORTEX_MAP!$X15,VORTEX_MAP!$V15)</f>
        <v>#N/A</v>
      </c>
      <c r="AN15" t="e">
        <f t="shared" si="6"/>
        <v>#N/A</v>
      </c>
    </row>
    <row r="16" spans="1:40">
      <c r="A16" s="431" t="s">
        <v>1993</v>
      </c>
      <c r="B16" s="236" t="str" cm="1">
        <f t="array" ref="B16">IFERROR("Face " &amp; _xlfn.LET(
_xlpm.Vertex, $A16,
_xlpm.Table1, $S$2:$T$11,
_xlpm.Table2, $S$12:$T$21,
_xlpm.FaceString, IFERROR(VLOOKUP(_xlpm.Vertex, _xlpm.Table1, 2, FALSE), VLOOKUP(_xlpm.Vertex, _xlpm.Table2, 2, FALSE)),
_xlpm.FaceArray, _xlfn.TEXTSPLIT(_xlpm.FaceString, ", "),
INDEX(_xlpm.FaceArray, COLUMN(A15))
), "")</f>
        <v>Face 2</v>
      </c>
      <c r="C16" s="236" t="str" cm="1">
        <f t="array" ref="C16">IFERROR("Face " &amp; _xlfn.LET(
_xlpm.Vertex, $A16,
_xlpm.Table1, $S$2:$T$11,
_xlpm.Table2, $S$12:$T$21,
_xlpm.FaceString, IFERROR(VLOOKUP(_xlpm.Vertex, _xlpm.Table1, 2, FALSE), VLOOKUP(_xlpm.Vertex, _xlpm.Table2, 2, FALSE)),
_xlpm.FaceArray, _xlfn.TEXTSPLIT(_xlpm.FaceString, ", "),
INDEX(_xlpm.FaceArray, COLUMN(B15))
), "")</f>
        <v>Face 9</v>
      </c>
      <c r="D16" s="236" t="str" cm="1">
        <f t="array" ref="D16">IFERROR("Face " &amp; _xlfn.LET(
_xlpm.Vertex, $A16,
_xlpm.Table1, $S$2:$T$11,
_xlpm.Table2, $S$12:$T$21,
_xlpm.FaceString, IFERROR(VLOOKUP(_xlpm.Vertex, _xlpm.Table1, 2, FALSE), VLOOKUP(_xlpm.Vertex, _xlpm.Table2, 2, FALSE)),
_xlpm.FaceArray, _xlfn.TEXTSPLIT(_xlpm.FaceString, ", "),
INDEX(_xlpm.FaceArray, COLUMN(C15))
), "")</f>
        <v>Face 10</v>
      </c>
      <c r="E16" s="434">
        <f>VLOOKUP(B16, DODECA_ENGINE!$A$2:$K$13, 11, FALSE)</f>
        <v>0.40086371970020074</v>
      </c>
      <c r="F16" s="434">
        <f>VLOOKUP(C16, DODECA_ENGINE!$A$2:$K$13, 11, FALSE)</f>
        <v>0.43834355530707869</v>
      </c>
      <c r="G16" s="434">
        <f>VLOOKUP(D16, DODECA_ENGINE!$A$2:$K$13, 11, FALSE)</f>
        <v>0.41628415530129803</v>
      </c>
      <c r="H16" s="493">
        <f t="shared" si="0"/>
        <v>0.41849714343619243</v>
      </c>
      <c r="I16" s="501">
        <f t="shared" si="5"/>
        <v>2.4986557071251969E-2</v>
      </c>
      <c r="J16" s="498">
        <f>Vortex_Map[[#This Row],[Macro Vortex Strength(ω)]]/(2/3)</f>
        <v>3.7479835606877954E-2</v>
      </c>
      <c r="K16" s="502" t="e">
        <f>_xlfn.XLOOKUP(Vortex_Map[[#This Row],[Vertex_ID]],$S$2:$S$21,$AM$2:$AM$21)</f>
        <v>#N/A</v>
      </c>
      <c r="L16" s="502" t="e">
        <f>_xlfn.XLOOKUP(Vortex_Map[[#This Row],[Vertex_ID]],$S$2:$S$21,$AN$2:$AN$21)</f>
        <v>#N/A</v>
      </c>
      <c r="M16" s="500" t="e">
        <f>Vortex_Map[[#This Row],[Micro Vortex (ω)]]/(2/3)</f>
        <v>#N/A</v>
      </c>
      <c r="N16" s="499" t="e">
        <f t="shared" si="1"/>
        <v>#N/A</v>
      </c>
      <c r="O16" s="499" t="e">
        <f>Vortex_Map[[#This Row],[Micro V-Mean (Avg of 9 KPIs)]]/Vortex_Map[[#This Row],[Micro Vortex (ω)]]</f>
        <v>#N/A</v>
      </c>
      <c r="P16" s="497" t="str">
        <f>_xlfn.XLOOKUP(Vortex_Map[[#This Row],[Face_1_ID]],DODECA_ENGINE!$A$2:$A$13,DODECA_ENGINE!$B$2:$B$13) &amp; " , " &amp; _xlfn.XLOOKUP(Vortex_Map[[#This Row],[Face_2_ID]],DODECA_ENGINE!$A$2:$A$13,DODECA_ENGINE!$B$2:$B$13) &amp; " , " &amp; _xlfn.XLOOKUP(Vortex_Map[[#This Row],[Face_3_ID]],DODECA_ENGINE!$A$2:$A$13,DODECA_ENGINE!$B$2:$B$13)</f>
        <v>Intellectual Capital , Regenerative Flow , Foundational Values</v>
      </c>
      <c r="S16" s="472" t="s">
        <v>2004</v>
      </c>
      <c r="T16" s="473" t="s">
        <v>2020</v>
      </c>
      <c r="U16" s="474" t="str">
        <f t="shared" si="2"/>
        <v>E7-11</v>
      </c>
      <c r="V16" s="475" t="e">
        <f>_xlfn.XLOOKUP(U16,Edge_Tension_Map[Edge_ID],Edge_Tension_Map[Edge KPI Coherence])</f>
        <v>#N/A</v>
      </c>
      <c r="W16" s="476" t="str">
        <f t="shared" si="3"/>
        <v>E7-12</v>
      </c>
      <c r="X16" s="477" t="e">
        <f>_xlfn.XLOOKUP(W16,Edge_Tension_Map[Edge_ID],Edge_Tension_Map[Edge KPI Coherence])</f>
        <v>#N/A</v>
      </c>
      <c r="Y16" s="476" t="str">
        <f t="shared" si="4"/>
        <v>E11-12</v>
      </c>
      <c r="Z16" s="478">
        <f>_xlfn.XLOOKUP(Y16,Edge_Tension_Map[Edge_ID],Edge_Tension_Map[Edge KPI Coherence])</f>
        <v>0.9271087821374282</v>
      </c>
      <c r="AA16" s="476" t="s">
        <v>2101</v>
      </c>
      <c r="AB16" s="479" cm="1">
        <f t="array" ref="AB16">_xlfn.LET(
    _xlpm.cell_value, AA16,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0.33333333333333331</v>
      </c>
      <c r="AC16" s="476" t="s">
        <v>2109</v>
      </c>
      <c r="AD16" s="480" cm="1">
        <f t="array" ref="AD16">_xlfn.LET(
    _xlpm.cell_value, AC16,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0.25</v>
      </c>
      <c r="AE16" s="476" t="s">
        <v>2120</v>
      </c>
      <c r="AF16" s="480" cm="1">
        <f t="array" ref="AF16">_xlfn.LET(
    _xlpm.cell_value, AE16,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0.14285714285714285</v>
      </c>
      <c r="AG16" s="476" t="s">
        <v>2126</v>
      </c>
      <c r="AH16" s="480" cm="1">
        <f t="array" ref="AH16">_xlfn.LET(
    _xlpm.cell_value, AG16,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0.33333333333333331</v>
      </c>
      <c r="AI16" s="476" t="s">
        <v>2115</v>
      </c>
      <c r="AJ16" s="480" cm="1">
        <f t="array" ref="AJ16">_xlfn.LET(
    _xlpm.cell_value, AI16,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0.16666666666666666</v>
      </c>
      <c r="AK16" s="481" t="s">
        <v>2113</v>
      </c>
      <c r="AL16" s="480" cm="1">
        <f t="array" ref="AL16">_xlfn.LET(
    _xlpm.cell_value, AK16,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0.77666666666666673</v>
      </c>
      <c r="AM16" s="482" t="e">
        <f>AVERAGE(VORTEX_MAP!$AL16,VORTEX_MAP!$AJ16,VORTEX_MAP!$AH16,VORTEX_MAP!$AF16,VORTEX_MAP!$AD16,VORTEX_MAP!$AB16,VORTEX_MAP!$Z16,VORTEX_MAP!$X16,VORTEX_MAP!$V16)</f>
        <v>#N/A</v>
      </c>
      <c r="AN16" t="e">
        <f t="shared" si="6"/>
        <v>#N/A</v>
      </c>
    </row>
    <row r="17" spans="1:40">
      <c r="A17" s="431" t="s">
        <v>1994</v>
      </c>
      <c r="B17" s="236" t="str" cm="1">
        <f t="array" ref="B17">IFERROR("Face " &amp; _xlfn.LET(
_xlpm.Vertex, $A17,
_xlpm.Table1, $S$2:$T$11,
_xlpm.Table2, $S$12:$T$21,
_xlpm.FaceString, IFERROR(VLOOKUP(_xlpm.Vertex, _xlpm.Table1, 2, FALSE), VLOOKUP(_xlpm.Vertex, _xlpm.Table2, 2, FALSE)),
_xlpm.FaceArray, _xlfn.TEXTSPLIT(_xlpm.FaceString, ", "),
INDEX(_xlpm.FaceArray, COLUMN(A16))
), "")</f>
        <v>Face 2</v>
      </c>
      <c r="C17" s="236" t="str" cm="1">
        <f t="array" ref="C17">IFERROR("Face " &amp; _xlfn.LET(
_xlpm.Vertex, $A17,
_xlpm.Table1, $S$2:$T$11,
_xlpm.Table2, $S$12:$T$21,
_xlpm.FaceString, IFERROR(VLOOKUP(_xlpm.Vertex, _xlpm.Table1, 2, FALSE), VLOOKUP(_xlpm.Vertex, _xlpm.Table2, 2, FALSE)),
_xlpm.FaceArray, _xlfn.TEXTSPLIT(_xlpm.FaceString, ", "),
INDEX(_xlpm.FaceArray, COLUMN(B16))
), "")</f>
        <v>Face 3</v>
      </c>
      <c r="D17" s="236" t="str" cm="1">
        <f t="array" ref="D17">IFERROR("Face " &amp; _xlfn.LET(
_xlpm.Vertex, $A17,
_xlpm.Table1, $S$2:$T$11,
_xlpm.Table2, $S$12:$T$21,
_xlpm.FaceString, IFERROR(VLOOKUP(_xlpm.Vertex, _xlpm.Table1, 2, FALSE), VLOOKUP(_xlpm.Vertex, _xlpm.Table2, 2, FALSE)),
_xlpm.FaceArray, _xlfn.TEXTSPLIT(_xlpm.FaceString, ", "),
INDEX(_xlpm.FaceArray, COLUMN(C16))
), "")</f>
        <v>Face 10</v>
      </c>
      <c r="E17" s="434">
        <f>VLOOKUP(B17, DODECA_ENGINE!$A$2:$K$13, 11, FALSE)</f>
        <v>0.40086371970020074</v>
      </c>
      <c r="F17" s="434">
        <f>VLOOKUP(C17, DODECA_ENGINE!$A$2:$K$13, 11, FALSE)</f>
        <v>0.16559188153585278</v>
      </c>
      <c r="G17" s="434">
        <f>VLOOKUP(D17, DODECA_ENGINE!$A$2:$K$13, 11, FALSE)</f>
        <v>0.41628415530129803</v>
      </c>
      <c r="H17" s="493">
        <f t="shared" si="0"/>
        <v>0.32757991884578386</v>
      </c>
      <c r="I17" s="501">
        <f t="shared" si="5"/>
        <v>0.16712818251029682</v>
      </c>
      <c r="J17" s="498">
        <f>Vortex_Map[[#This Row],[Macro Vortex Strength(ω)]]/(2/3)</f>
        <v>0.25069227376544523</v>
      </c>
      <c r="K17" s="502" t="e">
        <f>_xlfn.XLOOKUP(Vortex_Map[[#This Row],[Vertex_ID]],$S$2:$S$21,$AM$2:$AM$21)</f>
        <v>#N/A</v>
      </c>
      <c r="L17" s="502" t="e">
        <f>_xlfn.XLOOKUP(Vortex_Map[[#This Row],[Vertex_ID]],$S$2:$S$21,$AN$2:$AN$21)</f>
        <v>#N/A</v>
      </c>
      <c r="M17" s="500" t="e">
        <f>Vortex_Map[[#This Row],[Micro Vortex (ω)]]/(2/3)</f>
        <v>#N/A</v>
      </c>
      <c r="N17" s="499" t="e">
        <f t="shared" si="1"/>
        <v>#N/A</v>
      </c>
      <c r="O17" s="499" t="e">
        <f>Vortex_Map[[#This Row],[Micro V-Mean (Avg of 9 KPIs)]]/Vortex_Map[[#This Row],[Micro Vortex (ω)]]</f>
        <v>#N/A</v>
      </c>
      <c r="P17" s="497" t="str">
        <f>_xlfn.XLOOKUP(Vortex_Map[[#This Row],[Face_1_ID]],DODECA_ENGINE!$A$2:$A$13,DODECA_ENGINE!$B$2:$B$13) &amp; " , " &amp; _xlfn.XLOOKUP(Vortex_Map[[#This Row],[Face_2_ID]],DODECA_ENGINE!$A$2:$A$13,DODECA_ENGINE!$B$2:$B$13) &amp; " , " &amp; _xlfn.XLOOKUP(Vortex_Map[[#This Row],[Face_3_ID]],DODECA_ENGINE!$A$2:$A$13,DODECA_ENGINE!$B$2:$B$13)</f>
        <v>Intellectual Capital , Human Capital , Foundational Values</v>
      </c>
      <c r="S17" s="472" t="s">
        <v>2005</v>
      </c>
      <c r="T17" s="473" t="s">
        <v>2021</v>
      </c>
      <c r="U17" s="474" t="str">
        <f t="shared" si="2"/>
        <v>E8-9</v>
      </c>
      <c r="V17" s="475" t="e">
        <f>_xlfn.XLOOKUP(U17,Edge_Tension_Map[Edge_ID],Edge_Tension_Map[Edge KPI Coherence])</f>
        <v>#N/A</v>
      </c>
      <c r="W17" s="476" t="str">
        <f t="shared" si="3"/>
        <v>E8-12</v>
      </c>
      <c r="X17" s="477">
        <f>_xlfn.XLOOKUP(W17,Edge_Tension_Map[Edge_ID],Edge_Tension_Map[Edge KPI Coherence])</f>
        <v>0.97543511197521071</v>
      </c>
      <c r="Y17" s="476" t="str">
        <f t="shared" si="4"/>
        <v>E9-12</v>
      </c>
      <c r="Z17" s="478">
        <f>_xlfn.XLOOKUP(Y17,Edge_Tension_Map[Edge_ID],Edge_Tension_Map[Edge KPI Coherence])</f>
        <v>0.75798277500167455</v>
      </c>
      <c r="AA17" s="476" t="s">
        <v>2081</v>
      </c>
      <c r="AB17" s="479" cm="1">
        <f t="array" ref="AB17">_xlfn.LET(
    _xlpm.cell_value, AA17,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0.2</v>
      </c>
      <c r="AC17" s="476" t="s">
        <v>2108</v>
      </c>
      <c r="AD17" s="480" cm="1">
        <f t="array" ref="AD17">_xlfn.LET(
    _xlpm.cell_value, AC17,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0.16666666666666666</v>
      </c>
      <c r="AE17" s="476" t="s">
        <v>2082</v>
      </c>
      <c r="AF17" s="480" cm="1">
        <f t="array" ref="AF17">_xlfn.LET(
    _xlpm.cell_value, AE17,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G17" s="476" t="s">
        <v>2107</v>
      </c>
      <c r="AH17" s="480" cm="1">
        <f t="array" ref="AH17">_xlfn.LET(
    _xlpm.cell_value, AG17,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I17" s="476" t="s">
        <v>2113</v>
      </c>
      <c r="AJ17" s="480" cm="1">
        <f t="array" ref="AJ17">_xlfn.LET(
    _xlpm.cell_value, AI17,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0.77666666666666673</v>
      </c>
      <c r="AK17" s="481" t="s">
        <v>2114</v>
      </c>
      <c r="AL17" s="480" cm="1">
        <f t="array" ref="AL17">_xlfn.LET(
    _xlpm.cell_value, AK17,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M17" s="483" t="e">
        <f>AVERAGE(VORTEX_MAP!$AL17,VORTEX_MAP!$AJ17,VORTEX_MAP!$AH17,VORTEX_MAP!$AF17,VORTEX_MAP!$AD17,VORTEX_MAP!$AB17,VORTEX_MAP!$Z17,VORTEX_MAP!$X17,VORTEX_MAP!$V17)</f>
        <v>#N/A</v>
      </c>
      <c r="AN17" t="e">
        <f t="shared" si="6"/>
        <v>#N/A</v>
      </c>
    </row>
    <row r="18" spans="1:40">
      <c r="A18" s="431" t="s">
        <v>1995</v>
      </c>
      <c r="B18" s="236" t="str" cm="1">
        <f t="array" ref="B18">IFERROR("Face " &amp; _xlfn.LET(
_xlpm.Vertex, $A18,
_xlpm.Table1, $S$2:$T$11,
_xlpm.Table2, $S$12:$T$21,
_xlpm.FaceString, IFERROR(VLOOKUP(_xlpm.Vertex, _xlpm.Table1, 2, FALSE), VLOOKUP(_xlpm.Vertex, _xlpm.Table2, 2, FALSE)),
_xlpm.FaceArray, _xlfn.TEXTSPLIT(_xlpm.FaceString, ", "),
INDEX(_xlpm.FaceArray, COLUMN(A17))
), "")</f>
        <v>Face 3</v>
      </c>
      <c r="C18" s="236" t="str" cm="1">
        <f t="array" ref="C18">IFERROR("Face " &amp; _xlfn.LET(
_xlpm.Vertex, $A18,
_xlpm.Table1, $S$2:$T$11,
_xlpm.Table2, $S$12:$T$21,
_xlpm.FaceString, IFERROR(VLOOKUP(_xlpm.Vertex, _xlpm.Table1, 2, FALSE), VLOOKUP(_xlpm.Vertex, _xlpm.Table2, 2, FALSE)),
_xlpm.FaceArray, _xlfn.TEXTSPLIT(_xlpm.FaceString, ", "),
INDEX(_xlpm.FaceArray, COLUMN(B17))
), "")</f>
        <v>Face 6</v>
      </c>
      <c r="D18" s="236" t="str" cm="1">
        <f t="array" ref="D18">IFERROR("Face " &amp; _xlfn.LET(
_xlpm.Vertex, $A18,
_xlpm.Table1, $S$2:$T$11,
_xlpm.Table2, $S$12:$T$21,
_xlpm.FaceString, IFERROR(VLOOKUP(_xlpm.Vertex, _xlpm.Table1, 2, FALSE), VLOOKUP(_xlpm.Vertex, _xlpm.Table2, 2, FALSE)),
_xlpm.FaceArray, _xlfn.TEXTSPLIT(_xlpm.FaceString, ", "),
INDEX(_xlpm.FaceArray, COLUMN(C17))
), "")</f>
        <v>Face 2</v>
      </c>
      <c r="E18" s="434">
        <f>VLOOKUP(B18, DODECA_ENGINE!$A$2:$K$13, 11, FALSE)</f>
        <v>0.16559188153585278</v>
      </c>
      <c r="F18" s="434">
        <f>VLOOKUP(C18, DODECA_ENGINE!$A$2:$K$13, 11, FALSE)</f>
        <v>0.24689937774340731</v>
      </c>
      <c r="G18" s="434">
        <f>VLOOKUP(D18, DODECA_ENGINE!$A$2:$K$13, 11, FALSE)</f>
        <v>0.40086371970020074</v>
      </c>
      <c r="H18" s="493">
        <f t="shared" si="0"/>
        <v>0.27111832632648697</v>
      </c>
      <c r="I18" s="501">
        <f t="shared" si="5"/>
        <v>0.15684789210956532</v>
      </c>
      <c r="J18" s="498">
        <f>Vortex_Map[[#This Row],[Macro Vortex Strength(ω)]]/(2/3)</f>
        <v>0.23527183816434799</v>
      </c>
      <c r="K18" s="502">
        <f>_xlfn.XLOOKUP(Vortex_Map[[#This Row],[Vertex_ID]],$S$2:$S$21,$AM$2:$AM$21)</f>
        <v>0.70962213120157336</v>
      </c>
      <c r="L18" s="502">
        <f>_xlfn.XLOOKUP(Vortex_Map[[#This Row],[Vertex_ID]],$S$2:$S$21,$AN$2:$AN$21)</f>
        <v>0.24052547940709654</v>
      </c>
      <c r="M18" s="500">
        <f>Vortex_Map[[#This Row],[Micro Vortex (ω)]]/(2/3)</f>
        <v>0.36078821911064485</v>
      </c>
      <c r="N18" s="499">
        <f t="shared" si="1"/>
        <v>9.404546989182308E-2</v>
      </c>
      <c r="O18" s="499">
        <f>Vortex_Map[[#This Row],[Micro V-Mean (Avg of 9 KPIs)]]/Vortex_Map[[#This Row],[Micro Vortex (ω)]]</f>
        <v>2.9502992071809437</v>
      </c>
      <c r="P18" s="497" t="str">
        <f>_xlfn.XLOOKUP(Vortex_Map[[#This Row],[Face_1_ID]],DODECA_ENGINE!$A$2:$A$13,DODECA_ENGINE!$B$2:$B$13) &amp; " , " &amp; _xlfn.XLOOKUP(Vortex_Map[[#This Row],[Face_2_ID]],DODECA_ENGINE!$A$2:$A$13,DODECA_ENGINE!$B$2:$B$13) &amp; " , " &amp; _xlfn.XLOOKUP(Vortex_Map[[#This Row],[Face_3_ID]],DODECA_ENGINE!$A$2:$A$13,DODECA_ENGINE!$B$2:$B$13)</f>
        <v>Human Capital , Community &amp; Partners , Intellectual Capital</v>
      </c>
      <c r="S18" s="472" t="s">
        <v>2006</v>
      </c>
      <c r="T18" s="473" t="s">
        <v>2023</v>
      </c>
      <c r="U18" s="474" t="str">
        <f t="shared" si="2"/>
        <v>E9-10</v>
      </c>
      <c r="V18" s="475" t="e">
        <f>_xlfn.XLOOKUP(U18,Edge_Tension_Map[Edge_ID],Edge_Tension_Map[Edge KPI Coherence])</f>
        <v>#N/A</v>
      </c>
      <c r="W18" s="476" t="str">
        <f t="shared" si="3"/>
        <v>E9-12</v>
      </c>
      <c r="X18" s="477">
        <f>_xlfn.XLOOKUP(W18,Edge_Tension_Map[Edge_ID],Edge_Tension_Map[Edge KPI Coherence])</f>
        <v>0.75798277500167455</v>
      </c>
      <c r="Y18" s="476" t="str">
        <f t="shared" si="4"/>
        <v>E10-12</v>
      </c>
      <c r="Z18" s="478">
        <f>_xlfn.XLOOKUP(Y18,Edge_Tension_Map[Edge_ID],Edge_Tension_Map[Edge KPI Coherence])</f>
        <v>0.78004217500745532</v>
      </c>
      <c r="AA18" s="476" t="s">
        <v>2083</v>
      </c>
      <c r="AB18" s="479" cm="1">
        <f t="array" ref="AB18">_xlfn.LET(
    _xlpm.cell_value, AA18,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C18" s="476" t="s">
        <v>2107</v>
      </c>
      <c r="AD18" s="480" cm="1">
        <f t="array" ref="AD18">_xlfn.LET(
    _xlpm.cell_value, AC18,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E18" s="476" t="s">
        <v>2094</v>
      </c>
      <c r="AF18" s="480" t="str" cm="1">
        <f t="array" ref="AF18">_xlfn.LET(
    _xlpm.cell_value, AE18,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Not Found</v>
      </c>
      <c r="AG18" s="476" t="s">
        <v>2106</v>
      </c>
      <c r="AH18" s="480" cm="1">
        <f t="array" ref="AH18">_xlfn.LET(
    _xlpm.cell_value, AG18,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0.66666666666666674</v>
      </c>
      <c r="AI18" s="476" t="s">
        <v>2117</v>
      </c>
      <c r="AJ18" s="480" cm="1">
        <f t="array" ref="AJ18">_xlfn.LET(
    _xlpm.cell_value, AI18,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0.8571428571428571</v>
      </c>
      <c r="AK18" s="481" t="s">
        <v>2114</v>
      </c>
      <c r="AL18" s="480" cm="1">
        <f t="array" ref="AL18">_xlfn.LET(
    _xlpm.cell_value, AK18,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M18" s="482" t="e">
        <f>AVERAGE(VORTEX_MAP!$AL18,VORTEX_MAP!$AJ18,VORTEX_MAP!$AH18,VORTEX_MAP!$AF18,VORTEX_MAP!$AD18,VORTEX_MAP!$AB18,VORTEX_MAP!$Z18,VORTEX_MAP!$X18,VORTEX_MAP!$V18)</f>
        <v>#N/A</v>
      </c>
      <c r="AN18" t="e">
        <f t="shared" si="6"/>
        <v>#N/A</v>
      </c>
    </row>
    <row r="19" spans="1:40">
      <c r="A19" s="431" t="s">
        <v>1996</v>
      </c>
      <c r="B19" s="236" t="str" cm="1">
        <f t="array" ref="B19">IFERROR("Face " &amp; _xlfn.LET(
_xlpm.Vertex, $A19,
_xlpm.Table1, $S$2:$T$11,
_xlpm.Table2, $S$12:$T$21,
_xlpm.FaceString, IFERROR(VLOOKUP(_xlpm.Vertex, _xlpm.Table1, 2, FALSE), VLOOKUP(_xlpm.Vertex, _xlpm.Table2, 2, FALSE)),
_xlpm.FaceArray, _xlfn.TEXTSPLIT(_xlpm.FaceString, ", "),
INDEX(_xlpm.FaceArray, COLUMN(A18))
), "")</f>
        <v>Face 3</v>
      </c>
      <c r="C19" s="236" t="str" cm="1">
        <f t="array" ref="C19">IFERROR("Face " &amp; _xlfn.LET(
_xlpm.Vertex, $A19,
_xlpm.Table1, $S$2:$T$11,
_xlpm.Table2, $S$12:$T$21,
_xlpm.FaceString, IFERROR(VLOOKUP(_xlpm.Vertex, _xlpm.Table1, 2, FALSE), VLOOKUP(_xlpm.Vertex, _xlpm.Table2, 2, FALSE)),
_xlpm.FaceArray, _xlfn.TEXTSPLIT(_xlpm.FaceString, ", "),
INDEX(_xlpm.FaceArray, COLUMN(B18))
), "")</f>
        <v>Face 10</v>
      </c>
      <c r="D19" s="236" t="str" cm="1">
        <f t="array" ref="D19">IFERROR("Face " &amp; _xlfn.LET(
_xlpm.Vertex, $A19,
_xlpm.Table1, $S$2:$T$11,
_xlpm.Table2, $S$12:$T$21,
_xlpm.FaceString, IFERROR(VLOOKUP(_xlpm.Vertex, _xlpm.Table1, 2, FALSE), VLOOKUP(_xlpm.Vertex, _xlpm.Table2, 2, FALSE)),
_xlpm.FaceArray, _xlfn.TEXTSPLIT(_xlpm.FaceString, ", "),
INDEX(_xlpm.FaceArray, COLUMN(C18))
), "")</f>
        <v>Face 11</v>
      </c>
      <c r="E19" s="434">
        <f>VLOOKUP(B19, DODECA_ENGINE!$A$2:$K$13, 11, FALSE)</f>
        <v>0.16559188153585278</v>
      </c>
      <c r="F19" s="434">
        <f>VLOOKUP(C19, DODECA_ENGINE!$A$2:$K$13, 11, FALSE)</f>
        <v>0.41628415530129803</v>
      </c>
      <c r="G19" s="434">
        <f>VLOOKUP(D19, DODECA_ENGINE!$A$2:$K$13, 11, FALSE)</f>
        <v>0.12343511244618152</v>
      </c>
      <c r="H19" s="493">
        <f t="shared" si="0"/>
        <v>0.23510371642777747</v>
      </c>
      <c r="I19" s="501">
        <f t="shared" si="5"/>
        <v>0.19523269523674433</v>
      </c>
      <c r="J19" s="498">
        <f>Vortex_Map[[#This Row],[Macro Vortex Strength(ω)]]/(2/3)</f>
        <v>0.29284904285511654</v>
      </c>
      <c r="K19" s="502" t="e">
        <f>_xlfn.XLOOKUP(Vortex_Map[[#This Row],[Vertex_ID]],$S$2:$S$21,$AM$2:$AM$21)</f>
        <v>#N/A</v>
      </c>
      <c r="L19" s="502" t="e">
        <f>_xlfn.XLOOKUP(Vortex_Map[[#This Row],[Vertex_ID]],$S$2:$S$21,$AN$2:$AN$21)</f>
        <v>#N/A</v>
      </c>
      <c r="M19" s="500" t="e">
        <f>Vortex_Map[[#This Row],[Micro Vortex (ω)]]/(2/3)</f>
        <v>#N/A</v>
      </c>
      <c r="N19" s="499" t="e">
        <f t="shared" si="1"/>
        <v>#N/A</v>
      </c>
      <c r="O19" s="499" t="e">
        <f>Vortex_Map[[#This Row],[Micro V-Mean (Avg of 9 KPIs)]]/Vortex_Map[[#This Row],[Micro Vortex (ω)]]</f>
        <v>#N/A</v>
      </c>
      <c r="P19" s="497" t="str">
        <f>_xlfn.XLOOKUP(Vortex_Map[[#This Row],[Face_1_ID]],DODECA_ENGINE!$A$2:$A$13,DODECA_ENGINE!$B$2:$B$13) &amp; " , " &amp; _xlfn.XLOOKUP(Vortex_Map[[#This Row],[Face_2_ID]],DODECA_ENGINE!$A$2:$A$13,DODECA_ENGINE!$B$2:$B$13) &amp; " , " &amp; _xlfn.XLOOKUP(Vortex_Map[[#This Row],[Face_3_ID]],DODECA_ENGINE!$A$2:$A$13,DODECA_ENGINE!$B$2:$B$13)</f>
        <v>Human Capital , Foundational Values , Funding Pipeline</v>
      </c>
      <c r="S19" s="472" t="s">
        <v>2007</v>
      </c>
      <c r="T19" s="473" t="s">
        <v>2025</v>
      </c>
      <c r="U19" s="474" t="str">
        <f t="shared" si="2"/>
        <v>E10-11</v>
      </c>
      <c r="V19" s="475">
        <f>_xlfn.XLOOKUP(U19,Edge_Tension_Map[Edge_ID],Edge_Tension_Map[Edge KPI Coherence])</f>
        <v>0.70715095714488352</v>
      </c>
      <c r="W19" s="476" t="str">
        <f t="shared" si="3"/>
        <v>E10-12</v>
      </c>
      <c r="X19" s="477">
        <f>_xlfn.XLOOKUP(W19,Edge_Tension_Map[Edge_ID],Edge_Tension_Map[Edge KPI Coherence])</f>
        <v>0.78004217500745532</v>
      </c>
      <c r="Y19" s="476" t="str">
        <f t="shared" si="4"/>
        <v>E11-12</v>
      </c>
      <c r="Z19" s="478">
        <f>_xlfn.XLOOKUP(Y19,Edge_Tension_Map[Edge_ID],Edge_Tension_Map[Edge KPI Coherence])</f>
        <v>0.9271087821374282</v>
      </c>
      <c r="AA19" s="476" t="s">
        <v>2100</v>
      </c>
      <c r="AB19" s="479" cm="1">
        <f t="array" ref="AB19">_xlfn.LET(
    _xlpm.cell_value, AA19,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v>
      </c>
      <c r="AC19" s="476" t="s">
        <v>2106</v>
      </c>
      <c r="AD19" s="480" cm="1">
        <f t="array" ref="AD19">_xlfn.LET(
    _xlpm.cell_value, AC19,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0.66666666666666674</v>
      </c>
      <c r="AE19" s="476" t="s">
        <v>2120</v>
      </c>
      <c r="AF19" s="480" cm="1">
        <f t="array" ref="AF19">_xlfn.LET(
    _xlpm.cell_value, AE19,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0.14285714285714285</v>
      </c>
      <c r="AG19" s="476" t="s">
        <v>2126</v>
      </c>
      <c r="AH19" s="480" cm="1">
        <f t="array" ref="AH19">_xlfn.LET(
    _xlpm.cell_value, AG19,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0.33333333333333331</v>
      </c>
      <c r="AI19" s="476" t="s">
        <v>2115</v>
      </c>
      <c r="AJ19" s="480" cm="1">
        <f t="array" ref="AJ19">_xlfn.LET(
    _xlpm.cell_value, AI19,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0.16666666666666666</v>
      </c>
      <c r="AK19" s="481" t="s">
        <v>2113</v>
      </c>
      <c r="AL19" s="480" cm="1">
        <f t="array" ref="AL19">_xlfn.LET(
    _xlpm.cell_value, AK19,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0.77666666666666673</v>
      </c>
      <c r="AM19" s="483">
        <f>AVERAGE(VORTEX_MAP!$AL19,VORTEX_MAP!$AJ19,VORTEX_MAP!$AH19,VORTEX_MAP!$AF19,VORTEX_MAP!$AD19,VORTEX_MAP!$AB19,VORTEX_MAP!$Z19,VORTEX_MAP!$X19,VORTEX_MAP!$V19)</f>
        <v>0.50005471005336033</v>
      </c>
      <c r="AN19">
        <f t="shared" si="6"/>
        <v>0.32050639709137191</v>
      </c>
    </row>
    <row r="20" spans="1:40">
      <c r="A20" s="431" t="s">
        <v>1997</v>
      </c>
      <c r="B20" s="236" t="str" cm="1">
        <f t="array" ref="B20">IFERROR("Face " &amp; _xlfn.LET(
_xlpm.Vertex, $A20,
_xlpm.Table1, $S$2:$T$11,
_xlpm.Table2, $S$12:$T$21,
_xlpm.FaceString, IFERROR(VLOOKUP(_xlpm.Vertex, _xlpm.Table1, 2, FALSE), VLOOKUP(_xlpm.Vertex, _xlpm.Table2, 2, FALSE)),
_xlpm.FaceArray, _xlfn.TEXTSPLIT(_xlpm.FaceString, ", "),
INDEX(_xlpm.FaceArray, COLUMN(A19))
), "")</f>
        <v>Face 4</v>
      </c>
      <c r="C20" s="236" t="str" cm="1">
        <f t="array" ref="C20">IFERROR("Face " &amp; _xlfn.LET(
_xlpm.Vertex, $A20,
_xlpm.Table1, $S$2:$T$11,
_xlpm.Table2, $S$12:$T$21,
_xlpm.FaceString, IFERROR(VLOOKUP(_xlpm.Vertex, _xlpm.Table1, 2, FALSE), VLOOKUP(_xlpm.Vertex, _xlpm.Table2, 2, FALSE)),
_xlpm.FaceArray, _xlfn.TEXTSPLIT(_xlpm.FaceString, ", "),
INDEX(_xlpm.FaceArray, COLUMN(B19))
), "")</f>
        <v>Face 5</v>
      </c>
      <c r="D20" s="236" t="str" cm="1">
        <f t="array" ref="D20">IFERROR("Face " &amp; _xlfn.LET(
_xlpm.Vertex, $A20,
_xlpm.Table1, $S$2:$T$11,
_xlpm.Table2, $S$12:$T$21,
_xlpm.FaceString, IFERROR(VLOOKUP(_xlpm.Vertex, _xlpm.Table1, 2, FALSE), VLOOKUP(_xlpm.Vertex, _xlpm.Table2, 2, FALSE)),
_xlpm.FaceArray, _xlfn.TEXTSPLIT(_xlpm.FaceString, ", "),
INDEX(_xlpm.FaceArray, COLUMN(C19))
), "")</f>
        <v>Face 6</v>
      </c>
      <c r="E20" s="434">
        <f>VLOOKUP(B20, DODECA_ENGINE!$A$2:$K$13, 11, FALSE)</f>
        <v>0.24478839508550371</v>
      </c>
      <c r="F20" s="434">
        <f>VLOOKUP(C20, DODECA_ENGINE!$A$2:$K$13, 11, FALSE)</f>
        <v>4.6253795033477547E-2</v>
      </c>
      <c r="G20" s="434">
        <f>VLOOKUP(D20, DODECA_ENGINE!$A$2:$K$13, 11, FALSE)</f>
        <v>0.24689937774340731</v>
      </c>
      <c r="H20" s="493">
        <f t="shared" si="0"/>
        <v>0.17931385595412952</v>
      </c>
      <c r="I20" s="501">
        <f t="shared" si="5"/>
        <v>0.13376372180661986</v>
      </c>
      <c r="J20" s="498">
        <f>Vortex_Map[[#This Row],[Macro Vortex Strength(ω)]]/(2/3)</f>
        <v>0.2006455827099298</v>
      </c>
      <c r="K20" s="502" t="e">
        <f>_xlfn.XLOOKUP(Vortex_Map[[#This Row],[Vertex_ID]],$S$2:$S$21,$AM$2:$AM$21)</f>
        <v>#N/A</v>
      </c>
      <c r="L20" s="502" t="e">
        <f>_xlfn.XLOOKUP(Vortex_Map[[#This Row],[Vertex_ID]],$S$2:$S$21,$AN$2:$AN$21)</f>
        <v>#N/A</v>
      </c>
      <c r="M20" s="500" t="e">
        <f>Vortex_Map[[#This Row],[Micro Vortex (ω)]]/(2/3)</f>
        <v>#N/A</v>
      </c>
      <c r="N20" s="499" t="e">
        <f t="shared" si="1"/>
        <v>#N/A</v>
      </c>
      <c r="O20" s="499" t="e">
        <f>Vortex_Map[[#This Row],[Micro V-Mean (Avg of 9 KPIs)]]/Vortex_Map[[#This Row],[Micro Vortex (ω)]]</f>
        <v>#N/A</v>
      </c>
      <c r="P20" s="497" t="str">
        <f>_xlfn.XLOOKUP(Vortex_Map[[#This Row],[Face_1_ID]],DODECA_ENGINE!$A$2:$A$13,DODECA_ENGINE!$B$2:$B$13) &amp; " , " &amp; _xlfn.XLOOKUP(Vortex_Map[[#This Row],[Face_2_ID]],DODECA_ENGINE!$A$2:$A$13,DODECA_ENGINE!$B$2:$B$13) &amp; " , " &amp; _xlfn.XLOOKUP(Vortex_Map[[#This Row],[Face_3_ID]],DODECA_ENGINE!$A$2:$A$13,DODECA_ENGINE!$B$2:$B$13)</f>
        <v>Structural Capital , Market Resonance , Community &amp; Partners</v>
      </c>
      <c r="S20" s="472" t="s">
        <v>2008</v>
      </c>
      <c r="T20" s="473" t="s">
        <v>2067</v>
      </c>
      <c r="U20" s="474" t="str">
        <f t="shared" si="2"/>
        <v>E3-4</v>
      </c>
      <c r="V20" s="475">
        <f>_xlfn.XLOOKUP(U20,Edge_Tension_Map[Edge_ID],Edge_Tension_Map[Edge KPI Coherence])</f>
        <v>0.92080348645034904</v>
      </c>
      <c r="W20" s="476" t="str">
        <f t="shared" si="3"/>
        <v>E3-6</v>
      </c>
      <c r="X20" s="477">
        <f>_xlfn.XLOOKUP(W20,Edge_Tension_Map[Edge_ID],Edge_Tension_Map[Edge KPI Coherence])</f>
        <v>0.91869250379244549</v>
      </c>
      <c r="Y20" s="476" t="str">
        <f t="shared" si="4"/>
        <v>E4-6</v>
      </c>
      <c r="Z20" s="478">
        <f>_xlfn.XLOOKUP(Y20,Edge_Tension_Map[Edge_ID],Edge_Tension_Map[Edge KPI Coherence])</f>
        <v>0.99788901734209645</v>
      </c>
      <c r="AA20" s="476" t="s">
        <v>2099</v>
      </c>
      <c r="AB20" s="479" cm="1">
        <f t="array" ref="AB20">_xlfn.LET(
    _xlpm.cell_value, AA20,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C20" s="476" t="s">
        <v>2092</v>
      </c>
      <c r="AD20" s="480" cm="1">
        <f t="array" ref="AD20">_xlfn.LET(
    _xlpm.cell_value, AC20,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E20" s="476" t="s">
        <v>2112</v>
      </c>
      <c r="AF20" s="480" cm="1">
        <f t="array" ref="AF20">_xlfn.LET(
    _xlpm.cell_value, AE20,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G20" s="476" t="s">
        <v>2125</v>
      </c>
      <c r="AH20" s="480" cm="1">
        <f t="array" ref="AH20">_xlfn.LET(
    _xlpm.cell_value, AG20,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v>
      </c>
      <c r="AI20" s="476" t="s">
        <v>2116</v>
      </c>
      <c r="AJ20" s="480" cm="1">
        <f t="array" ref="AJ20">_xlfn.LET(
    _xlpm.cell_value, AI20,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0.66666666666666663</v>
      </c>
      <c r="AK20" s="481" t="s">
        <v>2073</v>
      </c>
      <c r="AL20" s="480" cm="1">
        <f t="array" ref="AL20">_xlfn.LET(
    _xlpm.cell_value, AK20,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0.5</v>
      </c>
      <c r="AM20" s="482">
        <f>AVERAGE(VORTEX_MAP!$AL20,VORTEX_MAP!$AJ20,VORTEX_MAP!$AH20,VORTEX_MAP!$AF20,VORTEX_MAP!$AD20,VORTEX_MAP!$AB20,VORTEX_MAP!$Z20,VORTEX_MAP!$X20,VORTEX_MAP!$V20)</f>
        <v>0.77822796380572845</v>
      </c>
      <c r="AN20">
        <f t="shared" si="6"/>
        <v>0.32168877984734723</v>
      </c>
    </row>
    <row r="21" spans="1:40">
      <c r="A21" s="431" t="s">
        <v>1998</v>
      </c>
      <c r="B21" s="236" t="str" cm="1">
        <f t="array" ref="B21">IFERROR("Face " &amp; _xlfn.LET(
_xlpm.Vertex, $A21,
_xlpm.Table1, $S$2:$T$11,
_xlpm.Table2, $S$12:$T$21,
_xlpm.FaceString, IFERROR(VLOOKUP(_xlpm.Vertex, _xlpm.Table1, 2, FALSE), VLOOKUP(_xlpm.Vertex, _xlpm.Table2, 2, FALSE)),
_xlpm.FaceArray, _xlfn.TEXTSPLIT(_xlpm.FaceString, ", "),
INDEX(_xlpm.FaceArray, COLUMN(A20))
), "")</f>
        <v>Face 1</v>
      </c>
      <c r="C21" s="236" t="str" cm="1">
        <f t="array" ref="C21">IFERROR("Face " &amp; _xlfn.LET(
_xlpm.Vertex, $A21,
_xlpm.Table1, $S$2:$T$11,
_xlpm.Table2, $S$12:$T$21,
_xlpm.FaceString, IFERROR(VLOOKUP(_xlpm.Vertex, _xlpm.Table1, 2, FALSE), VLOOKUP(_xlpm.Vertex, _xlpm.Table2, 2, FALSE)),
_xlpm.FaceArray, _xlfn.TEXTSPLIT(_xlpm.FaceString, ", "),
INDEX(_xlpm.FaceArray, COLUMN(B20))
), "")</f>
        <v>Face 5</v>
      </c>
      <c r="D21" s="236" t="str" cm="1">
        <f t="array" ref="D21">IFERROR("Face " &amp; _xlfn.LET(
_xlpm.Vertex, $A21,
_xlpm.Table1, $S$2:$T$11,
_xlpm.Table2, $S$12:$T$21,
_xlpm.FaceString, IFERROR(VLOOKUP(_xlpm.Vertex, _xlpm.Table1, 2, FALSE), VLOOKUP(_xlpm.Vertex, _xlpm.Table2, 2, FALSE)),
_xlpm.FaceArray, _xlfn.TEXTSPLIT(_xlpm.FaceString, ", "),
INDEX(_xlpm.FaceArray, COLUMN(C20))
), "")</f>
        <v>Face 8</v>
      </c>
      <c r="E21" s="434">
        <f>VLOOKUP(B21, DODECA_ENGINE!$A$2:$K$13, 11, FALSE)</f>
        <v>0.23961225216342069</v>
      </c>
      <c r="F21" s="434">
        <f>VLOOKUP(C21, DODECA_ENGINE!$A$2:$K$13, 11, FALSE)</f>
        <v>4.6253795033477547E-2</v>
      </c>
      <c r="G21" s="434">
        <f>VLOOKUP(D21, DODECA_ENGINE!$A$2:$K$13, 11, FALSE)</f>
        <v>0.22089121833354255</v>
      </c>
      <c r="H21" s="493">
        <f t="shared" si="0"/>
        <v>0.16891908851014692</v>
      </c>
      <c r="I21" s="501">
        <f t="shared" si="5"/>
        <v>0.12890563808662878</v>
      </c>
      <c r="J21" s="498">
        <f>Vortex_Map[[#This Row],[Macro Vortex Strength(ω)]]/(2/3)</f>
        <v>0.19335845712994318</v>
      </c>
      <c r="K21" s="502" t="e">
        <f>_xlfn.XLOOKUP(Vortex_Map[[#This Row],[Vertex_ID]],$S$2:$S$21,$AM$2:$AM$21)</f>
        <v>#N/A</v>
      </c>
      <c r="L21" s="502" t="e">
        <f>_xlfn.XLOOKUP(Vortex_Map[[#This Row],[Vertex_ID]],$S$2:$S$21,$AN$2:$AN$21)</f>
        <v>#N/A</v>
      </c>
      <c r="M21" s="500" t="e">
        <f>Vortex_Map[[#This Row],[Micro Vortex (ω)]]/(2/3)</f>
        <v>#N/A</v>
      </c>
      <c r="N21" s="499" t="e">
        <f t="shared" si="1"/>
        <v>#N/A</v>
      </c>
      <c r="O21" s="499" t="e">
        <f>Vortex_Map[[#This Row],[Micro V-Mean (Avg of 9 KPIs)]]/Vortex_Map[[#This Row],[Micro Vortex (ω)]]</f>
        <v>#N/A</v>
      </c>
      <c r="P21" s="497" t="str">
        <f>_xlfn.XLOOKUP(Vortex_Map[[#This Row],[Face_1_ID]],DODECA_ENGINE!$A$2:$A$13,DODECA_ENGINE!$B$2:$B$13) &amp; " , " &amp; _xlfn.XLOOKUP(Vortex_Map[[#This Row],[Face_2_ID]],DODECA_ENGINE!$A$2:$A$13,DODECA_ENGINE!$B$2:$B$13) &amp; " , " &amp; _xlfn.XLOOKUP(Vortex_Map[[#This Row],[Face_3_ID]],DODECA_ENGINE!$A$2:$A$13,DODECA_ENGINE!$B$2:$B$13)</f>
        <v>Financial Capital , Market Resonance , Core Operations</v>
      </c>
      <c r="S21" s="484" t="s">
        <v>2009</v>
      </c>
      <c r="T21" s="485" t="s">
        <v>2066</v>
      </c>
      <c r="U21" s="486" t="str">
        <f t="shared" si="2"/>
        <v>E1-9</v>
      </c>
      <c r="V21" s="487" t="e">
        <f>_xlfn.XLOOKUP(U21,Edge_Tension_Map[Edge_ID],Edge_Tension_Map[Edge KPI Coherence])</f>
        <v>#N/A</v>
      </c>
      <c r="W21" s="488" t="str">
        <f t="shared" si="3"/>
        <v>E1-2</v>
      </c>
      <c r="X21" s="489">
        <f>_xlfn.XLOOKUP(W21,Edge_Tension_Map[Edge_ID],Edge_Tension_Map[Edge KPI Coherence])</f>
        <v>0.83874853246322001</v>
      </c>
      <c r="Y21" s="488" t="str">
        <f t="shared" si="4"/>
        <v>E2-9</v>
      </c>
      <c r="Z21" s="490" t="e">
        <f>_xlfn.XLOOKUP(Y21,Edge_Tension_Map[Edge_ID],Edge_Tension_Map[Edge KPI Coherence])</f>
        <v>#N/A</v>
      </c>
      <c r="AA21" s="488" t="s">
        <v>2079</v>
      </c>
      <c r="AB21" s="479" cm="1">
        <f t="array" ref="AB21">_xlfn.LET(
    _xlpm.cell_value, AA21,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0.42857142857142855</v>
      </c>
      <c r="AC21" s="488" t="s">
        <v>2068</v>
      </c>
      <c r="AD21" s="480" cm="1">
        <f t="array" ref="AD21">_xlfn.LET(
    _xlpm.cell_value, AC21,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0.4</v>
      </c>
      <c r="AE21" s="488" t="s">
        <v>2083</v>
      </c>
      <c r="AF21" s="480" cm="1">
        <f t="array" ref="AF21">_xlfn.LET(
    _xlpm.cell_value, AE21,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G21" s="488" t="s">
        <v>2086</v>
      </c>
      <c r="AH21" s="480" cm="1">
        <f t="array" ref="AH21">_xlfn.LET(
    _xlpm.cell_value, AG21,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0.1</v>
      </c>
      <c r="AI21" s="488" t="s">
        <v>2084</v>
      </c>
      <c r="AJ21" s="480" cm="1">
        <f t="array" ref="AJ21">_xlfn.LET(
    _xlpm.cell_value, AI21,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1</v>
      </c>
      <c r="AK21" s="491" t="s">
        <v>2085</v>
      </c>
      <c r="AL21" s="480" cm="1">
        <f t="array" ref="AL21">_xlfn.LET(
    _xlpm.cell_value, AK21,
    _xlpm.delimiter_pos, FIND("-", _xlpm.cell_value),
    _xlpm.lookup_id, LEFT(_xlpm.cell_value, _xlpm.delimiter_pos - 1),
    _xlpm.lookup_element, RIGHT(_xlpm.cell_value, LEN(_xlpm.cell_value) - _xlpm.delimiter_pos),
    _xlpm.id_range, REFRENCE_MODELS!$A$13:$A$73,
    _xlpm.element_range, REFRENCE_MODELS!$C$13:$C$73,
    _xlpm.return_range, REFRENCE_MODELS!$M$13:$M$73,
    _xlfn.XLOOKUP(
        1,
        (ISNUMBER(SEARCH(_xlpm.lookup_id, _xlpm.id_range))) * (ISNUMBER(SEARCH(_xlpm.lookup_element, _xlpm.element_range))),
        _xlpm.return_range,
        "Not Found"
    )
)</f>
        <v>0.5</v>
      </c>
      <c r="AM21" s="492" t="e">
        <f>AVERAGE(VORTEX_MAP!$AL21,VORTEX_MAP!$AJ21,VORTEX_MAP!$AH21,VORTEX_MAP!$AF21,VORTEX_MAP!$AD21,VORTEX_MAP!$AB21,VORTEX_MAP!$Z21,VORTEX_MAP!$X21,VORTEX_MAP!$V21)</f>
        <v>#N/A</v>
      </c>
      <c r="AN21" t="e">
        <f t="shared" si="6"/>
        <v>#N/A</v>
      </c>
    </row>
    <row r="23" spans="1:40">
      <c r="A23" s="432" t="s">
        <v>2028</v>
      </c>
    </row>
    <row r="24" spans="1:40">
      <c r="A24" s="142"/>
      <c r="U24" s="221" t="s">
        <v>2095</v>
      </c>
    </row>
    <row r="25" spans="1:40">
      <c r="A25" s="143" t="s">
        <v>2029</v>
      </c>
      <c r="U25" s="222"/>
    </row>
    <row r="26" spans="1:40">
      <c r="A26" s="143" t="s">
        <v>2030</v>
      </c>
      <c r="U26" s="224" t="s">
        <v>2096</v>
      </c>
    </row>
    <row r="27" spans="1:40">
      <c r="A27" s="143" t="s">
        <v>2031</v>
      </c>
      <c r="U27" s="224" t="s">
        <v>2097</v>
      </c>
    </row>
    <row r="28" spans="1:40">
      <c r="U28" s="16"/>
    </row>
    <row r="29" spans="1:40">
      <c r="A29" s="244" t="s">
        <v>2035</v>
      </c>
      <c r="U29" s="221" t="s">
        <v>2098</v>
      </c>
    </row>
    <row r="30" spans="1:40">
      <c r="A30" s="222"/>
    </row>
    <row r="31" spans="1:40">
      <c r="A31" s="223" t="s">
        <v>2032</v>
      </c>
    </row>
    <row r="32" spans="1:40">
      <c r="A32" s="223" t="s">
        <v>2033</v>
      </c>
    </row>
    <row r="33" spans="1:1">
      <c r="A33" s="223" t="s">
        <v>2034</v>
      </c>
    </row>
    <row r="37" spans="1:1">
      <c r="A37" s="71" t="s">
        <v>2037</v>
      </c>
    </row>
    <row r="38" spans="1:1">
      <c r="A38" s="142"/>
    </row>
    <row r="39" spans="1:1">
      <c r="A39" s="143" t="s">
        <v>2038</v>
      </c>
    </row>
    <row r="40" spans="1:1">
      <c r="A40" s="143" t="s">
        <v>2039</v>
      </c>
    </row>
    <row r="41" spans="1:1">
      <c r="A41" s="143"/>
    </row>
    <row r="42" spans="1:1">
      <c r="A42" s="71" t="s">
        <v>2040</v>
      </c>
    </row>
    <row r="43" spans="1:1">
      <c r="A43" s="142"/>
    </row>
    <row r="44" spans="1:1">
      <c r="A44" s="143" t="s">
        <v>2041</v>
      </c>
    </row>
    <row r="45" spans="1:1">
      <c r="A45" s="143" t="s">
        <v>2042</v>
      </c>
    </row>
  </sheetData>
  <phoneticPr fontId="14" type="noConversion"/>
  <conditionalFormatting sqref="H2:H21">
    <cfRule type="colorScale" priority="5">
      <colorScale>
        <cfvo type="min"/>
        <cfvo type="max"/>
        <color theme="3" tint="9.9978637043366805E-2"/>
        <color rgb="FFFF0000"/>
      </colorScale>
    </cfRule>
  </conditionalFormatting>
  <conditionalFormatting sqref="I2:I21">
    <cfRule type="colorScale" priority="4">
      <colorScale>
        <cfvo type="min"/>
        <cfvo type="max"/>
        <color rgb="FFFCFCFF"/>
        <color rgb="FFF8696B"/>
      </colorScale>
    </cfRule>
  </conditionalFormatting>
  <conditionalFormatting sqref="K2:K21">
    <cfRule type="colorScale" priority="3">
      <colorScale>
        <cfvo type="min"/>
        <cfvo type="max"/>
        <color rgb="FFFCFCFF"/>
        <color rgb="FF63BE7B"/>
      </colorScale>
    </cfRule>
  </conditionalFormatting>
  <conditionalFormatting sqref="L2:L21">
    <cfRule type="colorScale" priority="2">
      <colorScale>
        <cfvo type="min"/>
        <cfvo type="max"/>
        <color rgb="FFFCFCFF"/>
        <color rgb="FFF8696B"/>
      </colorScale>
    </cfRule>
  </conditionalFormatting>
  <conditionalFormatting sqref="N2:N21">
    <cfRule type="colorScale" priority="1">
      <colorScale>
        <cfvo type="min"/>
        <cfvo type="max"/>
        <color theme="8" tint="0.79998168889431442"/>
        <color theme="8" tint="-0.499984740745262"/>
      </colorScale>
    </cfRule>
  </conditionalFormatting>
  <pageMargins left="0.7" right="0.7" top="0.75" bottom="0.75" header="0.3" footer="0.3"/>
  <legacy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F1B8C-3947-4236-B170-D7EF136F6A10}">
  <dimension ref="A1:O38"/>
  <sheetViews>
    <sheetView tabSelected="1" zoomScale="85" zoomScaleNormal="74" workbookViewId="0">
      <selection activeCell="D28" sqref="D28"/>
    </sheetView>
  </sheetViews>
  <sheetFormatPr defaultRowHeight="14.4"/>
  <cols>
    <col min="1" max="1" width="11.44140625" bestFit="1" customWidth="1"/>
    <col min="2" max="2" width="13.21875" style="5" customWidth="1"/>
    <col min="3" max="3" width="13.109375" style="5" bestFit="1" customWidth="1"/>
    <col min="4" max="4" width="39.21875" bestFit="1" customWidth="1"/>
    <col min="5" max="5" width="21.21875" style="58" customWidth="1"/>
    <col min="6" max="6" width="22.5546875" style="19" bestFit="1" customWidth="1"/>
    <col min="7" max="7" width="16.109375" bestFit="1" customWidth="1"/>
    <col min="8" max="8" width="14.77734375" bestFit="1" customWidth="1"/>
    <col min="9" max="9" width="14.77734375" customWidth="1"/>
    <col min="10" max="10" width="30.77734375" style="5" bestFit="1" customWidth="1"/>
    <col min="11" max="12" width="30.77734375" style="5" customWidth="1"/>
    <col min="13" max="13" width="17.6640625" bestFit="1" customWidth="1"/>
    <col min="14" max="14" width="20.88671875" bestFit="1" customWidth="1"/>
    <col min="15" max="15" width="69.109375" bestFit="1" customWidth="1"/>
  </cols>
  <sheetData>
    <row r="1" spans="1:15" ht="24">
      <c r="A1" s="36" t="s">
        <v>138</v>
      </c>
      <c r="B1" s="36" t="s">
        <v>139</v>
      </c>
      <c r="C1" s="36" t="s">
        <v>140</v>
      </c>
      <c r="D1" s="36" t="s">
        <v>204</v>
      </c>
      <c r="E1" s="36" t="s">
        <v>205</v>
      </c>
      <c r="F1" s="59" t="s">
        <v>206</v>
      </c>
      <c r="G1" s="36" t="s">
        <v>175</v>
      </c>
      <c r="H1" s="36" t="s">
        <v>210</v>
      </c>
      <c r="I1" s="36" t="s">
        <v>213</v>
      </c>
      <c r="J1" s="91" t="s">
        <v>211</v>
      </c>
      <c r="K1" s="91" t="s">
        <v>305</v>
      </c>
      <c r="L1" s="91" t="s">
        <v>308</v>
      </c>
      <c r="M1" s="91" t="s">
        <v>212</v>
      </c>
      <c r="N1" s="36" t="s">
        <v>1948</v>
      </c>
      <c r="O1" s="36" t="s">
        <v>1949</v>
      </c>
    </row>
    <row r="2" spans="1:15">
      <c r="A2" s="62" t="s">
        <v>2310</v>
      </c>
      <c r="B2" s="63" t="s">
        <v>107</v>
      </c>
      <c r="C2" s="63" t="s">
        <v>111</v>
      </c>
      <c r="D2" s="120" t="str">
        <f>_xlfn.XLOOKUP(B2, DODECA_ENGINE!A:A, DODECA_ENGINE!B:B) &amp; " ↔ " &amp; _xlfn.XLOOKUP(C2, DODECA_ENGINE!A:A, DODECA_ENGINE!B:B)</f>
        <v>Market Resonance ↔ Regenerative Flow</v>
      </c>
      <c r="E2" s="201">
        <f>_xlfn.XLOOKUP(Edge_Tension_Map[[#This Row],[Face_A_ID]],DODECA_ENGINE!$A$2:$A$13,E_Vector)</f>
        <v>4.6253795033477547E-2</v>
      </c>
      <c r="F2" s="202">
        <f>_xlfn.XLOOKUP(Edge_Tension_Map[[#This Row],[Face_B_ID]],DODECA_ENGINE!$A$2:$A$13,E_Vector)</f>
        <v>0.43834355530707869</v>
      </c>
      <c r="G2" s="203">
        <f>ABS(E2-F2)</f>
        <v>0.39208976027360115</v>
      </c>
      <c r="H2" s="64">
        <f>IF(F2&gt;0, E2/F2, 1000)</f>
        <v>0.10551950513125431</v>
      </c>
      <c r="I2" s="96">
        <f>1-Edge_Tension_Map[[#This Row],[Edge_tension]]</f>
        <v>0.6079102397263989</v>
      </c>
      <c r="J2" s="150" t="s">
        <v>303</v>
      </c>
      <c r="K2" s="152" t="s">
        <v>314</v>
      </c>
      <c r="L2" s="152" t="s">
        <v>313</v>
      </c>
      <c r="M2" s="151">
        <v>0</v>
      </c>
      <c r="N2" s="430" t="s">
        <v>588</v>
      </c>
      <c r="O2" s="430" t="s">
        <v>1972</v>
      </c>
    </row>
    <row r="3" spans="1:15">
      <c r="A3" s="65" t="s">
        <v>201</v>
      </c>
      <c r="B3" s="61" t="s">
        <v>107</v>
      </c>
      <c r="C3" s="61" t="s">
        <v>110</v>
      </c>
      <c r="D3" s="60" t="str">
        <f>_xlfn.XLOOKUP(B3, DODECA_ENGINE!A:A, DODECA_ENGINE!B:B) &amp; " ↔ " &amp; _xlfn.XLOOKUP(C3, DODECA_ENGINE!A:A, DODECA_ENGINE!B:B)</f>
        <v>Market Resonance ↔ Core Operations</v>
      </c>
      <c r="E3" s="201">
        <f>_xlfn.XLOOKUP(Edge_Tension_Map[[#This Row],[Face_A_ID]],DODECA_ENGINE!$A$2:$A$13,E_Vector)</f>
        <v>4.6253795033477547E-2</v>
      </c>
      <c r="F3" s="204">
        <f>_xlfn.XLOOKUP(Edge_Tension_Map[[#This Row],[Face_B_ID]],DODECA_ENGINE!$A$2:$A$13,E_Vector)</f>
        <v>0.22089121833354255</v>
      </c>
      <c r="G3" s="205">
        <f>ABS(E3-F3)</f>
        <v>0.17463742330006501</v>
      </c>
      <c r="H3" s="66">
        <f>IF(F3&gt;0, E3/F3, 1000)</f>
        <v>0.2093962602154468</v>
      </c>
      <c r="I3" s="96">
        <f>1-Edge_Tension_Map[[#This Row],[Edge_tension]]</f>
        <v>0.82536257669993496</v>
      </c>
      <c r="J3" s="150" t="s">
        <v>310</v>
      </c>
      <c r="K3" s="152" t="s">
        <v>309</v>
      </c>
      <c r="L3" s="153" t="s">
        <v>311</v>
      </c>
      <c r="M3" s="151">
        <v>0</v>
      </c>
      <c r="N3" s="430" t="s">
        <v>1952</v>
      </c>
      <c r="O3" s="430" t="s">
        <v>1970</v>
      </c>
    </row>
    <row r="4" spans="1:15">
      <c r="A4" s="65" t="s">
        <v>200</v>
      </c>
      <c r="B4" s="61" t="s">
        <v>107</v>
      </c>
      <c r="C4" s="61" t="s">
        <v>109</v>
      </c>
      <c r="D4" s="60" t="str">
        <f>_xlfn.XLOOKUP(B4, DODECA_ENGINE!A:A, DODECA_ENGINE!B:B) &amp; " ↔ " &amp; _xlfn.XLOOKUP(C4, DODECA_ENGINE!A:A, DODECA_ENGINE!B:B)</f>
        <v>Market Resonance ↔ Brand &amp; Reputation</v>
      </c>
      <c r="E4" s="201">
        <f>_xlfn.XLOOKUP(Edge_Tension_Map[[#This Row],[Face_A_ID]],DODECA_ENGINE!$A$2:$A$13,E_Vector)</f>
        <v>4.6253795033477547E-2</v>
      </c>
      <c r="F4" s="204">
        <f>_xlfn.XLOOKUP(Edge_Tension_Map[[#This Row],[Face_B_ID]],DODECA_ENGINE!$A$2:$A$13,E_Vector)</f>
        <v>0.2081301969966585</v>
      </c>
      <c r="G4" s="205">
        <f>ABS(E4-F4)</f>
        <v>0.16187640196318095</v>
      </c>
      <c r="H4" s="66">
        <f>IF(F4&gt;0, E4/F4, 1000)</f>
        <v>0.22223490728844189</v>
      </c>
      <c r="I4" s="96">
        <f>1-Edge_Tension_Map[[#This Row],[Edge_tension]]</f>
        <v>0.83812359803681902</v>
      </c>
      <c r="J4" s="150" t="s">
        <v>373</v>
      </c>
      <c r="K4" s="152" t="s">
        <v>374</v>
      </c>
      <c r="L4" s="152" t="s">
        <v>375</v>
      </c>
      <c r="M4" s="151">
        <v>0</v>
      </c>
      <c r="N4" s="430" t="s">
        <v>589</v>
      </c>
      <c r="O4" s="430" t="s">
        <v>1971</v>
      </c>
    </row>
    <row r="5" spans="1:15">
      <c r="A5" s="65" t="s">
        <v>2312</v>
      </c>
      <c r="B5" s="61" t="s">
        <v>107</v>
      </c>
      <c r="C5" s="61" t="s">
        <v>114</v>
      </c>
      <c r="D5" s="60" t="str">
        <f>_xlfn.XLOOKUP(B5, DODECA_ENGINE!A:A, DODECA_ENGINE!B:B) &amp; " ↔ " &amp; _xlfn.XLOOKUP(C5, DODECA_ENGINE!A:A, DODECA_ENGINE!B:B)</f>
        <v>Market Resonance ↔ Risk &amp; Resilience</v>
      </c>
      <c r="E5" s="201">
        <f>_xlfn.XLOOKUP(Edge_Tension_Map[[#This Row],[Face_A_ID]],DODECA_ENGINE!$A$2:$A$13,E_Vector)</f>
        <v>4.6253795033477547E-2</v>
      </c>
      <c r="F5" s="204">
        <f>_xlfn.XLOOKUP(Edge_Tension_Map[[#This Row],[Face_B_ID]],DODECA_ENGINE!$A$2:$A$13,E_Vector)</f>
        <v>0.19632633030875329</v>
      </c>
      <c r="G5" s="205">
        <f>ABS(E5-F5)</f>
        <v>0.15007253527527575</v>
      </c>
      <c r="H5" s="66">
        <f>IF(F5&gt;0, E5/F5, 1000)</f>
        <v>0.23559649365796403</v>
      </c>
      <c r="I5" s="96">
        <f>1-Edge_Tension_Map[[#This Row],[Edge_tension]]</f>
        <v>0.84992746472472425</v>
      </c>
      <c r="J5" s="150" t="s">
        <v>321</v>
      </c>
      <c r="K5" s="152" t="s">
        <v>322</v>
      </c>
      <c r="L5" s="153" t="s">
        <v>323</v>
      </c>
      <c r="M5" s="151">
        <v>0</v>
      </c>
      <c r="N5" s="430" t="s">
        <v>588</v>
      </c>
      <c r="O5" s="430" t="s">
        <v>1973</v>
      </c>
    </row>
    <row r="6" spans="1:15">
      <c r="A6" s="65" t="s">
        <v>2308</v>
      </c>
      <c r="B6" s="61" t="s">
        <v>105</v>
      </c>
      <c r="C6" s="61" t="s">
        <v>111</v>
      </c>
      <c r="D6" s="60" t="str">
        <f>_xlfn.XLOOKUP(B6, DODECA_ENGINE!A:A, DODECA_ENGINE!B:B) &amp; " ↔ " &amp; _xlfn.XLOOKUP(C6, DODECA_ENGINE!A:A, DODECA_ENGINE!B:B)</f>
        <v>Human Capital ↔ Regenerative Flow</v>
      </c>
      <c r="E6" s="201">
        <f>_xlfn.XLOOKUP(Edge_Tension_Map[[#This Row],[Face_A_ID]],DODECA_ENGINE!$A$2:$A$13,E_Vector)</f>
        <v>0.16559188153585278</v>
      </c>
      <c r="F6" s="204">
        <f>_xlfn.XLOOKUP(Edge_Tension_Map[[#This Row],[Face_B_ID]],DODECA_ENGINE!$A$2:$A$13,E_Vector)</f>
        <v>0.43834355530707869</v>
      </c>
      <c r="G6" s="205">
        <f>ABS(E6-F6)</f>
        <v>0.27275167377122589</v>
      </c>
      <c r="H6" s="66">
        <f>IF(F6&gt;0, E6/F6, 1000)</f>
        <v>0.37776734602576389</v>
      </c>
      <c r="I6" s="96">
        <f>1-Edge_Tension_Map[[#This Row],[Edge_tension]]</f>
        <v>0.72724832622877411</v>
      </c>
      <c r="J6" s="150" t="s">
        <v>350</v>
      </c>
      <c r="K6" s="152" t="s">
        <v>351</v>
      </c>
      <c r="L6" s="153" t="s">
        <v>352</v>
      </c>
      <c r="M6" s="151">
        <v>0</v>
      </c>
      <c r="N6" s="430" t="s">
        <v>589</v>
      </c>
      <c r="O6" s="430" t="s">
        <v>1958</v>
      </c>
    </row>
    <row r="7" spans="1:15">
      <c r="A7" s="65" t="s">
        <v>2313</v>
      </c>
      <c r="B7" s="61" t="s">
        <v>110</v>
      </c>
      <c r="C7" s="61" t="s">
        <v>112</v>
      </c>
      <c r="D7" s="60" t="str">
        <f>_xlfn.XLOOKUP(B7, DODECA_ENGINE!A:A, DODECA_ENGINE!B:B) &amp; " ↔ " &amp; _xlfn.XLOOKUP(C7, DODECA_ENGINE!A:A, DODECA_ENGINE!B:B)</f>
        <v>Core Operations ↔ Foundational Values</v>
      </c>
      <c r="E7" s="201">
        <f>_xlfn.XLOOKUP(Edge_Tension_Map[[#This Row],[Face_A_ID]],DODECA_ENGINE!$A$2:$A$13,E_Vector)</f>
        <v>0.22089121833354255</v>
      </c>
      <c r="F7" s="204">
        <f>_xlfn.XLOOKUP(Edge_Tension_Map[[#This Row],[Face_B_ID]],DODECA_ENGINE!$A$2:$A$13,E_Vector)</f>
        <v>0.41628415530129803</v>
      </c>
      <c r="G7" s="205">
        <f>ABS(E7-F7)</f>
        <v>0.19539293696775548</v>
      </c>
      <c r="H7" s="66">
        <f>IF(F7&gt;0, E7/F7, 1000)</f>
        <v>0.5306260531911573</v>
      </c>
      <c r="I7" s="96">
        <f>1-Edge_Tension_Map[[#This Row],[Edge_tension]]</f>
        <v>0.8046070630322445</v>
      </c>
      <c r="J7" s="150" t="s">
        <v>382</v>
      </c>
      <c r="K7" s="152" t="s">
        <v>383</v>
      </c>
      <c r="L7" s="153" t="s">
        <v>384</v>
      </c>
      <c r="M7" s="151">
        <v>0</v>
      </c>
      <c r="N7" s="430" t="s">
        <v>588</v>
      </c>
      <c r="O7" s="430" t="s">
        <v>1976</v>
      </c>
    </row>
    <row r="8" spans="1:15">
      <c r="A8" s="65" t="s">
        <v>2309</v>
      </c>
      <c r="B8" s="61" t="s">
        <v>106</v>
      </c>
      <c r="C8" s="61" t="s">
        <v>111</v>
      </c>
      <c r="D8" s="60" t="str">
        <f>_xlfn.XLOOKUP(B8, DODECA_ENGINE!A:A, DODECA_ENGINE!B:B) &amp; " ↔ " &amp; _xlfn.XLOOKUP(C8, DODECA_ENGINE!A:A, DODECA_ENGINE!B:B)</f>
        <v>Structural Capital ↔ Regenerative Flow</v>
      </c>
      <c r="E8" s="201">
        <f>_xlfn.XLOOKUP(Edge_Tension_Map[[#This Row],[Face_A_ID]],DODECA_ENGINE!$A$2:$A$13,E_Vector)</f>
        <v>0.24478839508550371</v>
      </c>
      <c r="F8" s="204">
        <f>_xlfn.XLOOKUP(Edge_Tension_Map[[#This Row],[Face_B_ID]],DODECA_ENGINE!$A$2:$A$13,E_Vector)</f>
        <v>0.43834355530707869</v>
      </c>
      <c r="G8" s="205">
        <f>ABS(E8-F8)</f>
        <v>0.19355516022157498</v>
      </c>
      <c r="H8" s="66">
        <f>IF(F8&gt;0, E8/F8, 1000)</f>
        <v>0.55843958949965355</v>
      </c>
      <c r="I8" s="96">
        <f>1-Edge_Tension_Map[[#This Row],[Edge_tension]]</f>
        <v>0.80644483977842496</v>
      </c>
      <c r="J8" s="150" t="s">
        <v>333</v>
      </c>
      <c r="K8" s="152" t="s">
        <v>334</v>
      </c>
      <c r="L8" s="153" t="s">
        <v>335</v>
      </c>
      <c r="M8" s="151">
        <v>0</v>
      </c>
      <c r="N8" s="430" t="s">
        <v>1952</v>
      </c>
      <c r="O8" s="430" t="s">
        <v>1967</v>
      </c>
    </row>
    <row r="9" spans="1:15">
      <c r="A9" s="65" t="s">
        <v>2306</v>
      </c>
      <c r="B9" s="61" t="s">
        <v>103</v>
      </c>
      <c r="C9" s="61" t="s">
        <v>112</v>
      </c>
      <c r="D9" s="60" t="str">
        <f>_xlfn.XLOOKUP(B9, DODECA_ENGINE!A:A, DODECA_ENGINE!B:B) &amp; " ↔ " &amp; _xlfn.XLOOKUP(C9, DODECA_ENGINE!A:A, DODECA_ENGINE!B:B)</f>
        <v>Financial Capital ↔ Foundational Values</v>
      </c>
      <c r="E9" s="201">
        <f>_xlfn.XLOOKUP(Edge_Tension_Map[[#This Row],[Face_A_ID]],DODECA_ENGINE!$A$2:$A$13,E_Vector)</f>
        <v>0.23961225216342069</v>
      </c>
      <c r="F9" s="204">
        <f>_xlfn.XLOOKUP(Edge_Tension_Map[[#This Row],[Face_B_ID]],DODECA_ENGINE!$A$2:$A$13,E_Vector)</f>
        <v>0.41628415530129803</v>
      </c>
      <c r="G9" s="205">
        <f>ABS(E9-F9)</f>
        <v>0.17667190313787734</v>
      </c>
      <c r="H9" s="66">
        <f>IF(F9&gt;0, E9/F9, 1000)</f>
        <v>0.57559781969120161</v>
      </c>
      <c r="I9" s="96">
        <f>1-Edge_Tension_Map[[#This Row],[Edge_tension]]</f>
        <v>0.8233280968621226</v>
      </c>
      <c r="J9" s="150" t="s">
        <v>315</v>
      </c>
      <c r="K9" s="152" t="s">
        <v>316</v>
      </c>
      <c r="L9" s="153" t="s">
        <v>317</v>
      </c>
      <c r="M9" s="151">
        <v>0</v>
      </c>
      <c r="N9" s="430" t="s">
        <v>589</v>
      </c>
      <c r="O9" s="430" t="s">
        <v>1957</v>
      </c>
    </row>
    <row r="10" spans="1:15">
      <c r="A10" s="65" t="s">
        <v>141</v>
      </c>
      <c r="B10" s="61" t="s">
        <v>103</v>
      </c>
      <c r="C10" s="61" t="s">
        <v>104</v>
      </c>
      <c r="D10" s="60" t="str">
        <f>_xlfn.XLOOKUP(B10, DODECA_ENGINE!A:A, DODECA_ENGINE!B:B) &amp; " ↔ " &amp; _xlfn.XLOOKUP(C10, DODECA_ENGINE!A:A, DODECA_ENGINE!B:B)</f>
        <v>Financial Capital ↔ Intellectual Capital</v>
      </c>
      <c r="E10" s="201">
        <f>_xlfn.XLOOKUP(Edge_Tension_Map[[#This Row],[Face_A_ID]],DODECA_ENGINE!$A$2:$A$13,E_Vector)</f>
        <v>0.23961225216342069</v>
      </c>
      <c r="F10" s="204">
        <f>_xlfn.XLOOKUP(Edge_Tension_Map[[#This Row],[Face_B_ID]],DODECA_ENGINE!$A$2:$A$13,E_Vector)</f>
        <v>0.40086371970020074</v>
      </c>
      <c r="G10" s="205">
        <f>ABS(E10-F10)</f>
        <v>0.16125146753678005</v>
      </c>
      <c r="H10" s="66">
        <f>IF(F10&gt;0, E10/F10, 1000)</f>
        <v>0.59773993102349765</v>
      </c>
      <c r="I10" s="96">
        <f>1-Edge_Tension_Map[[#This Row],[Edge_tension]]</f>
        <v>0.83874853246322001</v>
      </c>
      <c r="J10" s="150" t="s">
        <v>363</v>
      </c>
      <c r="K10" s="152" t="s">
        <v>364</v>
      </c>
      <c r="L10" s="153" t="s">
        <v>352</v>
      </c>
      <c r="M10" s="151">
        <v>0</v>
      </c>
      <c r="N10" s="430" t="s">
        <v>1952</v>
      </c>
      <c r="O10" s="430" t="s">
        <v>1953</v>
      </c>
    </row>
    <row r="11" spans="1:15">
      <c r="A11" s="65" t="s">
        <v>203</v>
      </c>
      <c r="B11" s="61" t="s">
        <v>113</v>
      </c>
      <c r="C11" s="61" t="s">
        <v>114</v>
      </c>
      <c r="D11" s="60" t="str">
        <f>_xlfn.XLOOKUP(B11, DODECA_ENGINE!A:A, DODECA_ENGINE!B:B) &amp; " ↔ " &amp; _xlfn.XLOOKUP(C11, DODECA_ENGINE!A:A, DODECA_ENGINE!B:B)</f>
        <v>Funding Pipeline ↔ Risk &amp; Resilience</v>
      </c>
      <c r="E11" s="201">
        <f>_xlfn.XLOOKUP(Edge_Tension_Map[[#This Row],[Face_A_ID]],DODECA_ENGINE!$A$2:$A$13,E_Vector)</f>
        <v>0.12343511244618152</v>
      </c>
      <c r="F11" s="204">
        <f>_xlfn.XLOOKUP(Edge_Tension_Map[[#This Row],[Face_B_ID]],DODECA_ENGINE!$A$2:$A$13,E_Vector)</f>
        <v>0.19632633030875329</v>
      </c>
      <c r="G11" s="205">
        <f>ABS(E11-F11)</f>
        <v>7.2891217862571772E-2</v>
      </c>
      <c r="H11" s="66">
        <f>IF(F11&gt;0, E11/F11, 1000)</f>
        <v>0.62872418718396483</v>
      </c>
      <c r="I11" s="96">
        <f>1-Edge_Tension_Map[[#This Row],[Edge_tension]]</f>
        <v>0.9271087821374282</v>
      </c>
      <c r="J11" s="150" t="s">
        <v>347</v>
      </c>
      <c r="K11" s="152" t="s">
        <v>348</v>
      </c>
      <c r="L11" s="153" t="s">
        <v>349</v>
      </c>
      <c r="M11" s="151">
        <v>0</v>
      </c>
      <c r="N11" s="430" t="s">
        <v>588</v>
      </c>
      <c r="O11" s="430" t="s">
        <v>1982</v>
      </c>
    </row>
    <row r="12" spans="1:15">
      <c r="A12" s="65" t="s">
        <v>195</v>
      </c>
      <c r="B12" s="61" t="s">
        <v>105</v>
      </c>
      <c r="C12" s="61" t="s">
        <v>108</v>
      </c>
      <c r="D12" s="60" t="str">
        <f>_xlfn.XLOOKUP(B12, DODECA_ENGINE!A:A, DODECA_ENGINE!B:B) &amp; " ↔ " &amp; _xlfn.XLOOKUP(C12, DODECA_ENGINE!A:A, DODECA_ENGINE!B:B)</f>
        <v>Human Capital ↔ Community &amp; Partners</v>
      </c>
      <c r="E12" s="201">
        <f>_xlfn.XLOOKUP(Edge_Tension_Map[[#This Row],[Face_A_ID]],DODECA_ENGINE!$A$2:$A$13,E_Vector)</f>
        <v>0.16559188153585278</v>
      </c>
      <c r="F12" s="204">
        <f>_xlfn.XLOOKUP(Edge_Tension_Map[[#This Row],[Face_B_ID]],DODECA_ENGINE!$A$2:$A$13,E_Vector)</f>
        <v>0.24689937774340731</v>
      </c>
      <c r="G12" s="205">
        <f>ABS(E12-F12)</f>
        <v>8.1307496207554536E-2</v>
      </c>
      <c r="H12" s="66">
        <f>IF(F12&gt;0, E12/F12, 1000)</f>
        <v>0.67068569815492129</v>
      </c>
      <c r="I12" s="96">
        <f>1-Edge_Tension_Map[[#This Row],[Edge_tension]]</f>
        <v>0.91869250379244549</v>
      </c>
      <c r="J12" s="150" t="s">
        <v>368</v>
      </c>
      <c r="K12" s="152" t="s">
        <v>369</v>
      </c>
      <c r="L12" s="152" t="s">
        <v>370</v>
      </c>
      <c r="M12" s="151">
        <v>0</v>
      </c>
      <c r="N12" s="430" t="s">
        <v>588</v>
      </c>
      <c r="O12" s="430" t="s">
        <v>1959</v>
      </c>
    </row>
    <row r="13" spans="1:15">
      <c r="A13" s="65" t="s">
        <v>194</v>
      </c>
      <c r="B13" s="61" t="s">
        <v>105</v>
      </c>
      <c r="C13" s="61" t="s">
        <v>106</v>
      </c>
      <c r="D13" s="60" t="str">
        <f>_xlfn.XLOOKUP(B13, DODECA_ENGINE!A:A, DODECA_ENGINE!B:B) &amp; " ↔ " &amp; _xlfn.XLOOKUP(C13, DODECA_ENGINE!A:A, DODECA_ENGINE!B:B)</f>
        <v>Human Capital ↔ Structural Capital</v>
      </c>
      <c r="E13" s="201">
        <f>_xlfn.XLOOKUP(Edge_Tension_Map[[#This Row],[Face_A_ID]],DODECA_ENGINE!$A$2:$A$13,E_Vector)</f>
        <v>0.16559188153585278</v>
      </c>
      <c r="F13" s="204">
        <f>_xlfn.XLOOKUP(Edge_Tension_Map[[#This Row],[Face_B_ID]],DODECA_ENGINE!$A$2:$A$13,E_Vector)</f>
        <v>0.24478839508550371</v>
      </c>
      <c r="G13" s="205">
        <f>ABS(E13-F13)</f>
        <v>7.9196513549650932E-2</v>
      </c>
      <c r="H13" s="66">
        <f>IF(F13&gt;0, E13/F13, 1000)</f>
        <v>0.67646949308202342</v>
      </c>
      <c r="I13" s="96">
        <f>1-Edge_Tension_Map[[#This Row],[Edge_tension]]</f>
        <v>0.92080348645034904</v>
      </c>
      <c r="J13" s="150" t="s">
        <v>312</v>
      </c>
      <c r="K13" s="152" t="s">
        <v>314</v>
      </c>
      <c r="L13" s="152" t="s">
        <v>313</v>
      </c>
      <c r="M13" s="151">
        <v>0</v>
      </c>
      <c r="N13" s="430" t="s">
        <v>1950</v>
      </c>
      <c r="O13" s="430" t="s">
        <v>1960</v>
      </c>
    </row>
    <row r="14" spans="1:15">
      <c r="A14" s="65" t="s">
        <v>177</v>
      </c>
      <c r="B14" s="61" t="s">
        <v>109</v>
      </c>
      <c r="C14" s="61" t="s">
        <v>110</v>
      </c>
      <c r="D14" s="60" t="str">
        <f>_xlfn.XLOOKUP(B14, DODECA_ENGINE!A:A, DODECA_ENGINE!B:B) &amp; " ↔ " &amp; _xlfn.XLOOKUP(C14, DODECA_ENGINE!A:A, DODECA_ENGINE!B:B)</f>
        <v>Brand &amp; Reputation ↔ Core Operations</v>
      </c>
      <c r="E14" s="201">
        <f>_xlfn.XLOOKUP(Edge_Tension_Map[[#This Row],[Face_A_ID]],DODECA_ENGINE!$A$2:$A$13,E_Vector)</f>
        <v>0.2081301969966585</v>
      </c>
      <c r="F14" s="204">
        <f>_xlfn.XLOOKUP(Edge_Tension_Map[[#This Row],[Face_B_ID]],DODECA_ENGINE!$A$2:$A$13,E_Vector)</f>
        <v>0.22089121833354255</v>
      </c>
      <c r="G14" s="205">
        <f>ABS(E14-F14)</f>
        <v>1.276102133688406E-2</v>
      </c>
      <c r="H14" s="66">
        <f>IF(F14&gt;0, E14/F14, 1000)</f>
        <v>0.94222938587981753</v>
      </c>
      <c r="I14" s="96">
        <f>1-Edge_Tension_Map[[#This Row],[Edge_tension]]</f>
        <v>0.98723897866311594</v>
      </c>
      <c r="J14" s="150" t="s">
        <v>385</v>
      </c>
      <c r="K14" s="152" t="s">
        <v>386</v>
      </c>
      <c r="L14" s="153" t="s">
        <v>387</v>
      </c>
      <c r="M14" s="151">
        <v>0</v>
      </c>
      <c r="N14" s="430" t="s">
        <v>1952</v>
      </c>
      <c r="O14" s="430" t="s">
        <v>1974</v>
      </c>
    </row>
    <row r="15" spans="1:15">
      <c r="A15" s="65" t="s">
        <v>193</v>
      </c>
      <c r="B15" s="61" t="s">
        <v>104</v>
      </c>
      <c r="C15" s="61" t="s">
        <v>112</v>
      </c>
      <c r="D15" s="60" t="str">
        <f>_xlfn.XLOOKUP(B15, DODECA_ENGINE!A:A, DODECA_ENGINE!B:B) &amp; " ↔ " &amp; _xlfn.XLOOKUP(C15, DODECA_ENGINE!A:A, DODECA_ENGINE!B:B)</f>
        <v>Intellectual Capital ↔ Foundational Values</v>
      </c>
      <c r="E15" s="201">
        <f>_xlfn.XLOOKUP(Edge_Tension_Map[[#This Row],[Face_A_ID]],DODECA_ENGINE!$A$2:$A$13,E_Vector)</f>
        <v>0.40086371970020074</v>
      </c>
      <c r="F15" s="204">
        <f>_xlfn.XLOOKUP(Edge_Tension_Map[[#This Row],[Face_B_ID]],DODECA_ENGINE!$A$2:$A$13,E_Vector)</f>
        <v>0.41628415530129803</v>
      </c>
      <c r="G15" s="205">
        <f>ABS(E15-F15)</f>
        <v>1.5420435601097293E-2</v>
      </c>
      <c r="H15" s="66">
        <f>IF(F15&gt;0, E15/F15, 1000)</f>
        <v>0.96295694802523457</v>
      </c>
      <c r="I15" s="96">
        <f>1-Edge_Tension_Map[[#This Row],[Edge_tension]]</f>
        <v>0.98457956439890271</v>
      </c>
      <c r="J15" s="150" t="s">
        <v>358</v>
      </c>
      <c r="K15" s="152" t="s">
        <v>359</v>
      </c>
      <c r="L15" s="153" t="s">
        <v>355</v>
      </c>
      <c r="M15" s="151">
        <v>0</v>
      </c>
      <c r="N15" s="430" t="s">
        <v>1950</v>
      </c>
      <c r="O15" s="430" t="s">
        <v>1964</v>
      </c>
    </row>
    <row r="16" spans="1:15">
      <c r="A16" s="65" t="s">
        <v>173</v>
      </c>
      <c r="B16" s="61" t="s">
        <v>103</v>
      </c>
      <c r="C16" s="61" t="s">
        <v>108</v>
      </c>
      <c r="D16" s="60" t="str">
        <f>_xlfn.XLOOKUP(B16, DODECA_ENGINE!A:A, DODECA_ENGINE!B:B) &amp; " ↔ " &amp; _xlfn.XLOOKUP(C16, DODECA_ENGINE!A:A, DODECA_ENGINE!B:B)</f>
        <v>Financial Capital ↔ Community &amp; Partners</v>
      </c>
      <c r="E16" s="201">
        <f>_xlfn.XLOOKUP(Edge_Tension_Map[[#This Row],[Face_A_ID]],DODECA_ENGINE!$A$2:$A$13,E_Vector)</f>
        <v>0.23961225216342069</v>
      </c>
      <c r="F16" s="204">
        <f>_xlfn.XLOOKUP(Edge_Tension_Map[[#This Row],[Face_B_ID]],DODECA_ENGINE!$A$2:$A$13,E_Vector)</f>
        <v>0.24689937774340731</v>
      </c>
      <c r="G16" s="205">
        <f>ABS(E16-F16)</f>
        <v>7.2871255799866197E-3</v>
      </c>
      <c r="H16" s="66">
        <f>IF(F16&gt;0, E16/F16, 1000)</f>
        <v>0.97048544371966849</v>
      </c>
      <c r="I16" s="96">
        <f>1-Edge_Tension_Map[[#This Row],[Edge_tension]]</f>
        <v>0.99271287442001332</v>
      </c>
      <c r="J16" s="150" t="s">
        <v>365</v>
      </c>
      <c r="K16" s="152" t="s">
        <v>366</v>
      </c>
      <c r="L16" s="152" t="s">
        <v>367</v>
      </c>
      <c r="M16" s="151">
        <v>0</v>
      </c>
      <c r="N16" s="430" t="s">
        <v>588</v>
      </c>
      <c r="O16" s="430" t="s">
        <v>1954</v>
      </c>
    </row>
    <row r="17" spans="1:15">
      <c r="A17" s="65" t="s">
        <v>198</v>
      </c>
      <c r="B17" s="61" t="s">
        <v>106</v>
      </c>
      <c r="C17" s="61" t="s">
        <v>108</v>
      </c>
      <c r="D17" s="60" t="str">
        <f>_xlfn.XLOOKUP(B17, DODECA_ENGINE!A:A, DODECA_ENGINE!B:B) &amp; " ↔ " &amp; _xlfn.XLOOKUP(C17, DODECA_ENGINE!A:A, DODECA_ENGINE!B:B)</f>
        <v>Structural Capital ↔ Community &amp; Partners</v>
      </c>
      <c r="E17" s="201">
        <f>_xlfn.XLOOKUP(Edge_Tension_Map[[#This Row],[Face_A_ID]],DODECA_ENGINE!$A$2:$A$13,E_Vector)</f>
        <v>0.24478839508550371</v>
      </c>
      <c r="F17" s="204">
        <f>_xlfn.XLOOKUP(Edge_Tension_Map[[#This Row],[Face_B_ID]],DODECA_ENGINE!$A$2:$A$13,E_Vector)</f>
        <v>0.24689937774340731</v>
      </c>
      <c r="G17" s="205">
        <f>ABS(E17-F17)</f>
        <v>2.110982657903604E-3</v>
      </c>
      <c r="H17" s="66">
        <f>IF(F17&gt;0, E17/F17, 1000)</f>
        <v>0.99145002843993613</v>
      </c>
      <c r="I17" s="96">
        <f>1-Edge_Tension_Map[[#This Row],[Edge_tension]]</f>
        <v>0.99788901734209645</v>
      </c>
      <c r="J17" s="150" t="s">
        <v>376</v>
      </c>
      <c r="K17" s="152" t="s">
        <v>336</v>
      </c>
      <c r="L17" s="153" t="s">
        <v>337</v>
      </c>
      <c r="M17" s="151">
        <v>0</v>
      </c>
      <c r="N17" s="430" t="s">
        <v>1950</v>
      </c>
      <c r="O17" s="430" t="s">
        <v>1969</v>
      </c>
    </row>
    <row r="18" spans="1:15">
      <c r="A18" s="65" t="s">
        <v>174</v>
      </c>
      <c r="B18" s="61" t="s">
        <v>103</v>
      </c>
      <c r="C18" s="61" t="s">
        <v>110</v>
      </c>
      <c r="D18" s="60" t="str">
        <f>_xlfn.XLOOKUP(B18, DODECA_ENGINE!A:A, DODECA_ENGINE!B:B) &amp; " ↔ " &amp; _xlfn.XLOOKUP(C18, DODECA_ENGINE!A:A, DODECA_ENGINE!B:B)</f>
        <v>Financial Capital ↔ Core Operations</v>
      </c>
      <c r="E18" s="201">
        <f>_xlfn.XLOOKUP(Edge_Tension_Map[[#This Row],[Face_A_ID]],DODECA_ENGINE!$A$2:$A$13,E_Vector)</f>
        <v>0.23961225216342069</v>
      </c>
      <c r="F18" s="204">
        <f>_xlfn.XLOOKUP(Edge_Tension_Map[[#This Row],[Face_B_ID]],DODECA_ENGINE!$A$2:$A$13,E_Vector)</f>
        <v>0.22089121833354255</v>
      </c>
      <c r="G18" s="205">
        <f>ABS(E18-F18)</f>
        <v>1.8721033829878136E-2</v>
      </c>
      <c r="H18" s="66">
        <f>IF(F18&gt;0, E18/F18, 1000)</f>
        <v>1.0847522774835243</v>
      </c>
      <c r="I18" s="96">
        <f>1-Edge_Tension_Map[[#This Row],[Edge_tension]]</f>
        <v>0.98127896617012189</v>
      </c>
      <c r="J18" s="150" t="s">
        <v>360</v>
      </c>
      <c r="K18" s="152" t="s">
        <v>361</v>
      </c>
      <c r="L18" s="153" t="s">
        <v>362</v>
      </c>
      <c r="M18" s="151">
        <v>0</v>
      </c>
      <c r="N18" s="430" t="s">
        <v>1950</v>
      </c>
      <c r="O18" s="430" t="s">
        <v>1951</v>
      </c>
    </row>
    <row r="19" spans="1:15">
      <c r="A19" s="65" t="s">
        <v>202</v>
      </c>
      <c r="B19" s="61" t="s">
        <v>110</v>
      </c>
      <c r="C19" s="61" t="s">
        <v>114</v>
      </c>
      <c r="D19" s="60" t="str">
        <f>_xlfn.XLOOKUP(B19, DODECA_ENGINE!A:A, DODECA_ENGINE!B:B) &amp; " ↔ " &amp; _xlfn.XLOOKUP(C19, DODECA_ENGINE!A:A, DODECA_ENGINE!B:B)</f>
        <v>Core Operations ↔ Risk &amp; Resilience</v>
      </c>
      <c r="E19" s="201">
        <f>_xlfn.XLOOKUP(Edge_Tension_Map[[#This Row],[Face_A_ID]],DODECA_ENGINE!$A$2:$A$13,E_Vector)</f>
        <v>0.22089121833354255</v>
      </c>
      <c r="F19" s="204">
        <f>_xlfn.XLOOKUP(Edge_Tension_Map[[#This Row],[Face_B_ID]],DODECA_ENGINE!$A$2:$A$13,E_Vector)</f>
        <v>0.19632633030875329</v>
      </c>
      <c r="G19" s="205">
        <f>ABS(E19-F19)</f>
        <v>2.4564888024789261E-2</v>
      </c>
      <c r="H19" s="66">
        <f>IF(F19&gt;0, E19/F19, 1000)</f>
        <v>1.1251227381786091</v>
      </c>
      <c r="I19" s="96">
        <f>1-Edge_Tension_Map[[#This Row],[Edge_tension]]</f>
        <v>0.97543511197521071</v>
      </c>
      <c r="J19" s="150" t="s">
        <v>343</v>
      </c>
      <c r="K19" s="152" t="s">
        <v>341</v>
      </c>
      <c r="L19" s="153" t="s">
        <v>342</v>
      </c>
      <c r="M19" s="151">
        <v>0</v>
      </c>
      <c r="N19" s="430" t="s">
        <v>1955</v>
      </c>
      <c r="O19" s="430" t="s">
        <v>1977</v>
      </c>
    </row>
    <row r="20" spans="1:15">
      <c r="A20" s="65" t="s">
        <v>2305</v>
      </c>
      <c r="B20" s="61" t="s">
        <v>103</v>
      </c>
      <c r="C20" s="61" t="s">
        <v>109</v>
      </c>
      <c r="D20" s="60" t="str">
        <f>_xlfn.XLOOKUP(B20, DODECA_ENGINE!A:A, DODECA_ENGINE!B:B) &amp; " ↔ " &amp; _xlfn.XLOOKUP(C20, DODECA_ENGINE!A:A, DODECA_ENGINE!B:B)</f>
        <v>Financial Capital ↔ Brand &amp; Reputation</v>
      </c>
      <c r="E20" s="201">
        <f>_xlfn.XLOOKUP(Edge_Tension_Map[[#This Row],[Face_A_ID]],DODECA_ENGINE!$A$2:$A$13,E_Vector)</f>
        <v>0.23961225216342069</v>
      </c>
      <c r="F20" s="204">
        <f>_xlfn.XLOOKUP(Edge_Tension_Map[[#This Row],[Face_B_ID]],DODECA_ENGINE!$A$2:$A$13,E_Vector)</f>
        <v>0.2081301969966585</v>
      </c>
      <c r="G20" s="205">
        <f>ABS(E20-F20)</f>
        <v>3.1482055166762196E-2</v>
      </c>
      <c r="H20" s="66">
        <f>IF(F20&gt;0, E20/F20, 1000)</f>
        <v>1.1512613528505315</v>
      </c>
      <c r="I20" s="96">
        <f>1-Edge_Tension_Map[[#This Row],[Edge_tension]]</f>
        <v>0.96851794483323783</v>
      </c>
      <c r="J20" s="150" t="s">
        <v>338</v>
      </c>
      <c r="K20" s="152" t="s">
        <v>339</v>
      </c>
      <c r="L20" s="152" t="s">
        <v>340</v>
      </c>
      <c r="M20" s="151">
        <v>0</v>
      </c>
      <c r="N20" s="430" t="s">
        <v>1955</v>
      </c>
      <c r="O20" s="430" t="s">
        <v>1956</v>
      </c>
    </row>
    <row r="21" spans="1:15">
      <c r="A21" s="65" t="s">
        <v>199</v>
      </c>
      <c r="B21" s="61" t="s">
        <v>106</v>
      </c>
      <c r="C21" s="61" t="s">
        <v>109</v>
      </c>
      <c r="D21" s="60" t="str">
        <f>_xlfn.XLOOKUP(B21, DODECA_ENGINE!A:A, DODECA_ENGINE!B:B) &amp; " ↔ " &amp; _xlfn.XLOOKUP(C21, DODECA_ENGINE!A:A, DODECA_ENGINE!B:B)</f>
        <v>Structural Capital ↔ Brand &amp; Reputation</v>
      </c>
      <c r="E21" s="201">
        <f>_xlfn.XLOOKUP(Edge_Tension_Map[[#This Row],[Face_A_ID]],DODECA_ENGINE!$A$2:$A$13,E_Vector)</f>
        <v>0.24478839508550371</v>
      </c>
      <c r="F21" s="204">
        <f>_xlfn.XLOOKUP(Edge_Tension_Map[[#This Row],[Face_B_ID]],DODECA_ENGINE!$A$2:$A$13,E_Vector)</f>
        <v>0.2081301969966585</v>
      </c>
      <c r="G21" s="205">
        <f>ABS(E21-F21)</f>
        <v>3.6658198088845212E-2</v>
      </c>
      <c r="H21" s="66">
        <f>IF(F21&gt;0, E21/F21, 1000)</f>
        <v>1.1761310882218294</v>
      </c>
      <c r="I21" s="96">
        <f>1-Edge_Tension_Map[[#This Row],[Edge_tension]]</f>
        <v>0.96334180191115482</v>
      </c>
      <c r="J21" s="150" t="s">
        <v>330</v>
      </c>
      <c r="K21" s="152" t="s">
        <v>331</v>
      </c>
      <c r="L21" s="153" t="s">
        <v>332</v>
      </c>
      <c r="M21" s="151">
        <v>0</v>
      </c>
      <c r="N21" s="430" t="s">
        <v>589</v>
      </c>
      <c r="O21" s="430" t="s">
        <v>1968</v>
      </c>
    </row>
    <row r="22" spans="1:15">
      <c r="A22" s="65" t="s">
        <v>2311</v>
      </c>
      <c r="B22" s="61" t="s">
        <v>108</v>
      </c>
      <c r="C22" s="61" t="s">
        <v>109</v>
      </c>
      <c r="D22" s="60" t="str">
        <f>_xlfn.XLOOKUP(B22, DODECA_ENGINE!A:A, DODECA_ENGINE!B:B) &amp; " ↔ " &amp; _xlfn.XLOOKUP(C22, DODECA_ENGINE!A:A, DODECA_ENGINE!B:B)</f>
        <v>Community &amp; Partners ↔ Brand &amp; Reputation</v>
      </c>
      <c r="E22" s="201">
        <f>_xlfn.XLOOKUP(Edge_Tension_Map[[#This Row],[Face_A_ID]],DODECA_ENGINE!$A$2:$A$13,E_Vector)</f>
        <v>0.24689937774340731</v>
      </c>
      <c r="F22" s="204">
        <f>_xlfn.XLOOKUP(Edge_Tension_Map[[#This Row],[Face_B_ID]],DODECA_ENGINE!$A$2:$A$13,E_Vector)</f>
        <v>0.2081301969966585</v>
      </c>
      <c r="G22" s="205">
        <f>ABS(E22-F22)</f>
        <v>3.8769180746748816E-2</v>
      </c>
      <c r="H22" s="66">
        <f>IF(F22&gt;0, E22/F22, 1000)</f>
        <v>1.1862736945728796</v>
      </c>
      <c r="I22" s="96">
        <f>1-Edge_Tension_Map[[#This Row],[Edge_tension]]</f>
        <v>0.96123081925325116</v>
      </c>
      <c r="J22" s="150" t="s">
        <v>371</v>
      </c>
      <c r="K22" s="152" t="s">
        <v>372</v>
      </c>
      <c r="L22" s="153" t="s">
        <v>352</v>
      </c>
      <c r="M22" s="151">
        <v>0</v>
      </c>
      <c r="N22" s="430" t="s">
        <v>1955</v>
      </c>
      <c r="O22" s="430" t="s">
        <v>1975</v>
      </c>
    </row>
    <row r="23" spans="1:15">
      <c r="A23" s="65" t="s">
        <v>196</v>
      </c>
      <c r="B23" s="61" t="s">
        <v>105</v>
      </c>
      <c r="C23" s="61" t="s">
        <v>113</v>
      </c>
      <c r="D23" s="60" t="str">
        <f>_xlfn.XLOOKUP(B23, DODECA_ENGINE!A:A, DODECA_ENGINE!B:B) &amp; " ↔ " &amp; _xlfn.XLOOKUP(C23, DODECA_ENGINE!A:A, DODECA_ENGINE!B:B)</f>
        <v>Human Capital ↔ Funding Pipeline</v>
      </c>
      <c r="E23" s="201">
        <f>_xlfn.XLOOKUP(Edge_Tension_Map[[#This Row],[Face_A_ID]],DODECA_ENGINE!$A$2:$A$13,E_Vector)</f>
        <v>0.16559188153585278</v>
      </c>
      <c r="F23" s="204">
        <f>_xlfn.XLOOKUP(Edge_Tension_Map[[#This Row],[Face_B_ID]],DODECA_ENGINE!$A$2:$A$13,E_Vector)</f>
        <v>0.12343511244618152</v>
      </c>
      <c r="G23" s="205">
        <f>ABS(E23-F23)</f>
        <v>4.2156769089671253E-2</v>
      </c>
      <c r="H23" s="66">
        <f>IF(F23&gt;0, E23/F23, 1000)</f>
        <v>1.341529798565638</v>
      </c>
      <c r="I23" s="96">
        <f>1-Edge_Tension_Map[[#This Row],[Edge_tension]]</f>
        <v>0.95784323091032875</v>
      </c>
      <c r="J23" s="150" t="s">
        <v>380</v>
      </c>
      <c r="K23" s="152" t="s">
        <v>381</v>
      </c>
      <c r="L23" s="153" t="s">
        <v>352</v>
      </c>
      <c r="M23" s="151">
        <v>0</v>
      </c>
      <c r="N23" s="430" t="s">
        <v>1952</v>
      </c>
      <c r="O23" s="430" t="s">
        <v>1961</v>
      </c>
    </row>
    <row r="24" spans="1:15">
      <c r="A24" s="65" t="s">
        <v>176</v>
      </c>
      <c r="B24" s="61" t="s">
        <v>104</v>
      </c>
      <c r="C24" s="61" t="s">
        <v>108</v>
      </c>
      <c r="D24" s="60" t="str">
        <f>_xlfn.XLOOKUP(B24, DODECA_ENGINE!A:A, DODECA_ENGINE!B:B) &amp; " ↔ " &amp; _xlfn.XLOOKUP(C24, DODECA_ENGINE!A:A, DODECA_ENGINE!B:B)</f>
        <v>Intellectual Capital ↔ Community &amp; Partners</v>
      </c>
      <c r="E24" s="201">
        <f>_xlfn.XLOOKUP(Edge_Tension_Map[[#This Row],[Face_A_ID]],DODECA_ENGINE!$A$2:$A$13,E_Vector)</f>
        <v>0.40086371970020074</v>
      </c>
      <c r="F24" s="204">
        <f>_xlfn.XLOOKUP(Edge_Tension_Map[[#This Row],[Face_B_ID]],DODECA_ENGINE!$A$2:$A$13,E_Vector)</f>
        <v>0.24689937774340731</v>
      </c>
      <c r="G24" s="205">
        <f>ABS(E24-F24)</f>
        <v>0.15396434195679343</v>
      </c>
      <c r="H24" s="66">
        <f>IF(F24&gt;0, E24/F24, 1000)</f>
        <v>1.6235914539922511</v>
      </c>
      <c r="I24" s="96">
        <f>1-Edge_Tension_Map[[#This Row],[Edge_tension]]</f>
        <v>0.84603565804320657</v>
      </c>
      <c r="J24" s="150" t="s">
        <v>356</v>
      </c>
      <c r="K24" s="152" t="s">
        <v>357</v>
      </c>
      <c r="L24" s="153" t="s">
        <v>355</v>
      </c>
      <c r="M24" s="151">
        <v>0</v>
      </c>
      <c r="N24" s="430" t="s">
        <v>588</v>
      </c>
      <c r="O24" s="430" t="s">
        <v>1963</v>
      </c>
    </row>
    <row r="25" spans="1:15">
      <c r="A25" s="65" t="s">
        <v>180</v>
      </c>
      <c r="B25" s="61" t="s">
        <v>112</v>
      </c>
      <c r="C25" s="61" t="s">
        <v>114</v>
      </c>
      <c r="D25" s="60" t="str">
        <f>_xlfn.XLOOKUP(B25, DODECA_ENGINE!A:A, DODECA_ENGINE!B:B) &amp; " ↔ " &amp; _xlfn.XLOOKUP(C25, DODECA_ENGINE!A:A, DODECA_ENGINE!B:B)</f>
        <v>Foundational Values ↔ Risk &amp; Resilience</v>
      </c>
      <c r="E25" s="201">
        <f>_xlfn.XLOOKUP(Edge_Tension_Map[[#This Row],[Face_A_ID]],DODECA_ENGINE!$A$2:$A$13,E_Vector)</f>
        <v>0.41628415530129803</v>
      </c>
      <c r="F25" s="204">
        <f>_xlfn.XLOOKUP(Edge_Tension_Map[[#This Row],[Face_B_ID]],DODECA_ENGINE!$A$2:$A$13,E_Vector)</f>
        <v>0.19632633030875329</v>
      </c>
      <c r="G25" s="205">
        <f>ABS(E25-F25)</f>
        <v>0.21995782499254474</v>
      </c>
      <c r="H25" s="66">
        <f>IF(F25&gt;0, E25/F25, 1000)</f>
        <v>2.1203684429216767</v>
      </c>
      <c r="I25" s="96">
        <f>1-Edge_Tension_Map[[#This Row],[Edge_tension]]</f>
        <v>0.78004217500745532</v>
      </c>
      <c r="J25" s="150" t="s">
        <v>353</v>
      </c>
      <c r="K25" s="152" t="s">
        <v>354</v>
      </c>
      <c r="L25" s="153" t="s">
        <v>355</v>
      </c>
      <c r="M25" s="151">
        <v>0</v>
      </c>
      <c r="N25" s="430" t="s">
        <v>1952</v>
      </c>
      <c r="O25" s="430" t="s">
        <v>1981</v>
      </c>
    </row>
    <row r="26" spans="1:15">
      <c r="A26" s="65" t="s">
        <v>178</v>
      </c>
      <c r="B26" s="61" t="s">
        <v>111</v>
      </c>
      <c r="C26" s="61" t="s">
        <v>114</v>
      </c>
      <c r="D26" s="60" t="str">
        <f>_xlfn.XLOOKUP(B26, DODECA_ENGINE!A:A, DODECA_ENGINE!B:B) &amp; " ↔ " &amp; _xlfn.XLOOKUP(C26, DODECA_ENGINE!A:A, DODECA_ENGINE!B:B)</f>
        <v>Regenerative Flow ↔ Risk &amp; Resilience</v>
      </c>
      <c r="E26" s="201">
        <f>_xlfn.XLOOKUP(Edge_Tension_Map[[#This Row],[Face_A_ID]],DODECA_ENGINE!$A$2:$A$13,E_Vector)</f>
        <v>0.43834355530707869</v>
      </c>
      <c r="F26" s="204">
        <f>_xlfn.XLOOKUP(Edge_Tension_Map[[#This Row],[Face_B_ID]],DODECA_ENGINE!$A$2:$A$13,E_Vector)</f>
        <v>0.19632633030875329</v>
      </c>
      <c r="G26" s="205">
        <f>ABS(E26-F26)</f>
        <v>0.2420172249983254</v>
      </c>
      <c r="H26" s="66">
        <f>IF(F26&gt;0, E26/F26, 1000)</f>
        <v>2.2327293268188537</v>
      </c>
      <c r="I26" s="96">
        <f>1-Edge_Tension_Map[[#This Row],[Edge_tension]]</f>
        <v>0.75798277500167455</v>
      </c>
      <c r="J26" s="150" t="s">
        <v>377</v>
      </c>
      <c r="K26" s="152" t="s">
        <v>378</v>
      </c>
      <c r="L26" s="153" t="s">
        <v>379</v>
      </c>
      <c r="M26" s="151">
        <v>0</v>
      </c>
      <c r="N26" s="430" t="s">
        <v>1952</v>
      </c>
      <c r="O26" s="430" t="s">
        <v>1978</v>
      </c>
    </row>
    <row r="27" spans="1:15">
      <c r="A27" s="65" t="s">
        <v>192</v>
      </c>
      <c r="B27" s="61" t="s">
        <v>104</v>
      </c>
      <c r="C27" s="61" t="s">
        <v>105</v>
      </c>
      <c r="D27" s="60" t="str">
        <f>_xlfn.XLOOKUP(B27, DODECA_ENGINE!A:A, DODECA_ENGINE!B:B) &amp; " ↔ " &amp; _xlfn.XLOOKUP(C27, DODECA_ENGINE!A:A, DODECA_ENGINE!B:B)</f>
        <v>Intellectual Capital ↔ Human Capital</v>
      </c>
      <c r="E27" s="201">
        <f>_xlfn.XLOOKUP(Edge_Tension_Map[[#This Row],[Face_A_ID]],DODECA_ENGINE!$A$2:$A$13,E_Vector)</f>
        <v>0.40086371970020074</v>
      </c>
      <c r="F27" s="204">
        <f>_xlfn.XLOOKUP(Edge_Tension_Map[[#This Row],[Face_B_ID]],DODECA_ENGINE!$A$2:$A$13,E_Vector)</f>
        <v>0.16559188153585278</v>
      </c>
      <c r="G27" s="205">
        <f>ABS(E27-F27)</f>
        <v>0.23527183816434796</v>
      </c>
      <c r="H27" s="66">
        <f>IF(F27&gt;0, E27/F27, 1000)</f>
        <v>2.4207933141541638</v>
      </c>
      <c r="I27" s="96">
        <f>1-Edge_Tension_Map[[#This Row],[Edge_tension]]</f>
        <v>0.76472816183565206</v>
      </c>
      <c r="J27" s="150" t="s">
        <v>327</v>
      </c>
      <c r="K27" s="152" t="s">
        <v>328</v>
      </c>
      <c r="L27" s="152" t="s">
        <v>329</v>
      </c>
      <c r="M27" s="151">
        <v>0</v>
      </c>
      <c r="N27" s="430" t="s">
        <v>1955</v>
      </c>
      <c r="O27" s="430" t="s">
        <v>1962</v>
      </c>
    </row>
    <row r="28" spans="1:15">
      <c r="A28" s="65" t="s">
        <v>2307</v>
      </c>
      <c r="B28" s="61" t="s">
        <v>104</v>
      </c>
      <c r="C28" s="61" t="s">
        <v>113</v>
      </c>
      <c r="D28" s="60" t="str">
        <f>_xlfn.XLOOKUP(B28, DODECA_ENGINE!A:A, DODECA_ENGINE!B:B) &amp; " ↔ " &amp; _xlfn.XLOOKUP(C28, DODECA_ENGINE!A:A, DODECA_ENGINE!B:B)</f>
        <v>Intellectual Capital ↔ Funding Pipeline</v>
      </c>
      <c r="E28" s="201">
        <f>_xlfn.XLOOKUP(Edge_Tension_Map[[#This Row],[Face_A_ID]],DODECA_ENGINE!$A$2:$A$13,E_Vector)</f>
        <v>0.40086371970020074</v>
      </c>
      <c r="F28" s="204">
        <f>_xlfn.XLOOKUP(Edge_Tension_Map[[#This Row],[Face_B_ID]],DODECA_ENGINE!$A$2:$A$13,E_Vector)</f>
        <v>0.12343511244618152</v>
      </c>
      <c r="G28" s="205">
        <f>ABS(E28-F28)</f>
        <v>0.27742860725401919</v>
      </c>
      <c r="H28" s="66">
        <f>IF(F28&gt;0, E28/F28, 1000)</f>
        <v>3.2475663671062787</v>
      </c>
      <c r="I28" s="96">
        <f>1-Edge_Tension_Map[[#This Row],[Edge_tension]]</f>
        <v>0.72257139274598081</v>
      </c>
      <c r="J28" s="150" t="s">
        <v>318</v>
      </c>
      <c r="K28" s="152" t="s">
        <v>319</v>
      </c>
      <c r="L28" s="153" t="s">
        <v>320</v>
      </c>
      <c r="M28" s="151">
        <v>0</v>
      </c>
      <c r="N28" s="430" t="s">
        <v>589</v>
      </c>
      <c r="O28" s="430" t="s">
        <v>1965</v>
      </c>
    </row>
    <row r="29" spans="1:15">
      <c r="A29" s="65" t="s">
        <v>179</v>
      </c>
      <c r="B29" s="61" t="s">
        <v>112</v>
      </c>
      <c r="C29" s="61" t="s">
        <v>113</v>
      </c>
      <c r="D29" s="60" t="str">
        <f>_xlfn.XLOOKUP(B29, DODECA_ENGINE!A:A, DODECA_ENGINE!B:B) &amp; " ↔ " &amp; _xlfn.XLOOKUP(C29, DODECA_ENGINE!A:A, DODECA_ENGINE!B:B)</f>
        <v>Foundational Values ↔ Funding Pipeline</v>
      </c>
      <c r="E29" s="201">
        <f>_xlfn.XLOOKUP(Edge_Tension_Map[[#This Row],[Face_A_ID]],DODECA_ENGINE!$A$2:$A$13,E_Vector)</f>
        <v>0.41628415530129803</v>
      </c>
      <c r="F29" s="204">
        <f>_xlfn.XLOOKUP(Edge_Tension_Map[[#This Row],[Face_B_ID]],DODECA_ENGINE!$A$2:$A$13,E_Vector)</f>
        <v>0.12343511244618152</v>
      </c>
      <c r="G29" s="205">
        <f>ABS(E29-F29)</f>
        <v>0.29284904285511648</v>
      </c>
      <c r="H29" s="66">
        <f>IF(F29&gt;0, E29/F29, 1000)</f>
        <v>3.3724938313869202</v>
      </c>
      <c r="I29" s="96">
        <f>1-Edge_Tension_Map[[#This Row],[Edge_tension]]</f>
        <v>0.70715095714488352</v>
      </c>
      <c r="J29" s="150" t="s">
        <v>324</v>
      </c>
      <c r="K29" s="152" t="s">
        <v>325</v>
      </c>
      <c r="L29" s="153" t="s">
        <v>326</v>
      </c>
      <c r="M29" s="151">
        <v>0</v>
      </c>
      <c r="N29" s="430" t="s">
        <v>1955</v>
      </c>
      <c r="O29" s="430" t="s">
        <v>1980</v>
      </c>
    </row>
    <row r="30" spans="1:15">
      <c r="A30" s="65" t="s">
        <v>2314</v>
      </c>
      <c r="B30" s="61" t="s">
        <v>111</v>
      </c>
      <c r="C30" s="61" t="s">
        <v>113</v>
      </c>
      <c r="D30" s="60" t="str">
        <f>_xlfn.XLOOKUP(B30, DODECA_ENGINE!A:A, DODECA_ENGINE!B:B) &amp; " ↔ " &amp; _xlfn.XLOOKUP(C30, DODECA_ENGINE!A:A, DODECA_ENGINE!B:B)</f>
        <v>Regenerative Flow ↔ Funding Pipeline</v>
      </c>
      <c r="E30" s="201">
        <f>_xlfn.XLOOKUP(Edge_Tension_Map[[#This Row],[Face_A_ID]],DODECA_ENGINE!$A$2:$A$13,E_Vector)</f>
        <v>0.43834355530707869</v>
      </c>
      <c r="F30" s="204">
        <f>_xlfn.XLOOKUP(Edge_Tension_Map[[#This Row],[Face_B_ID]],DODECA_ENGINE!$A$2:$A$13,E_Vector)</f>
        <v>0.12343511244618152</v>
      </c>
      <c r="G30" s="205">
        <f>ABS(E30-F30)</f>
        <v>0.31490844286089714</v>
      </c>
      <c r="H30" s="66">
        <f>IF(F30&gt;0, E30/F30, 1000)</f>
        <v>3.5512063514196512</v>
      </c>
      <c r="I30" s="96">
        <f>1-Edge_Tension_Map[[#This Row],[Edge_tension]]</f>
        <v>0.68509155713910286</v>
      </c>
      <c r="J30" s="150" t="s">
        <v>344</v>
      </c>
      <c r="K30" s="152" t="s">
        <v>345</v>
      </c>
      <c r="L30" s="153" t="s">
        <v>346</v>
      </c>
      <c r="M30" s="151">
        <v>0</v>
      </c>
      <c r="N30" s="430" t="s">
        <v>1950</v>
      </c>
      <c r="O30" s="430" t="s">
        <v>1979</v>
      </c>
    </row>
    <row r="31" spans="1:15">
      <c r="A31" s="67" t="s">
        <v>197</v>
      </c>
      <c r="B31" s="68" t="s">
        <v>106</v>
      </c>
      <c r="C31" s="68" t="s">
        <v>107</v>
      </c>
      <c r="D31" s="69" t="str">
        <f>_xlfn.XLOOKUP(B31, DODECA_ENGINE!A:A, DODECA_ENGINE!B:B) &amp; " ↔ " &amp; _xlfn.XLOOKUP(C31, DODECA_ENGINE!A:A, DODECA_ENGINE!B:B)</f>
        <v>Structural Capital ↔ Market Resonance</v>
      </c>
      <c r="E31" s="206">
        <f>_xlfn.XLOOKUP(Edge_Tension_Map[[#This Row],[Face_A_ID]],DODECA_ENGINE!$A$2:$A$13,E_Vector)</f>
        <v>0.24478839508550371</v>
      </c>
      <c r="F31" s="207">
        <f>_xlfn.XLOOKUP(Edge_Tension_Map[[#This Row],[Face_B_ID]],DODECA_ENGINE!$A$2:$A$13,E_Vector)</f>
        <v>4.6253795033477547E-2</v>
      </c>
      <c r="G31" s="208">
        <f>ABS(E31-F31)</f>
        <v>0.19853460005202617</v>
      </c>
      <c r="H31" s="70">
        <f>IF(F31&gt;0, E31/F31, 1000)</f>
        <v>5.2922877984029393</v>
      </c>
      <c r="I31" s="96">
        <f>1-Edge_Tension_Map[[#This Row],[Edge_tension]]</f>
        <v>0.80146539994797383</v>
      </c>
      <c r="J31" s="150" t="s">
        <v>304</v>
      </c>
      <c r="K31" s="152" t="s">
        <v>306</v>
      </c>
      <c r="L31" s="153" t="s">
        <v>307</v>
      </c>
      <c r="M31" s="151">
        <v>0</v>
      </c>
      <c r="N31" s="430" t="s">
        <v>1955</v>
      </c>
      <c r="O31" s="430" t="s">
        <v>1966</v>
      </c>
    </row>
    <row r="33" spans="1:1">
      <c r="A33" t="s">
        <v>446</v>
      </c>
    </row>
    <row r="36" spans="1:1">
      <c r="A36" s="71" t="s">
        <v>207</v>
      </c>
    </row>
    <row r="37" spans="1:1">
      <c r="A37" s="71" t="s">
        <v>208</v>
      </c>
    </row>
    <row r="38" spans="1:1">
      <c r="A38" s="71" t="s">
        <v>209</v>
      </c>
    </row>
  </sheetData>
  <phoneticPr fontId="14" type="noConversion"/>
  <conditionalFormatting sqref="G2:G31">
    <cfRule type="colorScale" priority="9">
      <colorScale>
        <cfvo type="min"/>
        <cfvo type="percentile" val="50"/>
        <cfvo type="max"/>
        <color rgb="FF63BE7B"/>
        <color rgb="FFFCFCFF"/>
        <color rgb="FFF8696B"/>
      </colorScale>
    </cfRule>
  </conditionalFormatting>
  <conditionalFormatting sqref="H2:I31">
    <cfRule type="colorScale" priority="6">
      <colorScale>
        <cfvo type="num" val="0"/>
        <cfvo type="num" val="1"/>
        <cfvo type="num" val="5"/>
        <color rgb="FFFF0000"/>
        <color theme="9"/>
        <color rgb="FFFF0000"/>
      </colorScale>
    </cfRule>
  </conditionalFormatting>
  <conditionalFormatting sqref="N2:N31">
    <cfRule type="containsText" dxfId="4" priority="1" operator="containsText" text="Water (Flow)">
      <formula>NOT(ISERROR(SEARCH("Water (Flow)",N2)))</formula>
    </cfRule>
    <cfRule type="containsText" dxfId="3" priority="2" operator="containsText" text="Earth (Grounding)">
      <formula>NOT(ISERROR(SEARCH("Earth (Grounding)",N2)))</formula>
    </cfRule>
    <cfRule type="containsText" dxfId="2" priority="3" operator="containsText" text="Air (communication)">
      <formula>NOT(ISERROR(SEARCH("Air (communication)",N2)))</formula>
    </cfRule>
    <cfRule type="containsText" dxfId="1" priority="4" operator="containsText" text="Ether (Purpose)">
      <formula>NOT(ISERROR(SEARCH("Ether (Purpose)",N2)))</formula>
    </cfRule>
    <cfRule type="containsText" dxfId="0" priority="5" operator="containsText" text="Fire (Transformation)">
      <formula>NOT(ISERROR(SEARCH("Fire (Transformation)",N2)))</formula>
    </cfRule>
  </conditionalFormatting>
  <dataValidations disablePrompts="1" count="29">
    <dataValidation allowBlank="1" showInputMessage="1" showErrorMessage="1" promptTitle="Definition" prompt="Measures how elegantly and effectively the organization's internal structure is perceived by the external market. Does our form feel coherent to our partners?" sqref="J2 L2" xr:uid="{5A53B616-6ED1-4037-9FA4-B89EEDEF38DB}"/>
    <dataValidation allowBlank="1" showInputMessage="1" showErrorMessage="1" promptTitle="Definition" prompt="(Measures the gap between the promise of our brand/story and the actual experience of our product/service. Is our &quot;say&quot; aligned with our &quot;do&quot;?)" sqref="J8" xr:uid="{68CC67CF-2C80-4DE8-BC50-1FC5419FE06F}"/>
    <dataValidation allowBlank="1" showInputMessage="1" showErrorMessage="1" promptTitle="Definition" prompt="(Measures how well the formal structures and rules of the organization actually support the well-being and creative flow of its people.)" sqref="J10" xr:uid="{2D4D846E-5060-4824-8123-0AF36BBF4514}"/>
    <dataValidation allowBlank="1" showInputMessage="1" showErrorMessage="1" promptTitle="Definition" prompt="(Measures what percentage of the organization's core financial energy is being consciously directed towards regenerative activities.)" sqref="J11" xr:uid="{DA200649-6629-4912-AF45-0B333850A0D2}"/>
    <dataValidation allowBlank="1" showInputMessage="1" showErrorMessage="1" promptTitle="Definition" prompt="(Measures the balance between proprietary, closed IP and regenerative, open IP. Is our knowledge a fortress or a gift?)" sqref="J14" xr:uid="{D20C5917-4259-4FE1-9CA1-0834BB6FD253}"/>
    <dataValidation allowBlank="1" showInputMessage="1" showErrorMessage="1" promptTitle="Definition" prompt="(Measures the organization's ability to withstand a reputational threat. Is our brand's trust deep enough to handle a mistake?)" sqref="J15" xr:uid="{0D2CBD02-5BF8-4E71-905C-3A5F057D42A5}"/>
    <dataValidation allowBlank="1" showInputMessage="1" showErrorMessage="1" promptTitle="Definition" prompt="(Measures how well the sources of funding align with the core values of the organization. Are we taking money from people who share our soul?)" sqref="J20" xr:uid="{443EC33C-0D10-446E-85BC-AFFE6CD42BDD}"/>
    <dataValidation allowBlank="1" showInputMessage="1" showErrorMessage="1" promptTitle="Definition" prompt="(Measures the efficiency and flow of converting the founder's innate vision and human energy into tangible, formalized intellectual property.)" sqref="J31" xr:uid="{F7E64372-D8CF-4D60-9914-5F648E96E696}"/>
    <dataValidation allowBlank="1" showInputMessage="1" showErrorMessage="1" promptTitle="Definition" prompt="(Measures the alignment between the organization's formal structure/governance and its public brand. Is our &quot;walk&quot; a true reflection of our &quot;talk&quot;?)" sqref="J3" xr:uid="{60D86CBD-17D9-4C9E-910A-B96248B44E7D}"/>
    <dataValidation allowBlank="1" showInputMessage="1" showErrorMessage="1" promptTitle="Definition" prompt="(Measures how well the venture's formal structure and documentation meet the due diligence requirements of potential funders.)" sqref="J5" xr:uid="{442F202A-8524-471D-A3F9-96FA7E90341D}"/>
    <dataValidation allowBlank="1" showInputMessage="1" showErrorMessage="1" promptTitle="Definition" prompt="(Measures the ease and speed with which a new partner can be formally integrated into the venture's ecosystem. Is our structure welcoming or cumbersome?)" sqref="J6" xr:uid="{8350930A-1153-4405-8867-95636D836179}"/>
    <dataValidation allowBlank="1" showInputMessage="1" showErrorMessage="1" promptTitle="Definition" prompt="(Measures how efficiently financial capital is being converted into market presence and clarity. Are our marketing euros creating a powerful signal?)" sqref="J7" xr:uid="{F214280B-B89F-48C4-97D5-45EA234E62CA}"/>
    <dataValidation allowBlank="1" showInputMessage="1" showErrorMessage="1" promptTitle="Definition" prompt="(Measures the system's ability to maintain core operations during a shock or failure. How quickly do we recover?)" sqref="J27" xr:uid="{06202A43-2FF2-444D-8175-1138A615EBF5}"/>
    <dataValidation allowBlank="1" showInputMessage="1" showErrorMessage="1" promptTitle="Definition" prompt="(Measures how deeply the organization's stated values are being translated into tangible, regenerative actions.)" sqref="J18" xr:uid="{F81239FC-1360-4916-9F3E-F74CC78A97A2}"/>
    <dataValidation allowBlank="1" showInputMessage="1" showErrorMessage="1" promptTitle="Definition" prompt="(Measures the venture's resilience against the failure of a single funding source. Are all our eggs in one basket?)" sqref="J19" xr:uid="{16D271B5-F377-46A4-92D9-D4FCEF404330}"/>
    <dataValidation allowBlank="1" showInputMessage="1" showErrorMessage="1" promptTitle="Definition" prompt="(Measures the lived experience of the values within the team. Do our people feel the values are real?)" sqref="J24" xr:uid="{A470381C-6E0A-4CDE-9BCD-9DC19D8C9129}"/>
    <dataValidation allowBlank="1" showInputMessage="1" showErrorMessage="1" promptTitle="Definition" prompt="(Measures the strength of the organization's values as a safeguard against making unethical or incoherent decisions under pressure.)" sqref="J30" xr:uid="{88ABC87F-423A-432A-8612-A590FA7A517E}"/>
    <dataValidation allowBlank="1" showInputMessage="1" showErrorMessage="1" promptTitle="Definition" prompt="(Measures how effectively the venture's core IP is being shared with and enriched by its community and partners.)" sqref="J22" xr:uid="{B09BCA7F-A083-42B5-811F-CF4B621BF72F}"/>
    <dataValidation allowBlank="1" showInputMessage="1" showErrorMessage="1" promptTitle="Definition" prompt="(Measures the alignment of the venture's intellectual property with its core values. Is our knowledge being developed and used in a way that is coherent with our soul?)" sqref="J26" xr:uid="{E6B48AA8-5F75-4CAA-95B0-811B851489E8}"/>
    <dataValidation allowBlank="1" showInputMessage="1" showErrorMessage="1" promptTitle="Definition" prompt="(Measures the financial efficiency of the core operational processes. Are we using our capital effectively to produce our core work?)" sqref="J28" xr:uid="{9C391928-5BBF-4409-B9EB-2E8BE8868FCA}"/>
    <dataValidation allowBlank="1" showInputMessage="1" showErrorMessage="1" promptTitle="Definition" prompt="(Measures the potential of the current IP to generate future financial return. Is our knowledge a valuable asset?)" sqref="J29" xr:uid="{C29DE95B-D2AA-4971-A71F-B3274FC8112E}"/>
    <dataValidation allowBlank="1" showInputMessage="1" showErrorMessage="1" promptTitle="Definition" prompt="(Measures the financial reciprocity between the venture and its community. Is our financial relationship generative or extractive?)" sqref="J21" xr:uid="{29575D45-86C1-4E2C-B8CE-BC1E1F91673A}"/>
    <dataValidation allowBlank="1" showInputMessage="1" showErrorMessage="1" promptTitle="Definition" prompt="(Measures how much of the team's energy is being enriched by and shared with the external community. Are we building alone or together?)" sqref="J23" xr:uid="{93E2BFBE-EC94-4DED-B6ED-10467DF8B341}"/>
    <dataValidation allowBlank="1" showInputMessage="1" showErrorMessage="1" promptTitle="Definition" prompt="(Measures how effectively the brand's strength is being converted into tangible funding opportunities. Is our reputation a valuable asset?)" sqref="J25" xr:uid="{4412F2A2-4615-4B90-B525-59BF3770360A}"/>
    <dataValidation allowBlank="1" showInputMessage="1" showErrorMessage="1" promptTitle="Definition" prompt="(Measures the alignment between the immediate &quot;buzz&quot; and resonance of our message and the long-term, stable trust in our brand. Is our hype built on a foundation of trust?)" sqref="J4" xr:uid="{6D773187-33C8-4552-9BDC-8968884E8D19}"/>
    <dataValidation allowBlank="1" showInputMessage="1" showErrorMessage="1" promptTitle="Definition" prompt="(Measures how effectively the venture's regenerative practices act as a &quot;buffer&quot; or &quot;immune system&quot; against systemic risks.)" sqref="J17" xr:uid="{983F8A66-DD5A-46C4-A382-75EAE635B9DE}"/>
    <dataValidation allowBlank="1" showInputMessage="1" showErrorMessage="1" promptTitle="Definition" prompt="(Measures the strength and coherence of the human connection between the founder and potential funders. Do investors believe in the person, not just the plan?)" sqref="J16" xr:uid="{FFB110CE-6BF7-42FF-8473-70311BDBA8A5}"/>
    <dataValidation allowBlank="1" showInputMessage="1" showErrorMessage="1" promptTitle="Definition" prompt="(Measures the percentage of core operational processes that have been consciously designed to be regenerative, not extractive.)" sqref="J13" xr:uid="{04A638C1-355D-4104-9387-EDB1BAB7F4CD}"/>
    <dataValidation allowBlank="1" showInputMessage="1" showErrorMessage="1" promptTitle="Definition" prompt="(Measures the alignment between the public brand promise and the actual quality/reliability of the core operational output. Does our &quot;walk&quot; match our &quot;talk&quot;?)" sqref="J12" xr:uid="{D86B588A-5BE5-408A-9893-C2F54437447D}"/>
  </dataValidation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E2750B92EAE4F48B35F5472C44ACDA2" ma:contentTypeVersion="15" ma:contentTypeDescription="Een nieuw document maken." ma:contentTypeScope="" ma:versionID="acd7ac6b1f7b8661a88fa82525ce8db8">
  <xsd:schema xmlns:xsd="http://www.w3.org/2001/XMLSchema" xmlns:xs="http://www.w3.org/2001/XMLSchema" xmlns:p="http://schemas.microsoft.com/office/2006/metadata/properties" xmlns:ns3="6b052282-9239-4359-a9df-769640646d2a" xmlns:ns4="5bfebf96-b405-4617-9e6e-988aedabb7e2" targetNamespace="http://schemas.microsoft.com/office/2006/metadata/properties" ma:root="true" ma:fieldsID="44027bc54276f8380212421da4970d57" ns3:_="" ns4:_="">
    <xsd:import namespace="6b052282-9239-4359-a9df-769640646d2a"/>
    <xsd:import namespace="5bfebf96-b405-4617-9e6e-988aedabb7e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ObjectDetectorVersions" minOccurs="0"/>
                <xsd:element ref="ns4:_activity" minOccurs="0"/>
                <xsd:element ref="ns4:MediaServiceSearchProperties" minOccurs="0"/>
                <xsd:element ref="ns4:MediaServiceDateTaken" minOccurs="0"/>
                <xsd:element ref="ns4:MediaServiceSystemTags" minOccurs="0"/>
                <xsd:element ref="ns4:MediaServiceGenerationTime" minOccurs="0"/>
                <xsd:element ref="ns4:MediaServiceEventHashCode"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052282-9239-4359-a9df-769640646d2a" elementFormDefault="qualified">
    <xsd:import namespace="http://schemas.microsoft.com/office/2006/documentManagement/types"/>
    <xsd:import namespace="http://schemas.microsoft.com/office/infopath/2007/PartnerControls"/>
    <xsd:element name="SharedWithUsers" ma:index="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Gedeeld met details" ma:internalName="SharedWithDetails" ma:readOnly="true">
      <xsd:simpleType>
        <xsd:restriction base="dms:Note">
          <xsd:maxLength value="255"/>
        </xsd:restriction>
      </xsd:simpleType>
    </xsd:element>
    <xsd:element name="SharingHintHash" ma:index="10" nillable="true" ma:displayName="Hint-hash dele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bfebf96-b405-4617-9e6e-988aedabb7e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activity xmlns="5bfebf96-b405-4617-9e6e-988aedabb7e2" xsi:nil="true"/>
  </documentManagement>
</p:properties>
</file>

<file path=customXml/itemProps1.xml><?xml version="1.0" encoding="utf-8"?>
<ds:datastoreItem xmlns:ds="http://schemas.openxmlformats.org/officeDocument/2006/customXml" ds:itemID="{5CFEBC93-1959-4AEE-8B2A-8CF5AF144009}">
  <ds:schemaRefs>
    <ds:schemaRef ds:uri="http://schemas.microsoft.com/sharepoint/v3/contenttype/forms"/>
  </ds:schemaRefs>
</ds:datastoreItem>
</file>

<file path=customXml/itemProps2.xml><?xml version="1.0" encoding="utf-8"?>
<ds:datastoreItem xmlns:ds="http://schemas.openxmlformats.org/officeDocument/2006/customXml" ds:itemID="{4E4FCF8E-2ED6-4C32-88D2-43D3AAF2C1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052282-9239-4359-a9df-769640646d2a"/>
    <ds:schemaRef ds:uri="5bfebf96-b405-4617-9e6e-988aedabb7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A57BC5-3476-489C-A0FE-6A0F9258F2CC}">
  <ds:schemaRefs>
    <ds:schemaRef ds:uri="http://schemas.microsoft.com/DataMashup"/>
  </ds:schemaRefs>
</ds:datastoreItem>
</file>

<file path=customXml/itemProps4.xml><?xml version="1.0" encoding="utf-8"?>
<ds:datastoreItem xmlns:ds="http://schemas.openxmlformats.org/officeDocument/2006/customXml" ds:itemID="{7B4D03AD-61A7-4C61-B02B-FFDF722C965E}">
  <ds:schemaRefs>
    <ds:schemaRef ds:uri="5bfebf96-b405-4617-9e6e-988aedabb7e2"/>
    <ds:schemaRef ds:uri="http://purl.org/dc/dcmitype/"/>
    <ds:schemaRef ds:uri="6b052282-9239-4359-a9df-769640646d2a"/>
    <ds:schemaRef ds:uri="http://schemas.microsoft.com/office/2006/documentManagement/types"/>
    <ds:schemaRef ds:uri="http://schemas.microsoft.com/office/infopath/2007/PartnerControls"/>
    <ds:schemaRef ds:uri="http://www.w3.org/XML/1998/namespace"/>
    <ds:schemaRef ds:uri="http://schemas.openxmlformats.org/package/2006/metadata/core-properties"/>
    <ds:schemaRef ds:uri="http://schemas.microsoft.com/office/2006/metadata/properties"/>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INTRO</vt:lpstr>
      <vt:lpstr>BREATH_RATIOS</vt:lpstr>
      <vt:lpstr>SPIRAL_DASHBOARD</vt:lpstr>
      <vt:lpstr>REFRENCE_MODELS</vt:lpstr>
      <vt:lpstr>SYSTEM_COHERENCE</vt:lpstr>
      <vt:lpstr>FACE_MODELS</vt:lpstr>
      <vt:lpstr>KPI_DATABASE</vt:lpstr>
      <vt:lpstr>DODECA_ENGINE</vt:lpstr>
      <vt:lpstr>VORTEX_MAP</vt:lpstr>
      <vt:lpstr>EDGE_TENSION_MAP</vt:lpstr>
      <vt:lpstr>E_Vector</vt:lpstr>
      <vt:lpstr>Face_1</vt:lpstr>
      <vt:lpstr>Headline_KPI</vt:lpstr>
      <vt:lpstr>L_Matrix</vt:lpstr>
      <vt:lpstr>U_Matrix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Deimantas Murauskas</dc:creator>
  <cp:lastModifiedBy>Deimantas Murauskas</cp:lastModifiedBy>
  <dcterms:created xsi:type="dcterms:W3CDTF">2025-09-08T11:06:20Z</dcterms:created>
  <dcterms:modified xsi:type="dcterms:W3CDTF">2025-11-18T20:26:36Z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0x0101003E2750B92EAE4F48B35F5472C44ACDA2</vt:lpwstr>
  </property>
</Properties>
</file>